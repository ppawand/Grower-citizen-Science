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3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devko\Desktop\"/>
    </mc:Choice>
  </mc:AlternateContent>
  <xr:revisionPtr revIDLastSave="0" documentId="13_ncr:1_{F0BD6ABC-6A44-4025-B3E8-B05A8CA293AE}" xr6:coauthVersionLast="45" xr6:coauthVersionMax="45" xr10:uidLastSave="{00000000-0000-0000-0000-000000000000}"/>
  <bookViews>
    <workbookView xWindow="-120" yWindow="-120" windowWidth="20730" windowHeight="11160" tabRatio="610" activeTab="4" xr2:uid="{00000000-000D-0000-FFFF-FFFF00000000}"/>
  </bookViews>
  <sheets>
    <sheet name="ODW" sheetId="1" r:id="rId1"/>
    <sheet name="MBC" sheetId="3" r:id="rId2"/>
    <sheet name="Sheet1" sheetId="14" r:id="rId3"/>
    <sheet name="nutrients" sheetId="4" r:id="rId4"/>
    <sheet name="FAME" sheetId="6" r:id="rId5"/>
    <sheet name="Sites" sheetId="2" r:id="rId6"/>
    <sheet name="fields" sheetId="11" r:id="rId7"/>
    <sheet name="yield" sheetId="8" r:id="rId8"/>
    <sheet name="Meta-data" sheetId="5" r:id="rId9"/>
    <sheet name="sensors" sheetId="7" r:id="rId10"/>
    <sheet name="field notes" sheetId="13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52" i="8" l="1"/>
  <c r="F51" i="8"/>
  <c r="E50" i="8"/>
  <c r="E49" i="8"/>
  <c r="E48" i="8"/>
  <c r="F50" i="8"/>
  <c r="F49" i="8"/>
  <c r="F48" i="8"/>
  <c r="F34" i="8"/>
  <c r="F33" i="8"/>
  <c r="F32" i="8"/>
  <c r="E4" i="8"/>
  <c r="E3" i="8"/>
  <c r="E2" i="8"/>
</calcChain>
</file>

<file path=xl/sharedStrings.xml><?xml version="1.0" encoding="utf-8"?>
<sst xmlns="http://schemas.openxmlformats.org/spreadsheetml/2006/main" count="9958" uniqueCount="843">
  <si>
    <t>MH1</t>
  </si>
  <si>
    <t>MH2</t>
  </si>
  <si>
    <t>MH3</t>
  </si>
  <si>
    <t>MH4</t>
  </si>
  <si>
    <t>sample</t>
  </si>
  <si>
    <t>gwc</t>
  </si>
  <si>
    <t>date</t>
  </si>
  <si>
    <t>BE1</t>
  </si>
  <si>
    <t>BE2</t>
  </si>
  <si>
    <t>BE3</t>
  </si>
  <si>
    <t>BE4</t>
  </si>
  <si>
    <t>JB1</t>
  </si>
  <si>
    <t>JB2</t>
  </si>
  <si>
    <t>JB3</t>
  </si>
  <si>
    <t>JB4</t>
  </si>
  <si>
    <t>JB5</t>
  </si>
  <si>
    <t>JB6</t>
  </si>
  <si>
    <t>JB7</t>
  </si>
  <si>
    <t>JB8</t>
  </si>
  <si>
    <t>JB9</t>
  </si>
  <si>
    <t>JB10</t>
  </si>
  <si>
    <t>JB11</t>
  </si>
  <si>
    <t>JB12</t>
  </si>
  <si>
    <t>irrigated</t>
  </si>
  <si>
    <t>cotton</t>
  </si>
  <si>
    <t>wheat</t>
  </si>
  <si>
    <t>no-till</t>
  </si>
  <si>
    <t>dryland</t>
  </si>
  <si>
    <t>semi-till</t>
  </si>
  <si>
    <t>soybean</t>
  </si>
  <si>
    <t>wheat? Cotton?</t>
  </si>
  <si>
    <t>irrigation</t>
  </si>
  <si>
    <t>current.crop</t>
  </si>
  <si>
    <t>previous.crop</t>
  </si>
  <si>
    <t>tillage</t>
  </si>
  <si>
    <t>mbc</t>
  </si>
  <si>
    <t>pHw</t>
  </si>
  <si>
    <t>pHb</t>
  </si>
  <si>
    <t>P</t>
  </si>
  <si>
    <t>K</t>
  </si>
  <si>
    <t>Mg</t>
  </si>
  <si>
    <t>Ca</t>
  </si>
  <si>
    <t>S1</t>
  </si>
  <si>
    <t>B1</t>
  </si>
  <si>
    <t>Zn1</t>
  </si>
  <si>
    <t>Mn1</t>
  </si>
  <si>
    <t>Fe1</t>
  </si>
  <si>
    <t>Cu1</t>
  </si>
  <si>
    <t>CEC</t>
  </si>
  <si>
    <t>K2</t>
  </si>
  <si>
    <t>Mg2</t>
  </si>
  <si>
    <t>Ca2</t>
  </si>
  <si>
    <t>H</t>
  </si>
  <si>
    <t>OM</t>
  </si>
  <si>
    <t>no3.ppm</t>
  </si>
  <si>
    <t>nh4.ppm</t>
  </si>
  <si>
    <t>farm</t>
  </si>
  <si>
    <t>JB</t>
  </si>
  <si>
    <t>MH</t>
  </si>
  <si>
    <t>BE</t>
  </si>
  <si>
    <t>field</t>
  </si>
  <si>
    <t>Waters lab analysis</t>
  </si>
  <si>
    <t>units</t>
  </si>
  <si>
    <t>pH</t>
  </si>
  <si>
    <t>lbs/acre</t>
  </si>
  <si>
    <t>meq/100g soil</t>
  </si>
  <si>
    <t>percent base saturation</t>
  </si>
  <si>
    <t>percent</t>
  </si>
  <si>
    <t>Notes</t>
  </si>
  <si>
    <t>divide by 2 to get ppm</t>
  </si>
  <si>
    <t>planted</t>
  </si>
  <si>
    <t>sorghum</t>
  </si>
  <si>
    <t>month.year</t>
  </si>
  <si>
    <t>May 2017</t>
  </si>
  <si>
    <t>Sep 2017</t>
  </si>
  <si>
    <t>Jun 2017</t>
  </si>
  <si>
    <t>Oct 2017</t>
  </si>
  <si>
    <t>perc.sand</t>
  </si>
  <si>
    <t>perc.silt</t>
  </si>
  <si>
    <t>perc.clay</t>
  </si>
  <si>
    <t>BactSum</t>
  </si>
  <si>
    <t>FungSum</t>
  </si>
  <si>
    <t>FBRatio</t>
  </si>
  <si>
    <t>GPosSum</t>
  </si>
  <si>
    <t>GNegSum</t>
  </si>
  <si>
    <t>ActSum</t>
  </si>
  <si>
    <t>euk.protozoa</t>
  </si>
  <si>
    <t>site</t>
  </si>
  <si>
    <t>port</t>
  </si>
  <si>
    <t>depth</t>
  </si>
  <si>
    <t>JB1-1</t>
  </si>
  <si>
    <t>Port4</t>
  </si>
  <si>
    <t>Port5</t>
  </si>
  <si>
    <t>JB1-2</t>
  </si>
  <si>
    <t>Port1</t>
  </si>
  <si>
    <t>Port2</t>
  </si>
  <si>
    <t>JB2-1</t>
  </si>
  <si>
    <t>JB2-2</t>
  </si>
  <si>
    <t>JB3-1</t>
  </si>
  <si>
    <t>JB3-2</t>
  </si>
  <si>
    <t>MH1-1</t>
  </si>
  <si>
    <t>MH1-2</t>
  </si>
  <si>
    <t>yield.lbs.acre</t>
  </si>
  <si>
    <t>year</t>
  </si>
  <si>
    <t>bales.acre</t>
  </si>
  <si>
    <t>bushels.acre</t>
  </si>
  <si>
    <t>F2-1</t>
  </si>
  <si>
    <t>F2-2</t>
  </si>
  <si>
    <t>F2-3</t>
  </si>
  <si>
    <t>F2-4</t>
  </si>
  <si>
    <t>F2-5</t>
  </si>
  <si>
    <t>F2-6</t>
  </si>
  <si>
    <t>Cont1</t>
  </si>
  <si>
    <t>Cont2</t>
  </si>
  <si>
    <t>Cont3</t>
  </si>
  <si>
    <t>Cont4</t>
  </si>
  <si>
    <t>RN</t>
  </si>
  <si>
    <t>corn</t>
  </si>
  <si>
    <t>TG</t>
  </si>
  <si>
    <t>till</t>
  </si>
  <si>
    <t>Cont</t>
  </si>
  <si>
    <t>Jul 2017</t>
  </si>
  <si>
    <t>Aug 2017</t>
  </si>
  <si>
    <t>Nov 2017</t>
  </si>
  <si>
    <t>Dec 2017</t>
  </si>
  <si>
    <t>pt_con1</t>
  </si>
  <si>
    <t>pt_con2</t>
  </si>
  <si>
    <t>pt_con3</t>
  </si>
  <si>
    <t>pt_con4</t>
  </si>
  <si>
    <t>RNf2-1</t>
  </si>
  <si>
    <t>RNf2-2</t>
  </si>
  <si>
    <t>RNf2-3</t>
  </si>
  <si>
    <t>RNf2-4</t>
  </si>
  <si>
    <t>RNf2-5</t>
  </si>
  <si>
    <t>RNf2-6</t>
  </si>
  <si>
    <t>TG 25</t>
  </si>
  <si>
    <t>TG 26</t>
  </si>
  <si>
    <t>TG 27</t>
  </si>
  <si>
    <t>TG 28</t>
  </si>
  <si>
    <t>TG 29</t>
  </si>
  <si>
    <t>TG 30</t>
  </si>
  <si>
    <t>TG 31</t>
  </si>
  <si>
    <t>TG 32</t>
  </si>
  <si>
    <t>TG 33</t>
  </si>
  <si>
    <t>TG 34</t>
  </si>
  <si>
    <t>TG 35</t>
  </si>
  <si>
    <t>TG 36</t>
  </si>
  <si>
    <t>RN 49</t>
  </si>
  <si>
    <t>RN 50</t>
  </si>
  <si>
    <t>RN 51</t>
  </si>
  <si>
    <t>RN 52</t>
  </si>
  <si>
    <t>RN 53</t>
  </si>
  <si>
    <t>RN 54</t>
  </si>
  <si>
    <t>RN 55</t>
  </si>
  <si>
    <t>RN 56</t>
  </si>
  <si>
    <t>RN 57</t>
  </si>
  <si>
    <t>RN 58</t>
  </si>
  <si>
    <t>RN 59</t>
  </si>
  <si>
    <t>RN 60</t>
  </si>
  <si>
    <t>Jun 2018</t>
  </si>
  <si>
    <t>JB 1</t>
  </si>
  <si>
    <t>JB 2</t>
  </si>
  <si>
    <t>JB 3</t>
  </si>
  <si>
    <t>JB 4</t>
  </si>
  <si>
    <t>JB 5</t>
  </si>
  <si>
    <t>JB 6</t>
  </si>
  <si>
    <t>JB 7</t>
  </si>
  <si>
    <t>JB 8</t>
  </si>
  <si>
    <t>JB 9</t>
  </si>
  <si>
    <t>JB 10</t>
  </si>
  <si>
    <t>JB 11</t>
  </si>
  <si>
    <t>JB 12</t>
  </si>
  <si>
    <t>MH 61</t>
  </si>
  <si>
    <t>MH 62</t>
  </si>
  <si>
    <t>MH 63</t>
  </si>
  <si>
    <t>MH 64</t>
  </si>
  <si>
    <t>MH 65</t>
  </si>
  <si>
    <t>MH 66</t>
  </si>
  <si>
    <t>MH 67</t>
  </si>
  <si>
    <t>MH 68</t>
  </si>
  <si>
    <t>MH 69</t>
  </si>
  <si>
    <t>MH 70</t>
  </si>
  <si>
    <t>MH 71</t>
  </si>
  <si>
    <t>MH 72</t>
  </si>
  <si>
    <t>CK 85</t>
  </si>
  <si>
    <t>CK 86</t>
  </si>
  <si>
    <t>CK 87</t>
  </si>
  <si>
    <t>CK 88</t>
  </si>
  <si>
    <t>CK 89</t>
  </si>
  <si>
    <t>CK 90</t>
  </si>
  <si>
    <t>CK 91</t>
  </si>
  <si>
    <t>CK 92</t>
  </si>
  <si>
    <t>CK 93</t>
  </si>
  <si>
    <t>CK 94</t>
  </si>
  <si>
    <t>CK 95</t>
  </si>
  <si>
    <t>CK 96</t>
  </si>
  <si>
    <t>KK 73</t>
  </si>
  <si>
    <t>KK 74</t>
  </si>
  <si>
    <t>KK 75</t>
  </si>
  <si>
    <t>KK 76</t>
  </si>
  <si>
    <t>KK 77</t>
  </si>
  <si>
    <t>KK 78</t>
  </si>
  <si>
    <t>KK 79</t>
  </si>
  <si>
    <t>KK 80</t>
  </si>
  <si>
    <t>KK 81</t>
  </si>
  <si>
    <t>KK 82</t>
  </si>
  <si>
    <t>KK 83</t>
  </si>
  <si>
    <t>KK 84</t>
  </si>
  <si>
    <t>JA 109</t>
  </si>
  <si>
    <t>JA 110</t>
  </si>
  <si>
    <t>JA 111</t>
  </si>
  <si>
    <t>JA 112</t>
  </si>
  <si>
    <t>JA 113</t>
  </si>
  <si>
    <t>JA 115</t>
  </si>
  <si>
    <t>JA 116</t>
  </si>
  <si>
    <t>JA 117</t>
  </si>
  <si>
    <t>JA 118</t>
  </si>
  <si>
    <t>JA 119</t>
  </si>
  <si>
    <t>KS 121</t>
  </si>
  <si>
    <t>KS 122</t>
  </si>
  <si>
    <t>KS 123</t>
  </si>
  <si>
    <t>KS 124</t>
  </si>
  <si>
    <t>KS 125</t>
  </si>
  <si>
    <t>KS 126</t>
  </si>
  <si>
    <t>KS 127</t>
  </si>
  <si>
    <t>KS 128</t>
  </si>
  <si>
    <t>KS 129</t>
  </si>
  <si>
    <t>KS 130</t>
  </si>
  <si>
    <t>KS 131</t>
  </si>
  <si>
    <t>KS 132</t>
  </si>
  <si>
    <t>BE 13</t>
  </si>
  <si>
    <t>BE 14</t>
  </si>
  <si>
    <t>BE 15</t>
  </si>
  <si>
    <t>BE 16</t>
  </si>
  <si>
    <t>BE 17</t>
  </si>
  <si>
    <t>BE 18</t>
  </si>
  <si>
    <t>BE 19</t>
  </si>
  <si>
    <t>BE 20</t>
  </si>
  <si>
    <t>EE 21</t>
  </si>
  <si>
    <t>EE 22</t>
  </si>
  <si>
    <t>EE 23</t>
  </si>
  <si>
    <t>EE 24</t>
  </si>
  <si>
    <t>BS 98</t>
  </si>
  <si>
    <t>BS 99</t>
  </si>
  <si>
    <t>BS 100</t>
  </si>
  <si>
    <t>BS 101</t>
  </si>
  <si>
    <t>BS 102</t>
  </si>
  <si>
    <t>BS 103</t>
  </si>
  <si>
    <t>BS 104</t>
  </si>
  <si>
    <t>EE 105</t>
  </si>
  <si>
    <t>BH 37</t>
  </si>
  <si>
    <t>BH 38</t>
  </si>
  <si>
    <t>BH 39</t>
  </si>
  <si>
    <t>BH 40</t>
  </si>
  <si>
    <t>BH 41</t>
  </si>
  <si>
    <t>BH 42</t>
  </si>
  <si>
    <t>BH 43</t>
  </si>
  <si>
    <t>BH 44</t>
  </si>
  <si>
    <t>BH 45</t>
  </si>
  <si>
    <t>BH 46</t>
  </si>
  <si>
    <t>BH 47</t>
  </si>
  <si>
    <t>BH 48</t>
  </si>
  <si>
    <t>JA 114</t>
  </si>
  <si>
    <t>JA 120</t>
  </si>
  <si>
    <t>BS 97</t>
  </si>
  <si>
    <t>EE 106</t>
  </si>
  <si>
    <t>EE 107</t>
  </si>
  <si>
    <t>EE 108</t>
  </si>
  <si>
    <t>CK</t>
  </si>
  <si>
    <t>KK</t>
  </si>
  <si>
    <t>JA</t>
  </si>
  <si>
    <t>KS</t>
  </si>
  <si>
    <t>EE</t>
  </si>
  <si>
    <t>BS</t>
  </si>
  <si>
    <t>BH</t>
  </si>
  <si>
    <t>clay loam</t>
  </si>
  <si>
    <t>sandy clay loam</t>
  </si>
  <si>
    <t>loam</t>
  </si>
  <si>
    <t>loamy sand</t>
  </si>
  <si>
    <t>sandy loam</t>
  </si>
  <si>
    <t>sand</t>
  </si>
  <si>
    <t>crop.rotation</t>
  </si>
  <si>
    <t>residue</t>
  </si>
  <si>
    <t>no</t>
  </si>
  <si>
    <t>no.till.duration</t>
  </si>
  <si>
    <t>fert.amt</t>
  </si>
  <si>
    <t>yes</t>
  </si>
  <si>
    <t>NA</t>
  </si>
  <si>
    <t>notes</t>
  </si>
  <si>
    <t>compost.tons</t>
  </si>
  <si>
    <t>cover.crop</t>
  </si>
  <si>
    <t>rye</t>
  </si>
  <si>
    <t>emergence</t>
  </si>
  <si>
    <t>multi-species</t>
  </si>
  <si>
    <t>corn-corn-cotton</t>
  </si>
  <si>
    <t>medium</t>
  </si>
  <si>
    <t>corn-wheat-cotton</t>
  </si>
  <si>
    <t>low</t>
  </si>
  <si>
    <t>minimal</t>
  </si>
  <si>
    <t>wheat-soybean-cotton</t>
  </si>
  <si>
    <t>high</t>
  </si>
  <si>
    <t>peanuts</t>
  </si>
  <si>
    <t>actinomycete.119</t>
  </si>
  <si>
    <t>actinomycete.67</t>
  </si>
  <si>
    <t>actinomycete.83</t>
  </si>
  <si>
    <t>actinomycete.85</t>
  </si>
  <si>
    <t>actinomycete.99</t>
  </si>
  <si>
    <t>actinomycete.105</t>
  </si>
  <si>
    <t>g.minus.78</t>
  </si>
  <si>
    <t>g.minus.100</t>
  </si>
  <si>
    <t>g.minus.116</t>
  </si>
  <si>
    <t>g.minus.117</t>
  </si>
  <si>
    <t>g.plus.21</t>
  </si>
  <si>
    <t>g.plus.22</t>
  </si>
  <si>
    <t>g.plus.35</t>
  </si>
  <si>
    <t>g.plus.37</t>
  </si>
  <si>
    <t>g.plus.52</t>
  </si>
  <si>
    <t>g.plus.53</t>
  </si>
  <si>
    <t>g.plus.72</t>
  </si>
  <si>
    <t>g.plus.73</t>
  </si>
  <si>
    <t>g.plus.109</t>
  </si>
  <si>
    <t>g.plus.111</t>
  </si>
  <si>
    <t>amf.58</t>
  </si>
  <si>
    <t>sap.fungi.87</t>
  </si>
  <si>
    <t>sap.fungi.88</t>
  </si>
  <si>
    <t>sap.fungi.89</t>
  </si>
  <si>
    <t>sap.fungi.90</t>
  </si>
  <si>
    <t>sap.fungi.91</t>
  </si>
  <si>
    <t>sap.fungi.93</t>
  </si>
  <si>
    <t>sap.fungi.92</t>
  </si>
  <si>
    <t>sap.fungi.95</t>
  </si>
  <si>
    <t>sap.fungi.94</t>
  </si>
  <si>
    <t>Aug 2018</t>
  </si>
  <si>
    <t>fallow</t>
  </si>
  <si>
    <t>total.fame</t>
  </si>
  <si>
    <t>from feedlot or dairy cows, humic acid microbes</t>
  </si>
  <si>
    <t>texture</t>
  </si>
  <si>
    <t>bolded: my assumption</t>
  </si>
  <si>
    <t>fertilizer</t>
  </si>
  <si>
    <t>residue2</t>
  </si>
  <si>
    <t>med-high</t>
  </si>
  <si>
    <t>no-low</t>
  </si>
  <si>
    <t>date of entry</t>
  </si>
  <si>
    <t>Logger at flag 46 had 3 partially disconnected probes and 1 soil probe above the surface.</t>
  </si>
  <si>
    <t>probes retrieved from JA and BH</t>
  </si>
  <si>
    <t>probes retrieved from TG, RN, KS.</t>
  </si>
  <si>
    <t>Logger at flag 51 was missing a sensor.</t>
  </si>
  <si>
    <t>KS, TG, and RN samples (for date 2, August), were @ 4C, everything else was frozen at -20C</t>
  </si>
  <si>
    <t xml:space="preserve">BE 13 </t>
  </si>
  <si>
    <t>Oct 2018</t>
  </si>
  <si>
    <t>port1</t>
  </si>
  <si>
    <t>port2</t>
  </si>
  <si>
    <t>port3</t>
  </si>
  <si>
    <t>port4</t>
  </si>
  <si>
    <t>hailed out</t>
  </si>
  <si>
    <t>75% hail</t>
  </si>
  <si>
    <t>74% hail</t>
  </si>
  <si>
    <t>wheat-cotton; in experimental design I listed it as no-till</t>
  </si>
  <si>
    <t>BH 133</t>
  </si>
  <si>
    <t>BH 134</t>
  </si>
  <si>
    <t>BH 135</t>
  </si>
  <si>
    <t>CK 157</t>
  </si>
  <si>
    <t>CK 158</t>
  </si>
  <si>
    <t>CK 159</t>
  </si>
  <si>
    <t>CK 160</t>
  </si>
  <si>
    <t>CK 161</t>
  </si>
  <si>
    <t>CK 162</t>
  </si>
  <si>
    <t>CK 163</t>
  </si>
  <si>
    <t>CK 164</t>
  </si>
  <si>
    <t>CK 165</t>
  </si>
  <si>
    <t>KS 166</t>
  </si>
  <si>
    <t>KS 167</t>
  </si>
  <si>
    <t>KS 168</t>
  </si>
  <si>
    <t>TG 169</t>
  </si>
  <si>
    <t>TG 170</t>
  </si>
  <si>
    <t>TG 171</t>
  </si>
  <si>
    <t>TG 172</t>
  </si>
  <si>
    <t>TG 173</t>
  </si>
  <si>
    <t>TG 174</t>
  </si>
  <si>
    <t>TG 175</t>
  </si>
  <si>
    <t>TG 176</t>
  </si>
  <si>
    <t>TG 177</t>
  </si>
  <si>
    <t>RN 178</t>
  </si>
  <si>
    <t>RN 179</t>
  </si>
  <si>
    <t>RN 180</t>
  </si>
  <si>
    <t>RN 181</t>
  </si>
  <si>
    <t>RN 182</t>
  </si>
  <si>
    <t>RN 183</t>
  </si>
  <si>
    <t>RN 184</t>
  </si>
  <si>
    <t>RN 185</t>
  </si>
  <si>
    <t>RN 186</t>
  </si>
  <si>
    <t>MH 142</t>
  </si>
  <si>
    <t>BE 187</t>
  </si>
  <si>
    <t>BE 188</t>
  </si>
  <si>
    <t>BE 189</t>
  </si>
  <si>
    <t>BE 190</t>
  </si>
  <si>
    <t>BE 191</t>
  </si>
  <si>
    <t>BE 192</t>
  </si>
  <si>
    <t>BS 193</t>
  </si>
  <si>
    <t>BS 194</t>
  </si>
  <si>
    <t>BS 195</t>
  </si>
  <si>
    <t>BS 196</t>
  </si>
  <si>
    <t>BS 197</t>
  </si>
  <si>
    <t>BS 198</t>
  </si>
  <si>
    <t>EE 199</t>
  </si>
  <si>
    <t>EE 200</t>
  </si>
  <si>
    <t>EE 201</t>
  </si>
  <si>
    <t>EE 202</t>
  </si>
  <si>
    <t>EE 203</t>
  </si>
  <si>
    <t>EE 204</t>
  </si>
  <si>
    <t>GM 205</t>
  </si>
  <si>
    <t>GM 206</t>
  </si>
  <si>
    <t>GM 207</t>
  </si>
  <si>
    <t>GM 208</t>
  </si>
  <si>
    <t>GM 209</t>
  </si>
  <si>
    <t>GM 210</t>
  </si>
  <si>
    <t>GM 211</t>
  </si>
  <si>
    <t>GM 212</t>
  </si>
  <si>
    <t>GM 213</t>
  </si>
  <si>
    <t>GM 214</t>
  </si>
  <si>
    <t>GM 215</t>
  </si>
  <si>
    <t>GM 216</t>
  </si>
  <si>
    <t>JS 136</t>
  </si>
  <si>
    <t>JS 137</t>
  </si>
  <si>
    <t>JS 138</t>
  </si>
  <si>
    <t>JS 139</t>
  </si>
  <si>
    <t>JS 140</t>
  </si>
  <si>
    <t>JS 141</t>
  </si>
  <si>
    <t>JS 145</t>
  </si>
  <si>
    <t>JS 146</t>
  </si>
  <si>
    <t>JS 147</t>
  </si>
  <si>
    <t>KK 148</t>
  </si>
  <si>
    <t>KK 149</t>
  </si>
  <si>
    <t>KK 150</t>
  </si>
  <si>
    <t>KK 151</t>
  </si>
  <si>
    <t>KK 152</t>
  </si>
  <si>
    <t>KK 153</t>
  </si>
  <si>
    <t>KK 154</t>
  </si>
  <si>
    <t>KK 155</t>
  </si>
  <si>
    <t>KK 156</t>
  </si>
  <si>
    <t>MH 143</t>
  </si>
  <si>
    <t>MH 144</t>
  </si>
  <si>
    <t>Jun 2019</t>
  </si>
  <si>
    <t>Jul 2019</t>
  </si>
  <si>
    <t>Sep 2019</t>
  </si>
  <si>
    <t>GM</t>
  </si>
  <si>
    <t>Clay loam</t>
  </si>
  <si>
    <t>JS</t>
  </si>
  <si>
    <t>tillage.type</t>
  </si>
  <si>
    <t>vertical tillage</t>
  </si>
  <si>
    <t>irrigation.rate.gpm</t>
  </si>
  <si>
    <t>deep ripper</t>
  </si>
  <si>
    <t>milo</t>
  </si>
  <si>
    <t>lat</t>
  </si>
  <si>
    <t>lon</t>
  </si>
  <si>
    <t>33o53.856'</t>
  </si>
  <si>
    <t>101o36.275'</t>
  </si>
  <si>
    <t>33o53.844'</t>
  </si>
  <si>
    <t>101o36.306'</t>
  </si>
  <si>
    <t>33o53.826'</t>
  </si>
  <si>
    <t>101o36.311'</t>
  </si>
  <si>
    <t>33o53.829'</t>
  </si>
  <si>
    <t>101o36.283'</t>
  </si>
  <si>
    <t>33o51.186'</t>
  </si>
  <si>
    <t>101o36.261'</t>
  </si>
  <si>
    <t>101o36.291'</t>
  </si>
  <si>
    <t>33o51.173'</t>
  </si>
  <si>
    <t>101o36.302'</t>
  </si>
  <si>
    <t>33o51.154'</t>
  </si>
  <si>
    <t>101o36.304'</t>
  </si>
  <si>
    <t>33o47.909'</t>
  </si>
  <si>
    <t>101o36.037'</t>
  </si>
  <si>
    <t>33o47.918'</t>
  </si>
  <si>
    <t>33o47.935'</t>
  </si>
  <si>
    <t>101o36.052'</t>
  </si>
  <si>
    <t>33o47.917'</t>
  </si>
  <si>
    <t>101o36.056'</t>
  </si>
  <si>
    <t>33o57.376'</t>
  </si>
  <si>
    <t>101o33.933</t>
  </si>
  <si>
    <t>33o57.387'</t>
  </si>
  <si>
    <t>101o33.920'</t>
  </si>
  <si>
    <t>33o57.404'</t>
  </si>
  <si>
    <t>101o33.925'</t>
  </si>
  <si>
    <t>33o57.403'</t>
  </si>
  <si>
    <t>101o33.940'</t>
  </si>
  <si>
    <t>33o54.594'</t>
  </si>
  <si>
    <t>101o30.751'</t>
  </si>
  <si>
    <t>33o54.581'</t>
  </si>
  <si>
    <t>101o30.745'</t>
  </si>
  <si>
    <t>33o54.580'</t>
  </si>
  <si>
    <t>101o30.718'</t>
  </si>
  <si>
    <t>101o30.717'</t>
  </si>
  <si>
    <t>33o55.342'</t>
  </si>
  <si>
    <t>101o27.676'</t>
  </si>
  <si>
    <t>33o55.347'</t>
  </si>
  <si>
    <t>101o27.663'</t>
  </si>
  <si>
    <t>33o55.336'</t>
  </si>
  <si>
    <t>101o27.645'</t>
  </si>
  <si>
    <t>33o55.327'</t>
  </si>
  <si>
    <t>32o47.195'</t>
  </si>
  <si>
    <t>101o52.718'</t>
  </si>
  <si>
    <t>32o47.213'</t>
  </si>
  <si>
    <t>101o52.731'</t>
  </si>
  <si>
    <t>32o47.231'</t>
  </si>
  <si>
    <t>101o52.713'</t>
  </si>
  <si>
    <t>32o47.217'</t>
  </si>
  <si>
    <t>101o52.696'</t>
  </si>
  <si>
    <t>32o47.204'</t>
  </si>
  <si>
    <t>101o52.652'</t>
  </si>
  <si>
    <t>32o47.208'</t>
  </si>
  <si>
    <t>101o52.637'</t>
  </si>
  <si>
    <t>101o52.621'</t>
  </si>
  <si>
    <t>32o47.216'</t>
  </si>
  <si>
    <t>101o52.607'</t>
  </si>
  <si>
    <t>32o46.992'</t>
  </si>
  <si>
    <t>101o53.603'</t>
  </si>
  <si>
    <t>32o47.008'</t>
  </si>
  <si>
    <t>101o53.605'</t>
  </si>
  <si>
    <t>32o47.021'</t>
  </si>
  <si>
    <t>101o53.608'</t>
  </si>
  <si>
    <t>32o47.037'</t>
  </si>
  <si>
    <t>101o53.609'</t>
  </si>
  <si>
    <t>32o48.716'</t>
  </si>
  <si>
    <t>101o53.877'</t>
  </si>
  <si>
    <t>32o48.719'</t>
  </si>
  <si>
    <t>101o53.896'</t>
  </si>
  <si>
    <t>32o48.717'</t>
  </si>
  <si>
    <t>101o53.906'</t>
  </si>
  <si>
    <t>32o48.718'</t>
  </si>
  <si>
    <t>101o53.921'</t>
  </si>
  <si>
    <t>32o48.640'</t>
  </si>
  <si>
    <t>101o54.246'</t>
  </si>
  <si>
    <t>32o48.639'</t>
  </si>
  <si>
    <t>101o54.233'</t>
  </si>
  <si>
    <t>101o54.220'</t>
  </si>
  <si>
    <t>32o48.605'</t>
  </si>
  <si>
    <t>101o54.238'</t>
  </si>
  <si>
    <t>32o48.598'</t>
  </si>
  <si>
    <t>101o54.428'</t>
  </si>
  <si>
    <t>32o48.521'</t>
  </si>
  <si>
    <t>101o54.5420'</t>
  </si>
  <si>
    <t>35o59.300'</t>
  </si>
  <si>
    <t>101o44.652'</t>
  </si>
  <si>
    <t>35o59.316'</t>
  </si>
  <si>
    <t>101o44.651'</t>
  </si>
  <si>
    <t>101o44.617'</t>
  </si>
  <si>
    <t>35o59.299'</t>
  </si>
  <si>
    <t>35o59.238'</t>
  </si>
  <si>
    <t>101o45.168'</t>
  </si>
  <si>
    <t>35o59.219'</t>
  </si>
  <si>
    <t>35o59.217'</t>
  </si>
  <si>
    <t>101o45.192'</t>
  </si>
  <si>
    <t>101o45.193'</t>
  </si>
  <si>
    <t>35o59.868'</t>
  </si>
  <si>
    <t>101o47.088'</t>
  </si>
  <si>
    <t>35o59.869'</t>
  </si>
  <si>
    <t>101o47.107'</t>
  </si>
  <si>
    <t>35o59.888'</t>
  </si>
  <si>
    <t>101o47.104'</t>
  </si>
  <si>
    <t>35o59.883'</t>
  </si>
  <si>
    <t>101o47.087'</t>
  </si>
  <si>
    <t>34o18.134'</t>
  </si>
  <si>
    <t>102o34.750'</t>
  </si>
  <si>
    <t>34o18.132'</t>
  </si>
  <si>
    <t>102o34.772'</t>
  </si>
  <si>
    <t>34o18.158'</t>
  </si>
  <si>
    <t>102o34.771'</t>
  </si>
  <si>
    <t>34o18.157'</t>
  </si>
  <si>
    <t>102o34.752'</t>
  </si>
  <si>
    <t>34o17.488'</t>
  </si>
  <si>
    <t>102o34.980'</t>
  </si>
  <si>
    <t>34o17.487'</t>
  </si>
  <si>
    <t>102o34.959'</t>
  </si>
  <si>
    <t>34o17.470'</t>
  </si>
  <si>
    <t>102o34.960'</t>
  </si>
  <si>
    <t>34o17.469'</t>
  </si>
  <si>
    <t>34o17.702'</t>
  </si>
  <si>
    <t>102o34.681'</t>
  </si>
  <si>
    <t>102o34.671'</t>
  </si>
  <si>
    <t>34o17.685'</t>
  </si>
  <si>
    <t>102o34.670'</t>
  </si>
  <si>
    <t>34o17.686'</t>
  </si>
  <si>
    <t>102o34.683'</t>
  </si>
  <si>
    <t>33o19.130'</t>
  </si>
  <si>
    <t>102o02.166'</t>
  </si>
  <si>
    <t>33o19.124'</t>
  </si>
  <si>
    <t>102o02.150'</t>
  </si>
  <si>
    <t>33o19.110'</t>
  </si>
  <si>
    <t>102o02.159'</t>
  </si>
  <si>
    <t>33o19.116'</t>
  </si>
  <si>
    <t>102o02.176'</t>
  </si>
  <si>
    <t>33o19.137'</t>
  </si>
  <si>
    <t>102o02.228'</t>
  </si>
  <si>
    <t>33o19.138'</t>
  </si>
  <si>
    <t>102o02.245'</t>
  </si>
  <si>
    <t>33o19.122'</t>
  </si>
  <si>
    <t>102o02.244'</t>
  </si>
  <si>
    <t>33o19.121'</t>
  </si>
  <si>
    <t>33o03.741'</t>
  </si>
  <si>
    <t>102o03.037'</t>
  </si>
  <si>
    <t>33o03.711'</t>
  </si>
  <si>
    <t>33o03.710'</t>
  </si>
  <si>
    <t>102o03.053'</t>
  </si>
  <si>
    <t>33o47.671'</t>
  </si>
  <si>
    <t>101o41.808'</t>
  </si>
  <si>
    <t>101o41.789'</t>
  </si>
  <si>
    <t>33o47.685'</t>
  </si>
  <si>
    <t>101o41.790'</t>
  </si>
  <si>
    <t>33o47.684'</t>
  </si>
  <si>
    <t>101o41.813'</t>
  </si>
  <si>
    <t>33o47.664'</t>
  </si>
  <si>
    <t>101o41.866'</t>
  </si>
  <si>
    <t>33o47.662'</t>
  </si>
  <si>
    <t>101o41.882'</t>
  </si>
  <si>
    <t>33o47.651'</t>
  </si>
  <si>
    <t>101o41.879'</t>
  </si>
  <si>
    <t>33o47.652'</t>
  </si>
  <si>
    <t>33o46.802'</t>
  </si>
  <si>
    <t>101o55.103'</t>
  </si>
  <si>
    <t>33o46.787'</t>
  </si>
  <si>
    <t>101o55.102'</t>
  </si>
  <si>
    <t>33o46.783'</t>
  </si>
  <si>
    <t>101o55.124'</t>
  </si>
  <si>
    <t>33o46.801'</t>
  </si>
  <si>
    <t>101o55.125'</t>
  </si>
  <si>
    <t>34o22.265'</t>
  </si>
  <si>
    <t>101o48.142'</t>
  </si>
  <si>
    <t>34o22.285'</t>
  </si>
  <si>
    <t>101o48.146'</t>
  </si>
  <si>
    <t>34o22.287'</t>
  </si>
  <si>
    <t>101o48.129'</t>
  </si>
  <si>
    <t>34o22.267'</t>
  </si>
  <si>
    <t>101o48.125'</t>
  </si>
  <si>
    <t>34o22.264'</t>
  </si>
  <si>
    <t>101o48.167'</t>
  </si>
  <si>
    <t>101o48.189'</t>
  </si>
  <si>
    <t>34o22.283'</t>
  </si>
  <si>
    <t>101o48.191'</t>
  </si>
  <si>
    <t>101o48.169'</t>
  </si>
  <si>
    <t>34o27.201'</t>
  </si>
  <si>
    <t>101o42.221'</t>
  </si>
  <si>
    <t>34o27.207'</t>
  </si>
  <si>
    <t>101o42.211'</t>
  </si>
  <si>
    <t>34o27.193'</t>
  </si>
  <si>
    <t>101o42.197'</t>
  </si>
  <si>
    <t>34o27.186'</t>
  </si>
  <si>
    <t>101o42.207'</t>
  </si>
  <si>
    <t>34o23.404'</t>
  </si>
  <si>
    <t>101o44.129'</t>
  </si>
  <si>
    <t>34o23.387'</t>
  </si>
  <si>
    <t>101o44.137'</t>
  </si>
  <si>
    <t>34o23.391'</t>
  </si>
  <si>
    <t>101o44.156'</t>
  </si>
  <si>
    <t>34o23.410'</t>
  </si>
  <si>
    <t>101o44.148'</t>
  </si>
  <si>
    <t>34o23.598'</t>
  </si>
  <si>
    <t>101o44.103'</t>
  </si>
  <si>
    <t>34o23.616'</t>
  </si>
  <si>
    <t>101o44.099'</t>
  </si>
  <si>
    <t>34o23.613'</t>
  </si>
  <si>
    <t>101o44.074'</t>
  </si>
  <si>
    <t>34o23.615'</t>
  </si>
  <si>
    <t>101o44.050'</t>
  </si>
  <si>
    <t>34o27.419'</t>
  </si>
  <si>
    <t>101o41.772'</t>
  </si>
  <si>
    <t>34o27.430'</t>
  </si>
  <si>
    <t>101o41.771'</t>
  </si>
  <si>
    <t>34o27.432'</t>
  </si>
  <si>
    <t>101o41.750'</t>
  </si>
  <si>
    <t>34o27.421'</t>
  </si>
  <si>
    <t>101o41.749'</t>
  </si>
  <si>
    <t>33o27.941'</t>
  </si>
  <si>
    <t>101o48.176'</t>
  </si>
  <si>
    <t>33o27.957'</t>
  </si>
  <si>
    <t>101o48.177'</t>
  </si>
  <si>
    <t>33o27.956'</t>
  </si>
  <si>
    <t>33o28.305'</t>
  </si>
  <si>
    <t>101o48.994'</t>
  </si>
  <si>
    <t>33o28.304'</t>
  </si>
  <si>
    <t>101o48.010'</t>
  </si>
  <si>
    <t>33o28.292'</t>
  </si>
  <si>
    <t>101o49.010'</t>
  </si>
  <si>
    <t>33o30.112'</t>
  </si>
  <si>
    <t>101o48.295'</t>
  </si>
  <si>
    <t>33o30.124'</t>
  </si>
  <si>
    <t>101o48.294'</t>
  </si>
  <si>
    <t>33o30.125'</t>
  </si>
  <si>
    <t>101o48.310'</t>
  </si>
  <si>
    <t>101o48.311'</t>
  </si>
  <si>
    <t>34o22.189'</t>
  </si>
  <si>
    <t>101o47.880'</t>
  </si>
  <si>
    <t>34o22.243'</t>
  </si>
  <si>
    <t>101o47.893'</t>
  </si>
  <si>
    <t>34o23.605'</t>
  </si>
  <si>
    <t>101o44.038'</t>
  </si>
  <si>
    <t>34o23.550'</t>
  </si>
  <si>
    <t>101o44.055'</t>
  </si>
  <si>
    <t>34o26.432'</t>
  </si>
  <si>
    <t>101o42.301'</t>
  </si>
  <si>
    <t>34o28.015'</t>
  </si>
  <si>
    <t>101o41.205'</t>
  </si>
  <si>
    <t>32o45.147'</t>
  </si>
  <si>
    <t>101o49.755'</t>
  </si>
  <si>
    <t>32o52.960'</t>
  </si>
  <si>
    <t>101o39.171'</t>
  </si>
  <si>
    <t>32o52.957'</t>
  </si>
  <si>
    <t>101o39.067'</t>
  </si>
  <si>
    <t>32o58.514'</t>
  </si>
  <si>
    <t>101o48.986'</t>
  </si>
  <si>
    <t>33o28.018'</t>
  </si>
  <si>
    <t>101o48.046'</t>
  </si>
  <si>
    <t>32o48.567'</t>
  </si>
  <si>
    <t>101o54.565'</t>
  </si>
  <si>
    <t>33o10.242</t>
  </si>
  <si>
    <t>101o55.263</t>
  </si>
  <si>
    <t>33o11.450'</t>
  </si>
  <si>
    <t>101o58.775'</t>
  </si>
  <si>
    <t>33o11.499'</t>
  </si>
  <si>
    <t>101o58.758'</t>
  </si>
  <si>
    <t>34o18.362'</t>
  </si>
  <si>
    <t>102o35.508'</t>
  </si>
  <si>
    <t>34o18.883'</t>
  </si>
  <si>
    <t>102o39.140'</t>
  </si>
  <si>
    <t>34o18.925'</t>
  </si>
  <si>
    <t>102o39.656'</t>
  </si>
  <si>
    <t>33o49.824'</t>
  </si>
  <si>
    <t>101o38.787'</t>
  </si>
  <si>
    <t>33o50.417'</t>
  </si>
  <si>
    <t>101o37.561'</t>
  </si>
  <si>
    <t>33o52.115'</t>
  </si>
  <si>
    <t>101o33.566'</t>
  </si>
  <si>
    <t>on top of surface (not in soil)</t>
  </si>
  <si>
    <t>located perpendicular to soil surface</t>
  </si>
  <si>
    <t>chewed</t>
  </si>
  <si>
    <t>stopped working june 28, 2019</t>
  </si>
  <si>
    <t>designated as "North Field"</t>
  </si>
  <si>
    <t>barley/rapeseed</t>
  </si>
  <si>
    <t>designated as "South Field"</t>
  </si>
  <si>
    <t>33o55.316'</t>
  </si>
  <si>
    <t>101o34.532'</t>
  </si>
  <si>
    <t>33o57.640'</t>
  </si>
  <si>
    <t>101o33.085'</t>
  </si>
  <si>
    <t>34o01.628'</t>
  </si>
  <si>
    <t>101o30.633'</t>
  </si>
  <si>
    <t>101o44.589'</t>
  </si>
  <si>
    <t>35o59.275'</t>
  </si>
  <si>
    <t>101o45.188'</t>
  </si>
  <si>
    <t>36o00.143'</t>
  </si>
  <si>
    <t>101o47.295'</t>
  </si>
  <si>
    <t>33o47.709'</t>
  </si>
  <si>
    <t>101o41.273'</t>
  </si>
  <si>
    <t>compost</t>
  </si>
  <si>
    <t>both</t>
  </si>
  <si>
    <t>inorganic</t>
  </si>
  <si>
    <t>corn, peas, wheat</t>
  </si>
  <si>
    <t>corn, corn, cotton, wheat</t>
  </si>
  <si>
    <t>rye, radish, peas</t>
  </si>
  <si>
    <t>chisel</t>
  </si>
  <si>
    <t>listed</t>
  </si>
  <si>
    <t>vetch</t>
  </si>
  <si>
    <t>hairy vetch</t>
  </si>
  <si>
    <t>turnip</t>
  </si>
  <si>
    <t>was in CRP before 2015</t>
  </si>
  <si>
    <t>strip</t>
  </si>
  <si>
    <t>sandy clay</t>
  </si>
  <si>
    <t>clay</t>
  </si>
  <si>
    <t>designated as "Middle Nance"</t>
  </si>
  <si>
    <t>peanut crop rotation every 3 years</t>
  </si>
  <si>
    <t>wheat/rye</t>
  </si>
  <si>
    <t>deep break</t>
  </si>
  <si>
    <t>rye/radish/vetch</t>
  </si>
  <si>
    <t>Designated as "Barwise"</t>
  </si>
  <si>
    <t>corn, wheat, cotton</t>
  </si>
  <si>
    <t>Designated as "James Earnest"</t>
  </si>
  <si>
    <t>tandem disk</t>
  </si>
  <si>
    <t>crp</t>
  </si>
  <si>
    <t>came out of CRP; cotton was failed, so sorghum was replanted but not harvested</t>
  </si>
  <si>
    <t>crop.used.in.rotation</t>
  </si>
  <si>
    <t>cotton failed; replanted with sorghum (but not harvested)</t>
  </si>
  <si>
    <t>acres</t>
  </si>
  <si>
    <t>bales</t>
  </si>
  <si>
    <t>designated as "Chilldress"; check on residue level (was "yes")</t>
  </si>
  <si>
    <t>designated as "East Nance"; ask about residue level (was "yes")</t>
  </si>
  <si>
    <t>designated as "organic" (ask about residue level, was "yes")</t>
  </si>
  <si>
    <t>ask about residue level</t>
  </si>
  <si>
    <t>growers:</t>
  </si>
  <si>
    <t>RN Hopper</t>
  </si>
  <si>
    <t>Kelly Kettner</t>
  </si>
  <si>
    <t>Burt Heinrich</t>
  </si>
  <si>
    <t>Jean Anne Stratton</t>
  </si>
  <si>
    <t>Katy Sutton</t>
  </si>
  <si>
    <t>Jeremy Brown</t>
  </si>
  <si>
    <t>Tom Gregory</t>
  </si>
  <si>
    <t>Casey Kelly</t>
  </si>
  <si>
    <t>Bob Simmons</t>
  </si>
  <si>
    <t>Eric Evans</t>
  </si>
  <si>
    <t>Barry Evans</t>
  </si>
  <si>
    <t>Mike Hughes</t>
  </si>
  <si>
    <t>Jack Scott</t>
  </si>
  <si>
    <t>RN 1</t>
  </si>
  <si>
    <t>RN 2</t>
  </si>
  <si>
    <t>RN 3</t>
  </si>
  <si>
    <t>RN 4</t>
  </si>
  <si>
    <t>RN 5</t>
  </si>
  <si>
    <t>RN 6</t>
  </si>
  <si>
    <t>TG 1</t>
  </si>
  <si>
    <t>TG 2</t>
  </si>
  <si>
    <t>TG 3</t>
  </si>
  <si>
    <t>TG 4</t>
  </si>
  <si>
    <t>BE 1</t>
  </si>
  <si>
    <t>BE 2</t>
  </si>
  <si>
    <t>BE 3</t>
  </si>
  <si>
    <t>BE 4</t>
  </si>
  <si>
    <t>MH 1</t>
  </si>
  <si>
    <t>MH 2</t>
  </si>
  <si>
    <t>MH 3</t>
  </si>
  <si>
    <t>MH 4</t>
  </si>
  <si>
    <t>yield</t>
  </si>
  <si>
    <t>RN1</t>
  </si>
  <si>
    <t>TG1</t>
  </si>
  <si>
    <t>JA3</t>
  </si>
  <si>
    <t>KS1</t>
  </si>
  <si>
    <t>KS2</t>
  </si>
  <si>
    <t>KS3</t>
  </si>
  <si>
    <t>BS2</t>
  </si>
  <si>
    <t>EE1</t>
  </si>
  <si>
    <t>BS1</t>
  </si>
  <si>
    <t>EE2</t>
  </si>
  <si>
    <t>TG2</t>
  </si>
  <si>
    <t>RN2</t>
  </si>
  <si>
    <t>CK2</t>
  </si>
  <si>
    <t>KK2</t>
  </si>
  <si>
    <t>JA2</t>
  </si>
  <si>
    <t>BH2</t>
  </si>
  <si>
    <t>BH1</t>
  </si>
  <si>
    <t>BH3</t>
  </si>
  <si>
    <t>JA1</t>
  </si>
  <si>
    <t>KK1</t>
  </si>
  <si>
    <t>KK3</t>
  </si>
  <si>
    <t>CK1</t>
  </si>
  <si>
    <t>CK3</t>
  </si>
  <si>
    <t>TG3</t>
  </si>
  <si>
    <t>RN3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</si>
</sst>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1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23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27">
    <xf numFmtId="0" fontId="0" fillId="0" borderId="0" xfId="0"/>
    <xf numFmtId="14" fontId="0" fillId="0" borderId="0" xfId="0" applyNumberFormat="1"/>
    <xf numFmtId="0" fontId="4" fillId="0" borderId="0" xfId="0" applyFont="1"/>
    <xf numFmtId="2" fontId="0" fillId="0" borderId="0" xfId="0" applyNumberFormat="1" applyBorder="1"/>
    <xf numFmtId="0" fontId="0" fillId="0" borderId="0" xfId="0" applyAlignment="1">
      <alignment horizontal="left"/>
    </xf>
    <xf numFmtId="2" fontId="0" fillId="0" borderId="0" xfId="0" applyNumberFormat="1" applyAlignment="1">
      <alignment horizontal="right"/>
    </xf>
    <xf numFmtId="17" fontId="0" fillId="0" borderId="0" xfId="0" quotePrefix="1" applyNumberFormat="1"/>
    <xf numFmtId="164" fontId="0" fillId="0" borderId="0" xfId="0" applyNumberFormat="1"/>
    <xf numFmtId="0" fontId="0" fillId="0" borderId="0" xfId="0" applyFill="1" applyBorder="1"/>
    <xf numFmtId="164" fontId="0" fillId="0" borderId="0" xfId="0" applyNumberFormat="1" applyFont="1" applyFill="1" applyBorder="1" applyAlignment="1">
      <alignment horizontal="center"/>
    </xf>
    <xf numFmtId="14" fontId="4" fillId="0" borderId="0" xfId="0" applyNumberFormat="1" applyFont="1"/>
    <xf numFmtId="0" fontId="5" fillId="0" borderId="0" xfId="0" applyFont="1"/>
    <xf numFmtId="0" fontId="0" fillId="0" borderId="0" xfId="0" applyFont="1"/>
    <xf numFmtId="164" fontId="5" fillId="0" borderId="0" xfId="0" applyNumberFormat="1" applyFont="1"/>
    <xf numFmtId="0" fontId="6" fillId="0" borderId="0" xfId="0" applyFont="1"/>
    <xf numFmtId="0" fontId="7" fillId="0" borderId="0" xfId="0" applyFont="1"/>
    <xf numFmtId="0" fontId="0" fillId="2" borderId="0" xfId="0" applyFill="1"/>
    <xf numFmtId="14" fontId="0" fillId="2" borderId="0" xfId="0" applyNumberFormat="1" applyFill="1"/>
    <xf numFmtId="0" fontId="8" fillId="2" borderId="0" xfId="0" applyFont="1" applyFill="1"/>
    <xf numFmtId="0" fontId="9" fillId="2" borderId="0" xfId="0" applyFont="1" applyFill="1"/>
    <xf numFmtId="14" fontId="8" fillId="2" borderId="0" xfId="0" applyNumberFormat="1" applyFont="1" applyFill="1"/>
    <xf numFmtId="1" fontId="0" fillId="0" borderId="0" xfId="0" applyNumberFormat="1"/>
    <xf numFmtId="14" fontId="0" fillId="0" borderId="0" xfId="0" applyNumberFormat="1" applyFill="1" applyBorder="1"/>
    <xf numFmtId="0" fontId="1" fillId="0" borderId="0" xfId="0" applyFont="1"/>
    <xf numFmtId="14" fontId="0" fillId="0" borderId="0" xfId="0" applyNumberFormat="1" applyFont="1" applyFill="1" applyBorder="1"/>
    <xf numFmtId="1" fontId="0" fillId="0" borderId="0" xfId="0" applyNumberFormat="1" applyFont="1"/>
    <xf numFmtId="164" fontId="0" fillId="0" borderId="0" xfId="0" applyNumberFormat="1" applyFont="1"/>
  </cellXfs>
  <cellStyles count="123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Followed Hyperlink" xfId="522" builtinId="9" hidden="1"/>
    <cellStyle name="Followed Hyperlink" xfId="524" builtinId="9" hidden="1"/>
    <cellStyle name="Followed Hyperlink" xfId="526" builtinId="9" hidden="1"/>
    <cellStyle name="Followed Hyperlink" xfId="528" builtinId="9" hidden="1"/>
    <cellStyle name="Followed Hyperlink" xfId="530" builtinId="9" hidden="1"/>
    <cellStyle name="Followed Hyperlink" xfId="532" builtinId="9" hidden="1"/>
    <cellStyle name="Followed Hyperlink" xfId="534" builtinId="9" hidden="1"/>
    <cellStyle name="Followed Hyperlink" xfId="536" builtinId="9" hidden="1"/>
    <cellStyle name="Followed Hyperlink" xfId="538" builtinId="9" hidden="1"/>
    <cellStyle name="Followed Hyperlink" xfId="540" builtinId="9" hidden="1"/>
    <cellStyle name="Followed Hyperlink" xfId="542" builtinId="9" hidden="1"/>
    <cellStyle name="Followed Hyperlink" xfId="544" builtinId="9" hidden="1"/>
    <cellStyle name="Followed Hyperlink" xfId="546" builtinId="9" hidden="1"/>
    <cellStyle name="Followed Hyperlink" xfId="548" builtinId="9" hidden="1"/>
    <cellStyle name="Followed Hyperlink" xfId="550" builtinId="9" hidden="1"/>
    <cellStyle name="Followed Hyperlink" xfId="552" builtinId="9" hidden="1"/>
    <cellStyle name="Followed Hyperlink" xfId="554" builtinId="9" hidden="1"/>
    <cellStyle name="Followed Hyperlink" xfId="556" builtinId="9" hidden="1"/>
    <cellStyle name="Followed Hyperlink" xfId="558" builtinId="9" hidden="1"/>
    <cellStyle name="Followed Hyperlink" xfId="560" builtinId="9" hidden="1"/>
    <cellStyle name="Followed Hyperlink" xfId="562" builtinId="9" hidden="1"/>
    <cellStyle name="Followed Hyperlink" xfId="564" builtinId="9" hidden="1"/>
    <cellStyle name="Followed Hyperlink" xfId="566" builtinId="9" hidden="1"/>
    <cellStyle name="Followed Hyperlink" xfId="568" builtinId="9" hidden="1"/>
    <cellStyle name="Followed Hyperlink" xfId="570" builtinId="9" hidden="1"/>
    <cellStyle name="Followed Hyperlink" xfId="572" builtinId="9" hidden="1"/>
    <cellStyle name="Followed Hyperlink" xfId="574" builtinId="9" hidden="1"/>
    <cellStyle name="Followed Hyperlink" xfId="576" builtinId="9" hidden="1"/>
    <cellStyle name="Followed Hyperlink" xfId="578" builtinId="9" hidden="1"/>
    <cellStyle name="Followed Hyperlink" xfId="580" builtinId="9" hidden="1"/>
    <cellStyle name="Followed Hyperlink" xfId="582" builtinId="9" hidden="1"/>
    <cellStyle name="Followed Hyperlink" xfId="584" builtinId="9" hidden="1"/>
    <cellStyle name="Followed Hyperlink" xfId="586" builtinId="9" hidden="1"/>
    <cellStyle name="Followed Hyperlink" xfId="588" builtinId="9" hidden="1"/>
    <cellStyle name="Followed Hyperlink" xfId="590" builtinId="9" hidden="1"/>
    <cellStyle name="Followed Hyperlink" xfId="592" builtinId="9" hidden="1"/>
    <cellStyle name="Followed Hyperlink" xfId="594" builtinId="9" hidden="1"/>
    <cellStyle name="Followed Hyperlink" xfId="596" builtinId="9" hidden="1"/>
    <cellStyle name="Followed Hyperlink" xfId="598" builtinId="9" hidden="1"/>
    <cellStyle name="Followed Hyperlink" xfId="600" builtinId="9" hidden="1"/>
    <cellStyle name="Followed Hyperlink" xfId="602" builtinId="9" hidden="1"/>
    <cellStyle name="Followed Hyperlink" xfId="604" builtinId="9" hidden="1"/>
    <cellStyle name="Followed Hyperlink" xfId="606" builtinId="9" hidden="1"/>
    <cellStyle name="Followed Hyperlink" xfId="608" builtinId="9" hidden="1"/>
    <cellStyle name="Followed Hyperlink" xfId="610" builtinId="9" hidden="1"/>
    <cellStyle name="Followed Hyperlink" xfId="612" builtinId="9" hidden="1"/>
    <cellStyle name="Followed Hyperlink" xfId="614" builtinId="9" hidden="1"/>
    <cellStyle name="Followed Hyperlink" xfId="616" builtinId="9" hidden="1"/>
    <cellStyle name="Followed Hyperlink" xfId="618" builtinId="9" hidden="1"/>
    <cellStyle name="Followed Hyperlink" xfId="620" builtinId="9" hidden="1"/>
    <cellStyle name="Followed Hyperlink" xfId="622" builtinId="9" hidden="1"/>
    <cellStyle name="Followed Hyperlink" xfId="624" builtinId="9" hidden="1"/>
    <cellStyle name="Followed Hyperlink" xfId="626" builtinId="9" hidden="1"/>
    <cellStyle name="Followed Hyperlink" xfId="628" builtinId="9" hidden="1"/>
    <cellStyle name="Followed Hyperlink" xfId="630" builtinId="9" hidden="1"/>
    <cellStyle name="Followed Hyperlink" xfId="632" builtinId="9" hidden="1"/>
    <cellStyle name="Followed Hyperlink" xfId="634" builtinId="9" hidden="1"/>
    <cellStyle name="Followed Hyperlink" xfId="636" builtinId="9" hidden="1"/>
    <cellStyle name="Followed Hyperlink" xfId="638" builtinId="9" hidden="1"/>
    <cellStyle name="Followed Hyperlink" xfId="640" builtinId="9" hidden="1"/>
    <cellStyle name="Followed Hyperlink" xfId="642" builtinId="9" hidden="1"/>
    <cellStyle name="Followed Hyperlink" xfId="644" builtinId="9" hidden="1"/>
    <cellStyle name="Followed Hyperlink" xfId="646" builtinId="9" hidden="1"/>
    <cellStyle name="Followed Hyperlink" xfId="648" builtinId="9" hidden="1"/>
    <cellStyle name="Followed Hyperlink" xfId="650" builtinId="9" hidden="1"/>
    <cellStyle name="Followed Hyperlink" xfId="652" builtinId="9" hidden="1"/>
    <cellStyle name="Followed Hyperlink" xfId="654" builtinId="9" hidden="1"/>
    <cellStyle name="Followed Hyperlink" xfId="656" builtinId="9" hidden="1"/>
    <cellStyle name="Followed Hyperlink" xfId="658" builtinId="9" hidden="1"/>
    <cellStyle name="Followed Hyperlink" xfId="660" builtinId="9" hidden="1"/>
    <cellStyle name="Followed Hyperlink" xfId="662" builtinId="9" hidden="1"/>
    <cellStyle name="Followed Hyperlink" xfId="664" builtinId="9" hidden="1"/>
    <cellStyle name="Followed Hyperlink" xfId="666" builtinId="9" hidden="1"/>
    <cellStyle name="Followed Hyperlink" xfId="668" builtinId="9" hidden="1"/>
    <cellStyle name="Followed Hyperlink" xfId="670" builtinId="9" hidden="1"/>
    <cellStyle name="Followed Hyperlink" xfId="672" builtinId="9" hidden="1"/>
    <cellStyle name="Followed Hyperlink" xfId="674" builtinId="9" hidden="1"/>
    <cellStyle name="Followed Hyperlink" xfId="676" builtinId="9" hidden="1"/>
    <cellStyle name="Followed Hyperlink" xfId="678" builtinId="9" hidden="1"/>
    <cellStyle name="Followed Hyperlink" xfId="680" builtinId="9" hidden="1"/>
    <cellStyle name="Followed Hyperlink" xfId="682" builtinId="9" hidden="1"/>
    <cellStyle name="Followed Hyperlink" xfId="684" builtinId="9" hidden="1"/>
    <cellStyle name="Followed Hyperlink" xfId="686" builtinId="9" hidden="1"/>
    <cellStyle name="Followed Hyperlink" xfId="688" builtinId="9" hidden="1"/>
    <cellStyle name="Followed Hyperlink" xfId="690" builtinId="9" hidden="1"/>
    <cellStyle name="Followed Hyperlink" xfId="692" builtinId="9" hidden="1"/>
    <cellStyle name="Followed Hyperlink" xfId="694" builtinId="9" hidden="1"/>
    <cellStyle name="Followed Hyperlink" xfId="696" builtinId="9" hidden="1"/>
    <cellStyle name="Followed Hyperlink" xfId="698" builtinId="9" hidden="1"/>
    <cellStyle name="Followed Hyperlink" xfId="700" builtinId="9" hidden="1"/>
    <cellStyle name="Followed Hyperlink" xfId="702" builtinId="9" hidden="1"/>
    <cellStyle name="Followed Hyperlink" xfId="704" builtinId="9" hidden="1"/>
    <cellStyle name="Followed Hyperlink" xfId="706" builtinId="9" hidden="1"/>
    <cellStyle name="Followed Hyperlink" xfId="708" builtinId="9" hidden="1"/>
    <cellStyle name="Followed Hyperlink" xfId="710" builtinId="9" hidden="1"/>
    <cellStyle name="Followed Hyperlink" xfId="712" builtinId="9" hidden="1"/>
    <cellStyle name="Followed Hyperlink" xfId="714" builtinId="9" hidden="1"/>
    <cellStyle name="Followed Hyperlink" xfId="716" builtinId="9" hidden="1"/>
    <cellStyle name="Followed Hyperlink" xfId="718" builtinId="9" hidden="1"/>
    <cellStyle name="Followed Hyperlink" xfId="720" builtinId="9" hidden="1"/>
    <cellStyle name="Followed Hyperlink" xfId="722" builtinId="9" hidden="1"/>
    <cellStyle name="Followed Hyperlink" xfId="724" builtinId="9" hidden="1"/>
    <cellStyle name="Followed Hyperlink" xfId="726" builtinId="9" hidden="1"/>
    <cellStyle name="Followed Hyperlink" xfId="728" builtinId="9" hidden="1"/>
    <cellStyle name="Followed Hyperlink" xfId="730" builtinId="9" hidden="1"/>
    <cellStyle name="Followed Hyperlink" xfId="732" builtinId="9" hidden="1"/>
    <cellStyle name="Followed Hyperlink" xfId="734" builtinId="9" hidden="1"/>
    <cellStyle name="Followed Hyperlink" xfId="736" builtinId="9" hidden="1"/>
    <cellStyle name="Followed Hyperlink" xfId="738" builtinId="9" hidden="1"/>
    <cellStyle name="Followed Hyperlink" xfId="740" builtinId="9" hidden="1"/>
    <cellStyle name="Followed Hyperlink" xfId="742" builtinId="9" hidden="1"/>
    <cellStyle name="Followed Hyperlink" xfId="744" builtinId="9" hidden="1"/>
    <cellStyle name="Followed Hyperlink" xfId="746" builtinId="9" hidden="1"/>
    <cellStyle name="Followed Hyperlink" xfId="748" builtinId="9" hidden="1"/>
    <cellStyle name="Followed Hyperlink" xfId="750" builtinId="9" hidden="1"/>
    <cellStyle name="Followed Hyperlink" xfId="752" builtinId="9" hidden="1"/>
    <cellStyle name="Followed Hyperlink" xfId="754" builtinId="9" hidden="1"/>
    <cellStyle name="Followed Hyperlink" xfId="756" builtinId="9" hidden="1"/>
    <cellStyle name="Followed Hyperlink" xfId="758" builtinId="9" hidden="1"/>
    <cellStyle name="Followed Hyperlink" xfId="760" builtinId="9" hidden="1"/>
    <cellStyle name="Followed Hyperlink" xfId="762" builtinId="9" hidden="1"/>
    <cellStyle name="Followed Hyperlink" xfId="764" builtinId="9" hidden="1"/>
    <cellStyle name="Followed Hyperlink" xfId="766" builtinId="9" hidden="1"/>
    <cellStyle name="Followed Hyperlink" xfId="768" builtinId="9" hidden="1"/>
    <cellStyle name="Followed Hyperlink" xfId="770" builtinId="9" hidden="1"/>
    <cellStyle name="Followed Hyperlink" xfId="772" builtinId="9" hidden="1"/>
    <cellStyle name="Followed Hyperlink" xfId="774" builtinId="9" hidden="1"/>
    <cellStyle name="Followed Hyperlink" xfId="776" builtinId="9" hidden="1"/>
    <cellStyle name="Followed Hyperlink" xfId="778" builtinId="9" hidden="1"/>
    <cellStyle name="Followed Hyperlink" xfId="780" builtinId="9" hidden="1"/>
    <cellStyle name="Followed Hyperlink" xfId="782" builtinId="9" hidden="1"/>
    <cellStyle name="Followed Hyperlink" xfId="784" builtinId="9" hidden="1"/>
    <cellStyle name="Followed Hyperlink" xfId="786" builtinId="9" hidden="1"/>
    <cellStyle name="Followed Hyperlink" xfId="788" builtinId="9" hidden="1"/>
    <cellStyle name="Followed Hyperlink" xfId="790" builtinId="9" hidden="1"/>
    <cellStyle name="Followed Hyperlink" xfId="792" builtinId="9" hidden="1"/>
    <cellStyle name="Followed Hyperlink" xfId="794" builtinId="9" hidden="1"/>
    <cellStyle name="Followed Hyperlink" xfId="796" builtinId="9" hidden="1"/>
    <cellStyle name="Followed Hyperlink" xfId="798" builtinId="9" hidden="1"/>
    <cellStyle name="Followed Hyperlink" xfId="800" builtinId="9" hidden="1"/>
    <cellStyle name="Followed Hyperlink" xfId="802" builtinId="9" hidden="1"/>
    <cellStyle name="Followed Hyperlink" xfId="804" builtinId="9" hidden="1"/>
    <cellStyle name="Followed Hyperlink" xfId="806" builtinId="9" hidden="1"/>
    <cellStyle name="Followed Hyperlink" xfId="808" builtinId="9" hidden="1"/>
    <cellStyle name="Followed Hyperlink" xfId="810" builtinId="9" hidden="1"/>
    <cellStyle name="Followed Hyperlink" xfId="812" builtinId="9" hidden="1"/>
    <cellStyle name="Followed Hyperlink" xfId="814" builtinId="9" hidden="1"/>
    <cellStyle name="Followed Hyperlink" xfId="816" builtinId="9" hidden="1"/>
    <cellStyle name="Followed Hyperlink" xfId="818" builtinId="9" hidden="1"/>
    <cellStyle name="Followed Hyperlink" xfId="820" builtinId="9" hidden="1"/>
    <cellStyle name="Followed Hyperlink" xfId="822" builtinId="9" hidden="1"/>
    <cellStyle name="Followed Hyperlink" xfId="824" builtinId="9" hidden="1"/>
    <cellStyle name="Followed Hyperlink" xfId="826" builtinId="9" hidden="1"/>
    <cellStyle name="Followed Hyperlink" xfId="828" builtinId="9" hidden="1"/>
    <cellStyle name="Followed Hyperlink" xfId="830" builtinId="9" hidden="1"/>
    <cellStyle name="Followed Hyperlink" xfId="832" builtinId="9" hidden="1"/>
    <cellStyle name="Followed Hyperlink" xfId="834" builtinId="9" hidden="1"/>
    <cellStyle name="Followed Hyperlink" xfId="836" builtinId="9" hidden="1"/>
    <cellStyle name="Followed Hyperlink" xfId="838" builtinId="9" hidden="1"/>
    <cellStyle name="Followed Hyperlink" xfId="840" builtinId="9" hidden="1"/>
    <cellStyle name="Followed Hyperlink" xfId="842" builtinId="9" hidden="1"/>
    <cellStyle name="Followed Hyperlink" xfId="844" builtinId="9" hidden="1"/>
    <cellStyle name="Followed Hyperlink" xfId="846" builtinId="9" hidden="1"/>
    <cellStyle name="Followed Hyperlink" xfId="848" builtinId="9" hidden="1"/>
    <cellStyle name="Followed Hyperlink" xfId="850" builtinId="9" hidden="1"/>
    <cellStyle name="Followed Hyperlink" xfId="852" builtinId="9" hidden="1"/>
    <cellStyle name="Followed Hyperlink" xfId="854" builtinId="9" hidden="1"/>
    <cellStyle name="Followed Hyperlink" xfId="856" builtinId="9" hidden="1"/>
    <cellStyle name="Followed Hyperlink" xfId="858" builtinId="9" hidden="1"/>
    <cellStyle name="Followed Hyperlink" xfId="860" builtinId="9" hidden="1"/>
    <cellStyle name="Followed Hyperlink" xfId="862" builtinId="9" hidden="1"/>
    <cellStyle name="Followed Hyperlink" xfId="864" builtinId="9" hidden="1"/>
    <cellStyle name="Followed Hyperlink" xfId="866" builtinId="9" hidden="1"/>
    <cellStyle name="Followed Hyperlink" xfId="868" builtinId="9" hidden="1"/>
    <cellStyle name="Followed Hyperlink" xfId="870" builtinId="9" hidden="1"/>
    <cellStyle name="Followed Hyperlink" xfId="872" builtinId="9" hidden="1"/>
    <cellStyle name="Followed Hyperlink" xfId="874" builtinId="9" hidden="1"/>
    <cellStyle name="Followed Hyperlink" xfId="876" builtinId="9" hidden="1"/>
    <cellStyle name="Followed Hyperlink" xfId="878" builtinId="9" hidden="1"/>
    <cellStyle name="Followed Hyperlink" xfId="880" builtinId="9" hidden="1"/>
    <cellStyle name="Followed Hyperlink" xfId="882" builtinId="9" hidden="1"/>
    <cellStyle name="Followed Hyperlink" xfId="884" builtinId="9" hidden="1"/>
    <cellStyle name="Followed Hyperlink" xfId="886" builtinId="9" hidden="1"/>
    <cellStyle name="Followed Hyperlink" xfId="888" builtinId="9" hidden="1"/>
    <cellStyle name="Followed Hyperlink" xfId="890" builtinId="9" hidden="1"/>
    <cellStyle name="Followed Hyperlink" xfId="892" builtinId="9" hidden="1"/>
    <cellStyle name="Followed Hyperlink" xfId="894" builtinId="9" hidden="1"/>
    <cellStyle name="Followed Hyperlink" xfId="896" builtinId="9" hidden="1"/>
    <cellStyle name="Followed Hyperlink" xfId="898" builtinId="9" hidden="1"/>
    <cellStyle name="Followed Hyperlink" xfId="900" builtinId="9" hidden="1"/>
    <cellStyle name="Followed Hyperlink" xfId="902" builtinId="9" hidden="1"/>
    <cellStyle name="Followed Hyperlink" xfId="904" builtinId="9" hidden="1"/>
    <cellStyle name="Followed Hyperlink" xfId="906" builtinId="9" hidden="1"/>
    <cellStyle name="Followed Hyperlink" xfId="908" builtinId="9" hidden="1"/>
    <cellStyle name="Followed Hyperlink" xfId="910" builtinId="9" hidden="1"/>
    <cellStyle name="Followed Hyperlink" xfId="912" builtinId="9" hidden="1"/>
    <cellStyle name="Followed Hyperlink" xfId="914" builtinId="9" hidden="1"/>
    <cellStyle name="Followed Hyperlink" xfId="916" builtinId="9" hidden="1"/>
    <cellStyle name="Followed Hyperlink" xfId="918" builtinId="9" hidden="1"/>
    <cellStyle name="Followed Hyperlink" xfId="920" builtinId="9" hidden="1"/>
    <cellStyle name="Followed Hyperlink" xfId="922" builtinId="9" hidden="1"/>
    <cellStyle name="Followed Hyperlink" xfId="924" builtinId="9" hidden="1"/>
    <cellStyle name="Followed Hyperlink" xfId="926" builtinId="9" hidden="1"/>
    <cellStyle name="Followed Hyperlink" xfId="928" builtinId="9" hidden="1"/>
    <cellStyle name="Followed Hyperlink" xfId="930" builtinId="9" hidden="1"/>
    <cellStyle name="Followed Hyperlink" xfId="932" builtinId="9" hidden="1"/>
    <cellStyle name="Followed Hyperlink" xfId="934" builtinId="9" hidden="1"/>
    <cellStyle name="Followed Hyperlink" xfId="936" builtinId="9" hidden="1"/>
    <cellStyle name="Followed Hyperlink" xfId="938" builtinId="9" hidden="1"/>
    <cellStyle name="Followed Hyperlink" xfId="940" builtinId="9" hidden="1"/>
    <cellStyle name="Followed Hyperlink" xfId="942" builtinId="9" hidden="1"/>
    <cellStyle name="Followed Hyperlink" xfId="944" builtinId="9" hidden="1"/>
    <cellStyle name="Followed Hyperlink" xfId="946" builtinId="9" hidden="1"/>
    <cellStyle name="Followed Hyperlink" xfId="948" builtinId="9" hidden="1"/>
    <cellStyle name="Followed Hyperlink" xfId="950" builtinId="9" hidden="1"/>
    <cellStyle name="Followed Hyperlink" xfId="952" builtinId="9" hidden="1"/>
    <cellStyle name="Followed Hyperlink" xfId="954" builtinId="9" hidden="1"/>
    <cellStyle name="Followed Hyperlink" xfId="956" builtinId="9" hidden="1"/>
    <cellStyle name="Followed Hyperlink" xfId="958" builtinId="9" hidden="1"/>
    <cellStyle name="Followed Hyperlink" xfId="960" builtinId="9" hidden="1"/>
    <cellStyle name="Followed Hyperlink" xfId="962" builtinId="9" hidden="1"/>
    <cellStyle name="Followed Hyperlink" xfId="964" builtinId="9" hidden="1"/>
    <cellStyle name="Followed Hyperlink" xfId="966" builtinId="9" hidden="1"/>
    <cellStyle name="Followed Hyperlink" xfId="968" builtinId="9" hidden="1"/>
    <cellStyle name="Followed Hyperlink" xfId="970" builtinId="9" hidden="1"/>
    <cellStyle name="Followed Hyperlink" xfId="972" builtinId="9" hidden="1"/>
    <cellStyle name="Followed Hyperlink" xfId="974" builtinId="9" hidden="1"/>
    <cellStyle name="Followed Hyperlink" xfId="976" builtinId="9" hidden="1"/>
    <cellStyle name="Followed Hyperlink" xfId="978" builtinId="9" hidden="1"/>
    <cellStyle name="Followed Hyperlink" xfId="980" builtinId="9" hidden="1"/>
    <cellStyle name="Followed Hyperlink" xfId="982" builtinId="9" hidden="1"/>
    <cellStyle name="Followed Hyperlink" xfId="984" builtinId="9" hidden="1"/>
    <cellStyle name="Followed Hyperlink" xfId="986" builtinId="9" hidden="1"/>
    <cellStyle name="Followed Hyperlink" xfId="988" builtinId="9" hidden="1"/>
    <cellStyle name="Followed Hyperlink" xfId="990" builtinId="9" hidden="1"/>
    <cellStyle name="Followed Hyperlink" xfId="992" builtinId="9" hidden="1"/>
    <cellStyle name="Followed Hyperlink" xfId="994" builtinId="9" hidden="1"/>
    <cellStyle name="Followed Hyperlink" xfId="996" builtinId="9" hidden="1"/>
    <cellStyle name="Followed Hyperlink" xfId="998" builtinId="9" hidden="1"/>
    <cellStyle name="Followed Hyperlink" xfId="1000" builtinId="9" hidden="1"/>
    <cellStyle name="Followed Hyperlink" xfId="1002" builtinId="9" hidden="1"/>
    <cellStyle name="Followed Hyperlink" xfId="1004" builtinId="9" hidden="1"/>
    <cellStyle name="Followed Hyperlink" xfId="1006" builtinId="9" hidden="1"/>
    <cellStyle name="Followed Hyperlink" xfId="1008" builtinId="9" hidden="1"/>
    <cellStyle name="Followed Hyperlink" xfId="1010" builtinId="9" hidden="1"/>
    <cellStyle name="Followed Hyperlink" xfId="1012" builtinId="9" hidden="1"/>
    <cellStyle name="Followed Hyperlink" xfId="1014" builtinId="9" hidden="1"/>
    <cellStyle name="Followed Hyperlink" xfId="1016" builtinId="9" hidden="1"/>
    <cellStyle name="Followed Hyperlink" xfId="1018" builtinId="9" hidden="1"/>
    <cellStyle name="Followed Hyperlink" xfId="1020" builtinId="9" hidden="1"/>
    <cellStyle name="Followed Hyperlink" xfId="1022" builtinId="9" hidden="1"/>
    <cellStyle name="Followed Hyperlink" xfId="1024" builtinId="9" hidden="1"/>
    <cellStyle name="Followed Hyperlink" xfId="1026" builtinId="9" hidden="1"/>
    <cellStyle name="Followed Hyperlink" xfId="1028" builtinId="9" hidden="1"/>
    <cellStyle name="Followed Hyperlink" xfId="1030" builtinId="9" hidden="1"/>
    <cellStyle name="Followed Hyperlink" xfId="1032" builtinId="9" hidden="1"/>
    <cellStyle name="Followed Hyperlink" xfId="1034" builtinId="9" hidden="1"/>
    <cellStyle name="Followed Hyperlink" xfId="1036" builtinId="9" hidden="1"/>
    <cellStyle name="Followed Hyperlink" xfId="1038" builtinId="9" hidden="1"/>
    <cellStyle name="Followed Hyperlink" xfId="1040" builtinId="9" hidden="1"/>
    <cellStyle name="Followed Hyperlink" xfId="1042" builtinId="9" hidden="1"/>
    <cellStyle name="Followed Hyperlink" xfId="1044" builtinId="9" hidden="1"/>
    <cellStyle name="Followed Hyperlink" xfId="1046" builtinId="9" hidden="1"/>
    <cellStyle name="Followed Hyperlink" xfId="1048" builtinId="9" hidden="1"/>
    <cellStyle name="Followed Hyperlink" xfId="1050" builtinId="9" hidden="1"/>
    <cellStyle name="Followed Hyperlink" xfId="1052" builtinId="9" hidden="1"/>
    <cellStyle name="Followed Hyperlink" xfId="1054" builtinId="9" hidden="1"/>
    <cellStyle name="Followed Hyperlink" xfId="1056" builtinId="9" hidden="1"/>
    <cellStyle name="Followed Hyperlink" xfId="1058" builtinId="9" hidden="1"/>
    <cellStyle name="Followed Hyperlink" xfId="1060" builtinId="9" hidden="1"/>
    <cellStyle name="Followed Hyperlink" xfId="1062" builtinId="9" hidden="1"/>
    <cellStyle name="Followed Hyperlink" xfId="1064" builtinId="9" hidden="1"/>
    <cellStyle name="Followed Hyperlink" xfId="1066" builtinId="9" hidden="1"/>
    <cellStyle name="Followed Hyperlink" xfId="1068" builtinId="9" hidden="1"/>
    <cellStyle name="Followed Hyperlink" xfId="1070" builtinId="9" hidden="1"/>
    <cellStyle name="Followed Hyperlink" xfId="1072" builtinId="9" hidden="1"/>
    <cellStyle name="Followed Hyperlink" xfId="1074" builtinId="9" hidden="1"/>
    <cellStyle name="Followed Hyperlink" xfId="1076" builtinId="9" hidden="1"/>
    <cellStyle name="Followed Hyperlink" xfId="1078" builtinId="9" hidden="1"/>
    <cellStyle name="Followed Hyperlink" xfId="1080" builtinId="9" hidden="1"/>
    <cellStyle name="Followed Hyperlink" xfId="1082" builtinId="9" hidden="1"/>
    <cellStyle name="Followed Hyperlink" xfId="1084" builtinId="9" hidden="1"/>
    <cellStyle name="Followed Hyperlink" xfId="1086" builtinId="9" hidden="1"/>
    <cellStyle name="Followed Hyperlink" xfId="1088" builtinId="9" hidden="1"/>
    <cellStyle name="Followed Hyperlink" xfId="1090" builtinId="9" hidden="1"/>
    <cellStyle name="Followed Hyperlink" xfId="1092" builtinId="9" hidden="1"/>
    <cellStyle name="Followed Hyperlink" xfId="1094" builtinId="9" hidden="1"/>
    <cellStyle name="Followed Hyperlink" xfId="1096" builtinId="9" hidden="1"/>
    <cellStyle name="Followed Hyperlink" xfId="1098" builtinId="9" hidden="1"/>
    <cellStyle name="Followed Hyperlink" xfId="1100" builtinId="9" hidden="1"/>
    <cellStyle name="Followed Hyperlink" xfId="1102" builtinId="9" hidden="1"/>
    <cellStyle name="Followed Hyperlink" xfId="1104" builtinId="9" hidden="1"/>
    <cellStyle name="Followed Hyperlink" xfId="1106" builtinId="9" hidden="1"/>
    <cellStyle name="Followed Hyperlink" xfId="1108" builtinId="9" hidden="1"/>
    <cellStyle name="Followed Hyperlink" xfId="1110" builtinId="9" hidden="1"/>
    <cellStyle name="Followed Hyperlink" xfId="1112" builtinId="9" hidden="1"/>
    <cellStyle name="Followed Hyperlink" xfId="1114" builtinId="9" hidden="1"/>
    <cellStyle name="Followed Hyperlink" xfId="1116" builtinId="9" hidden="1"/>
    <cellStyle name="Followed Hyperlink" xfId="1118" builtinId="9" hidden="1"/>
    <cellStyle name="Followed Hyperlink" xfId="1120" builtinId="9" hidden="1"/>
    <cellStyle name="Followed Hyperlink" xfId="1122" builtinId="9" hidden="1"/>
    <cellStyle name="Followed Hyperlink" xfId="1124" builtinId="9" hidden="1"/>
    <cellStyle name="Followed Hyperlink" xfId="1126" builtinId="9" hidden="1"/>
    <cellStyle name="Followed Hyperlink" xfId="1128" builtinId="9" hidden="1"/>
    <cellStyle name="Followed Hyperlink" xfId="1130" builtinId="9" hidden="1"/>
    <cellStyle name="Followed Hyperlink" xfId="1132" builtinId="9" hidden="1"/>
    <cellStyle name="Followed Hyperlink" xfId="1134" builtinId="9" hidden="1"/>
    <cellStyle name="Followed Hyperlink" xfId="1136" builtinId="9" hidden="1"/>
    <cellStyle name="Followed Hyperlink" xfId="1138" builtinId="9" hidden="1"/>
    <cellStyle name="Followed Hyperlink" xfId="1140" builtinId="9" hidden="1"/>
    <cellStyle name="Followed Hyperlink" xfId="1142" builtinId="9" hidden="1"/>
    <cellStyle name="Followed Hyperlink" xfId="1144" builtinId="9" hidden="1"/>
    <cellStyle name="Followed Hyperlink" xfId="1146" builtinId="9" hidden="1"/>
    <cellStyle name="Followed Hyperlink" xfId="1148" builtinId="9" hidden="1"/>
    <cellStyle name="Followed Hyperlink" xfId="1150" builtinId="9" hidden="1"/>
    <cellStyle name="Followed Hyperlink" xfId="1152" builtinId="9" hidden="1"/>
    <cellStyle name="Followed Hyperlink" xfId="1154" builtinId="9" hidden="1"/>
    <cellStyle name="Followed Hyperlink" xfId="1156" builtinId="9" hidden="1"/>
    <cellStyle name="Followed Hyperlink" xfId="1158" builtinId="9" hidden="1"/>
    <cellStyle name="Followed Hyperlink" xfId="1160" builtinId="9" hidden="1"/>
    <cellStyle name="Followed Hyperlink" xfId="1162" builtinId="9" hidden="1"/>
    <cellStyle name="Followed Hyperlink" xfId="1164" builtinId="9" hidden="1"/>
    <cellStyle name="Followed Hyperlink" xfId="1166" builtinId="9" hidden="1"/>
    <cellStyle name="Followed Hyperlink" xfId="1168" builtinId="9" hidden="1"/>
    <cellStyle name="Followed Hyperlink" xfId="1170" builtinId="9" hidden="1"/>
    <cellStyle name="Followed Hyperlink" xfId="1172" builtinId="9" hidden="1"/>
    <cellStyle name="Followed Hyperlink" xfId="1174" builtinId="9" hidden="1"/>
    <cellStyle name="Followed Hyperlink" xfId="1176" builtinId="9" hidden="1"/>
    <cellStyle name="Followed Hyperlink" xfId="1178" builtinId="9" hidden="1"/>
    <cellStyle name="Followed Hyperlink" xfId="1180" builtinId="9" hidden="1"/>
    <cellStyle name="Followed Hyperlink" xfId="1182" builtinId="9" hidden="1"/>
    <cellStyle name="Followed Hyperlink" xfId="1184" builtinId="9" hidden="1"/>
    <cellStyle name="Followed Hyperlink" xfId="1186" builtinId="9" hidden="1"/>
    <cellStyle name="Followed Hyperlink" xfId="1188" builtinId="9" hidden="1"/>
    <cellStyle name="Followed Hyperlink" xfId="1190" builtinId="9" hidden="1"/>
    <cellStyle name="Followed Hyperlink" xfId="1192" builtinId="9" hidden="1"/>
    <cellStyle name="Followed Hyperlink" xfId="1194" builtinId="9" hidden="1"/>
    <cellStyle name="Followed Hyperlink" xfId="1196" builtinId="9" hidden="1"/>
    <cellStyle name="Followed Hyperlink" xfId="1198" builtinId="9" hidden="1"/>
    <cellStyle name="Followed Hyperlink" xfId="1200" builtinId="9" hidden="1"/>
    <cellStyle name="Followed Hyperlink" xfId="1202" builtinId="9" hidden="1"/>
    <cellStyle name="Followed Hyperlink" xfId="1204" builtinId="9" hidden="1"/>
    <cellStyle name="Followed Hyperlink" xfId="1206" builtinId="9" hidden="1"/>
    <cellStyle name="Followed Hyperlink" xfId="1208" builtinId="9" hidden="1"/>
    <cellStyle name="Followed Hyperlink" xfId="1210" builtinId="9" hidden="1"/>
    <cellStyle name="Followed Hyperlink" xfId="1212" builtinId="9" hidden="1"/>
    <cellStyle name="Followed Hyperlink" xfId="1214" builtinId="9" hidden="1"/>
    <cellStyle name="Followed Hyperlink" xfId="1216" builtinId="9" hidden="1"/>
    <cellStyle name="Followed Hyperlink" xfId="1218" builtinId="9" hidden="1"/>
    <cellStyle name="Followed Hyperlink" xfId="1220" builtinId="9" hidden="1"/>
    <cellStyle name="Followed Hyperlink" xfId="1222" builtinId="9" hidden="1"/>
    <cellStyle name="Followed Hyperlink" xfId="1224" builtinId="9" hidden="1"/>
    <cellStyle name="Followed Hyperlink" xfId="1226" builtinId="9" hidden="1"/>
    <cellStyle name="Followed Hyperlink" xfId="1228" builtinId="9" hidden="1"/>
    <cellStyle name="Followed Hyperlink" xfId="1230" builtinId="9" hidden="1"/>
    <cellStyle name="Followed Hyperlink" xfId="123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Hyperlink" xfId="523" builtinId="8" hidden="1"/>
    <cellStyle name="Hyperlink" xfId="525" builtinId="8" hidden="1"/>
    <cellStyle name="Hyperlink" xfId="527" builtinId="8" hidden="1"/>
    <cellStyle name="Hyperlink" xfId="529" builtinId="8" hidden="1"/>
    <cellStyle name="Hyperlink" xfId="531" builtinId="8" hidden="1"/>
    <cellStyle name="Hyperlink" xfId="533" builtinId="8" hidden="1"/>
    <cellStyle name="Hyperlink" xfId="535" builtinId="8" hidden="1"/>
    <cellStyle name="Hyperlink" xfId="537" builtinId="8" hidden="1"/>
    <cellStyle name="Hyperlink" xfId="539" builtinId="8" hidden="1"/>
    <cellStyle name="Hyperlink" xfId="541" builtinId="8" hidden="1"/>
    <cellStyle name="Hyperlink" xfId="543" builtinId="8" hidden="1"/>
    <cellStyle name="Hyperlink" xfId="545" builtinId="8" hidden="1"/>
    <cellStyle name="Hyperlink" xfId="547" builtinId="8" hidden="1"/>
    <cellStyle name="Hyperlink" xfId="549" builtinId="8" hidden="1"/>
    <cellStyle name="Hyperlink" xfId="551" builtinId="8" hidden="1"/>
    <cellStyle name="Hyperlink" xfId="553" builtinId="8" hidden="1"/>
    <cellStyle name="Hyperlink" xfId="555" builtinId="8" hidden="1"/>
    <cellStyle name="Hyperlink" xfId="557" builtinId="8" hidden="1"/>
    <cellStyle name="Hyperlink" xfId="559" builtinId="8" hidden="1"/>
    <cellStyle name="Hyperlink" xfId="561" builtinId="8" hidden="1"/>
    <cellStyle name="Hyperlink" xfId="563" builtinId="8" hidden="1"/>
    <cellStyle name="Hyperlink" xfId="565" builtinId="8" hidden="1"/>
    <cellStyle name="Hyperlink" xfId="567" builtinId="8" hidden="1"/>
    <cellStyle name="Hyperlink" xfId="569" builtinId="8" hidden="1"/>
    <cellStyle name="Hyperlink" xfId="571" builtinId="8" hidden="1"/>
    <cellStyle name="Hyperlink" xfId="573" builtinId="8" hidden="1"/>
    <cellStyle name="Hyperlink" xfId="575" builtinId="8" hidden="1"/>
    <cellStyle name="Hyperlink" xfId="577" builtinId="8" hidden="1"/>
    <cellStyle name="Hyperlink" xfId="579" builtinId="8" hidden="1"/>
    <cellStyle name="Hyperlink" xfId="581" builtinId="8" hidden="1"/>
    <cellStyle name="Hyperlink" xfId="583" builtinId="8" hidden="1"/>
    <cellStyle name="Hyperlink" xfId="585" builtinId="8" hidden="1"/>
    <cellStyle name="Hyperlink" xfId="587" builtinId="8" hidden="1"/>
    <cellStyle name="Hyperlink" xfId="589" builtinId="8" hidden="1"/>
    <cellStyle name="Hyperlink" xfId="591" builtinId="8" hidden="1"/>
    <cellStyle name="Hyperlink" xfId="593" builtinId="8" hidden="1"/>
    <cellStyle name="Hyperlink" xfId="595" builtinId="8" hidden="1"/>
    <cellStyle name="Hyperlink" xfId="597" builtinId="8" hidden="1"/>
    <cellStyle name="Hyperlink" xfId="599" builtinId="8" hidden="1"/>
    <cellStyle name="Hyperlink" xfId="601" builtinId="8" hidden="1"/>
    <cellStyle name="Hyperlink" xfId="603" builtinId="8" hidden="1"/>
    <cellStyle name="Hyperlink" xfId="605" builtinId="8" hidden="1"/>
    <cellStyle name="Hyperlink" xfId="607" builtinId="8" hidden="1"/>
    <cellStyle name="Hyperlink" xfId="609" builtinId="8" hidden="1"/>
    <cellStyle name="Hyperlink" xfId="611" builtinId="8" hidden="1"/>
    <cellStyle name="Hyperlink" xfId="613" builtinId="8" hidden="1"/>
    <cellStyle name="Hyperlink" xfId="615" builtinId="8" hidden="1"/>
    <cellStyle name="Hyperlink" xfId="617" builtinId="8" hidden="1"/>
    <cellStyle name="Hyperlink" xfId="619" builtinId="8" hidden="1"/>
    <cellStyle name="Hyperlink" xfId="621" builtinId="8" hidden="1"/>
    <cellStyle name="Hyperlink" xfId="623" builtinId="8" hidden="1"/>
    <cellStyle name="Hyperlink" xfId="625" builtinId="8" hidden="1"/>
    <cellStyle name="Hyperlink" xfId="627" builtinId="8" hidden="1"/>
    <cellStyle name="Hyperlink" xfId="629" builtinId="8" hidden="1"/>
    <cellStyle name="Hyperlink" xfId="631" builtinId="8" hidden="1"/>
    <cellStyle name="Hyperlink" xfId="633" builtinId="8" hidden="1"/>
    <cellStyle name="Hyperlink" xfId="635" builtinId="8" hidden="1"/>
    <cellStyle name="Hyperlink" xfId="637" builtinId="8" hidden="1"/>
    <cellStyle name="Hyperlink" xfId="639" builtinId="8" hidden="1"/>
    <cellStyle name="Hyperlink" xfId="641" builtinId="8" hidden="1"/>
    <cellStyle name="Hyperlink" xfId="643" builtinId="8" hidden="1"/>
    <cellStyle name="Hyperlink" xfId="645" builtinId="8" hidden="1"/>
    <cellStyle name="Hyperlink" xfId="647" builtinId="8" hidden="1"/>
    <cellStyle name="Hyperlink" xfId="649" builtinId="8" hidden="1"/>
    <cellStyle name="Hyperlink" xfId="651" builtinId="8" hidden="1"/>
    <cellStyle name="Hyperlink" xfId="653" builtinId="8" hidden="1"/>
    <cellStyle name="Hyperlink" xfId="655" builtinId="8" hidden="1"/>
    <cellStyle name="Hyperlink" xfId="657" builtinId="8" hidden="1"/>
    <cellStyle name="Hyperlink" xfId="659" builtinId="8" hidden="1"/>
    <cellStyle name="Hyperlink" xfId="661" builtinId="8" hidden="1"/>
    <cellStyle name="Hyperlink" xfId="663" builtinId="8" hidden="1"/>
    <cellStyle name="Hyperlink" xfId="665" builtinId="8" hidden="1"/>
    <cellStyle name="Hyperlink" xfId="667" builtinId="8" hidden="1"/>
    <cellStyle name="Hyperlink" xfId="669" builtinId="8" hidden="1"/>
    <cellStyle name="Hyperlink" xfId="671" builtinId="8" hidden="1"/>
    <cellStyle name="Hyperlink" xfId="673" builtinId="8" hidden="1"/>
    <cellStyle name="Hyperlink" xfId="675" builtinId="8" hidden="1"/>
    <cellStyle name="Hyperlink" xfId="677" builtinId="8" hidden="1"/>
    <cellStyle name="Hyperlink" xfId="679" builtinId="8" hidden="1"/>
    <cellStyle name="Hyperlink" xfId="681" builtinId="8" hidden="1"/>
    <cellStyle name="Hyperlink" xfId="683" builtinId="8" hidden="1"/>
    <cellStyle name="Hyperlink" xfId="685" builtinId="8" hidden="1"/>
    <cellStyle name="Hyperlink" xfId="687" builtinId="8" hidden="1"/>
    <cellStyle name="Hyperlink" xfId="689" builtinId="8" hidden="1"/>
    <cellStyle name="Hyperlink" xfId="691" builtinId="8" hidden="1"/>
    <cellStyle name="Hyperlink" xfId="693" builtinId="8" hidden="1"/>
    <cellStyle name="Hyperlink" xfId="695" builtinId="8" hidden="1"/>
    <cellStyle name="Hyperlink" xfId="697" builtinId="8" hidden="1"/>
    <cellStyle name="Hyperlink" xfId="699" builtinId="8" hidden="1"/>
    <cellStyle name="Hyperlink" xfId="701" builtinId="8" hidden="1"/>
    <cellStyle name="Hyperlink" xfId="703" builtinId="8" hidden="1"/>
    <cellStyle name="Hyperlink" xfId="705" builtinId="8" hidden="1"/>
    <cellStyle name="Hyperlink" xfId="707" builtinId="8" hidden="1"/>
    <cellStyle name="Hyperlink" xfId="709" builtinId="8" hidden="1"/>
    <cellStyle name="Hyperlink" xfId="711" builtinId="8" hidden="1"/>
    <cellStyle name="Hyperlink" xfId="713" builtinId="8" hidden="1"/>
    <cellStyle name="Hyperlink" xfId="715" builtinId="8" hidden="1"/>
    <cellStyle name="Hyperlink" xfId="717" builtinId="8" hidden="1"/>
    <cellStyle name="Hyperlink" xfId="719" builtinId="8" hidden="1"/>
    <cellStyle name="Hyperlink" xfId="721" builtinId="8" hidden="1"/>
    <cellStyle name="Hyperlink" xfId="723" builtinId="8" hidden="1"/>
    <cellStyle name="Hyperlink" xfId="725" builtinId="8" hidden="1"/>
    <cellStyle name="Hyperlink" xfId="727" builtinId="8" hidden="1"/>
    <cellStyle name="Hyperlink" xfId="729" builtinId="8" hidden="1"/>
    <cellStyle name="Hyperlink" xfId="731" builtinId="8" hidden="1"/>
    <cellStyle name="Hyperlink" xfId="733" builtinId="8" hidden="1"/>
    <cellStyle name="Hyperlink" xfId="735" builtinId="8" hidden="1"/>
    <cellStyle name="Hyperlink" xfId="737" builtinId="8" hidden="1"/>
    <cellStyle name="Hyperlink" xfId="739" builtinId="8" hidden="1"/>
    <cellStyle name="Hyperlink" xfId="741" builtinId="8" hidden="1"/>
    <cellStyle name="Hyperlink" xfId="743" builtinId="8" hidden="1"/>
    <cellStyle name="Hyperlink" xfId="745" builtinId="8" hidden="1"/>
    <cellStyle name="Hyperlink" xfId="747" builtinId="8" hidden="1"/>
    <cellStyle name="Hyperlink" xfId="749" builtinId="8" hidden="1"/>
    <cellStyle name="Hyperlink" xfId="751" builtinId="8" hidden="1"/>
    <cellStyle name="Hyperlink" xfId="753" builtinId="8" hidden="1"/>
    <cellStyle name="Hyperlink" xfId="755" builtinId="8" hidden="1"/>
    <cellStyle name="Hyperlink" xfId="757" builtinId="8" hidden="1"/>
    <cellStyle name="Hyperlink" xfId="759" builtinId="8" hidden="1"/>
    <cellStyle name="Hyperlink" xfId="761" builtinId="8" hidden="1"/>
    <cellStyle name="Hyperlink" xfId="763" builtinId="8" hidden="1"/>
    <cellStyle name="Hyperlink" xfId="765" builtinId="8" hidden="1"/>
    <cellStyle name="Hyperlink" xfId="767" builtinId="8" hidden="1"/>
    <cellStyle name="Hyperlink" xfId="769" builtinId="8" hidden="1"/>
    <cellStyle name="Hyperlink" xfId="771" builtinId="8" hidden="1"/>
    <cellStyle name="Hyperlink" xfId="773" builtinId="8" hidden="1"/>
    <cellStyle name="Hyperlink" xfId="775" builtinId="8" hidden="1"/>
    <cellStyle name="Hyperlink" xfId="777" builtinId="8" hidden="1"/>
    <cellStyle name="Hyperlink" xfId="779" builtinId="8" hidden="1"/>
    <cellStyle name="Hyperlink" xfId="781" builtinId="8" hidden="1"/>
    <cellStyle name="Hyperlink" xfId="783" builtinId="8" hidden="1"/>
    <cellStyle name="Hyperlink" xfId="785" builtinId="8" hidden="1"/>
    <cellStyle name="Hyperlink" xfId="787" builtinId="8" hidden="1"/>
    <cellStyle name="Hyperlink" xfId="789" builtinId="8" hidden="1"/>
    <cellStyle name="Hyperlink" xfId="791" builtinId="8" hidden="1"/>
    <cellStyle name="Hyperlink" xfId="793" builtinId="8" hidden="1"/>
    <cellStyle name="Hyperlink" xfId="795" builtinId="8" hidden="1"/>
    <cellStyle name="Hyperlink" xfId="797" builtinId="8" hidden="1"/>
    <cellStyle name="Hyperlink" xfId="799" builtinId="8" hidden="1"/>
    <cellStyle name="Hyperlink" xfId="801" builtinId="8" hidden="1"/>
    <cellStyle name="Hyperlink" xfId="803" builtinId="8" hidden="1"/>
    <cellStyle name="Hyperlink" xfId="805" builtinId="8" hidden="1"/>
    <cellStyle name="Hyperlink" xfId="807" builtinId="8" hidden="1"/>
    <cellStyle name="Hyperlink" xfId="809" builtinId="8" hidden="1"/>
    <cellStyle name="Hyperlink" xfId="811" builtinId="8" hidden="1"/>
    <cellStyle name="Hyperlink" xfId="813" builtinId="8" hidden="1"/>
    <cellStyle name="Hyperlink" xfId="815" builtinId="8" hidden="1"/>
    <cellStyle name="Hyperlink" xfId="817" builtinId="8" hidden="1"/>
    <cellStyle name="Hyperlink" xfId="819" builtinId="8" hidden="1"/>
    <cellStyle name="Hyperlink" xfId="821" builtinId="8" hidden="1"/>
    <cellStyle name="Hyperlink" xfId="823" builtinId="8" hidden="1"/>
    <cellStyle name="Hyperlink" xfId="825" builtinId="8" hidden="1"/>
    <cellStyle name="Hyperlink" xfId="827" builtinId="8" hidden="1"/>
    <cellStyle name="Hyperlink" xfId="829" builtinId="8" hidden="1"/>
    <cellStyle name="Hyperlink" xfId="831" builtinId="8" hidden="1"/>
    <cellStyle name="Hyperlink" xfId="833" builtinId="8" hidden="1"/>
    <cellStyle name="Hyperlink" xfId="835" builtinId="8" hidden="1"/>
    <cellStyle name="Hyperlink" xfId="837" builtinId="8" hidden="1"/>
    <cellStyle name="Hyperlink" xfId="839" builtinId="8" hidden="1"/>
    <cellStyle name="Hyperlink" xfId="841" builtinId="8" hidden="1"/>
    <cellStyle name="Hyperlink" xfId="843" builtinId="8" hidden="1"/>
    <cellStyle name="Hyperlink" xfId="845" builtinId="8" hidden="1"/>
    <cellStyle name="Hyperlink" xfId="847" builtinId="8" hidden="1"/>
    <cellStyle name="Hyperlink" xfId="849" builtinId="8" hidden="1"/>
    <cellStyle name="Hyperlink" xfId="851" builtinId="8" hidden="1"/>
    <cellStyle name="Hyperlink" xfId="853" builtinId="8" hidden="1"/>
    <cellStyle name="Hyperlink" xfId="855" builtinId="8" hidden="1"/>
    <cellStyle name="Hyperlink" xfId="857" builtinId="8" hidden="1"/>
    <cellStyle name="Hyperlink" xfId="859" builtinId="8" hidden="1"/>
    <cellStyle name="Hyperlink" xfId="861" builtinId="8" hidden="1"/>
    <cellStyle name="Hyperlink" xfId="863" builtinId="8" hidden="1"/>
    <cellStyle name="Hyperlink" xfId="865" builtinId="8" hidden="1"/>
    <cellStyle name="Hyperlink" xfId="867" builtinId="8" hidden="1"/>
    <cellStyle name="Hyperlink" xfId="869" builtinId="8" hidden="1"/>
    <cellStyle name="Hyperlink" xfId="871" builtinId="8" hidden="1"/>
    <cellStyle name="Hyperlink" xfId="873" builtinId="8" hidden="1"/>
    <cellStyle name="Hyperlink" xfId="875" builtinId="8" hidden="1"/>
    <cellStyle name="Hyperlink" xfId="877" builtinId="8" hidden="1"/>
    <cellStyle name="Hyperlink" xfId="879" builtinId="8" hidden="1"/>
    <cellStyle name="Hyperlink" xfId="881" builtinId="8" hidden="1"/>
    <cellStyle name="Hyperlink" xfId="883" builtinId="8" hidden="1"/>
    <cellStyle name="Hyperlink" xfId="885" builtinId="8" hidden="1"/>
    <cellStyle name="Hyperlink" xfId="887" builtinId="8" hidden="1"/>
    <cellStyle name="Hyperlink" xfId="889" builtinId="8" hidden="1"/>
    <cellStyle name="Hyperlink" xfId="891" builtinId="8" hidden="1"/>
    <cellStyle name="Hyperlink" xfId="893" builtinId="8" hidden="1"/>
    <cellStyle name="Hyperlink" xfId="895" builtinId="8" hidden="1"/>
    <cellStyle name="Hyperlink" xfId="897" builtinId="8" hidden="1"/>
    <cellStyle name="Hyperlink" xfId="899" builtinId="8" hidden="1"/>
    <cellStyle name="Hyperlink" xfId="901" builtinId="8" hidden="1"/>
    <cellStyle name="Hyperlink" xfId="903" builtinId="8" hidden="1"/>
    <cellStyle name="Hyperlink" xfId="905" builtinId="8" hidden="1"/>
    <cellStyle name="Hyperlink" xfId="907" builtinId="8" hidden="1"/>
    <cellStyle name="Hyperlink" xfId="909" builtinId="8" hidden="1"/>
    <cellStyle name="Hyperlink" xfId="911" builtinId="8" hidden="1"/>
    <cellStyle name="Hyperlink" xfId="913" builtinId="8" hidden="1"/>
    <cellStyle name="Hyperlink" xfId="915" builtinId="8" hidden="1"/>
    <cellStyle name="Hyperlink" xfId="917" builtinId="8" hidden="1"/>
    <cellStyle name="Hyperlink" xfId="919" builtinId="8" hidden="1"/>
    <cellStyle name="Hyperlink" xfId="921" builtinId="8" hidden="1"/>
    <cellStyle name="Hyperlink" xfId="923" builtinId="8" hidden="1"/>
    <cellStyle name="Hyperlink" xfId="925" builtinId="8" hidden="1"/>
    <cellStyle name="Hyperlink" xfId="927" builtinId="8" hidden="1"/>
    <cellStyle name="Hyperlink" xfId="929" builtinId="8" hidden="1"/>
    <cellStyle name="Hyperlink" xfId="931" builtinId="8" hidden="1"/>
    <cellStyle name="Hyperlink" xfId="933" builtinId="8" hidden="1"/>
    <cellStyle name="Hyperlink" xfId="935" builtinId="8" hidden="1"/>
    <cellStyle name="Hyperlink" xfId="937" builtinId="8" hidden="1"/>
    <cellStyle name="Hyperlink" xfId="939" builtinId="8" hidden="1"/>
    <cellStyle name="Hyperlink" xfId="941" builtinId="8" hidden="1"/>
    <cellStyle name="Hyperlink" xfId="943" builtinId="8" hidden="1"/>
    <cellStyle name="Hyperlink" xfId="945" builtinId="8" hidden="1"/>
    <cellStyle name="Hyperlink" xfId="947" builtinId="8" hidden="1"/>
    <cellStyle name="Hyperlink" xfId="949" builtinId="8" hidden="1"/>
    <cellStyle name="Hyperlink" xfId="951" builtinId="8" hidden="1"/>
    <cellStyle name="Hyperlink" xfId="953" builtinId="8" hidden="1"/>
    <cellStyle name="Hyperlink" xfId="955" builtinId="8" hidden="1"/>
    <cellStyle name="Hyperlink" xfId="957" builtinId="8" hidden="1"/>
    <cellStyle name="Hyperlink" xfId="959" builtinId="8" hidden="1"/>
    <cellStyle name="Hyperlink" xfId="961" builtinId="8" hidden="1"/>
    <cellStyle name="Hyperlink" xfId="963" builtinId="8" hidden="1"/>
    <cellStyle name="Hyperlink" xfId="965" builtinId="8" hidden="1"/>
    <cellStyle name="Hyperlink" xfId="967" builtinId="8" hidden="1"/>
    <cellStyle name="Hyperlink" xfId="969" builtinId="8" hidden="1"/>
    <cellStyle name="Hyperlink" xfId="971" builtinId="8" hidden="1"/>
    <cellStyle name="Hyperlink" xfId="973" builtinId="8" hidden="1"/>
    <cellStyle name="Hyperlink" xfId="975" builtinId="8" hidden="1"/>
    <cellStyle name="Hyperlink" xfId="977" builtinId="8" hidden="1"/>
    <cellStyle name="Hyperlink" xfId="979" builtinId="8" hidden="1"/>
    <cellStyle name="Hyperlink" xfId="981" builtinId="8" hidden="1"/>
    <cellStyle name="Hyperlink" xfId="983" builtinId="8" hidden="1"/>
    <cellStyle name="Hyperlink" xfId="985" builtinId="8" hidden="1"/>
    <cellStyle name="Hyperlink" xfId="987" builtinId="8" hidden="1"/>
    <cellStyle name="Hyperlink" xfId="989" builtinId="8" hidden="1"/>
    <cellStyle name="Hyperlink" xfId="991" builtinId="8" hidden="1"/>
    <cellStyle name="Hyperlink" xfId="993" builtinId="8" hidden="1"/>
    <cellStyle name="Hyperlink" xfId="995" builtinId="8" hidden="1"/>
    <cellStyle name="Hyperlink" xfId="997" builtinId="8" hidden="1"/>
    <cellStyle name="Hyperlink" xfId="999" builtinId="8" hidden="1"/>
    <cellStyle name="Hyperlink" xfId="1001" builtinId="8" hidden="1"/>
    <cellStyle name="Hyperlink" xfId="1003" builtinId="8" hidden="1"/>
    <cellStyle name="Hyperlink" xfId="1005" builtinId="8" hidden="1"/>
    <cellStyle name="Hyperlink" xfId="1007" builtinId="8" hidden="1"/>
    <cellStyle name="Hyperlink" xfId="1009" builtinId="8" hidden="1"/>
    <cellStyle name="Hyperlink" xfId="1011" builtinId="8" hidden="1"/>
    <cellStyle name="Hyperlink" xfId="1013" builtinId="8" hidden="1"/>
    <cellStyle name="Hyperlink" xfId="1015" builtinId="8" hidden="1"/>
    <cellStyle name="Hyperlink" xfId="1017" builtinId="8" hidden="1"/>
    <cellStyle name="Hyperlink" xfId="1019" builtinId="8" hidden="1"/>
    <cellStyle name="Hyperlink" xfId="1021" builtinId="8" hidden="1"/>
    <cellStyle name="Hyperlink" xfId="1023" builtinId="8" hidden="1"/>
    <cellStyle name="Hyperlink" xfId="1025" builtinId="8" hidden="1"/>
    <cellStyle name="Hyperlink" xfId="1027" builtinId="8" hidden="1"/>
    <cellStyle name="Hyperlink" xfId="1029" builtinId="8" hidden="1"/>
    <cellStyle name="Hyperlink" xfId="1031" builtinId="8" hidden="1"/>
    <cellStyle name="Hyperlink" xfId="1033" builtinId="8" hidden="1"/>
    <cellStyle name="Hyperlink" xfId="1035" builtinId="8" hidden="1"/>
    <cellStyle name="Hyperlink" xfId="1037" builtinId="8" hidden="1"/>
    <cellStyle name="Hyperlink" xfId="1039" builtinId="8" hidden="1"/>
    <cellStyle name="Hyperlink" xfId="1041" builtinId="8" hidden="1"/>
    <cellStyle name="Hyperlink" xfId="1043" builtinId="8" hidden="1"/>
    <cellStyle name="Hyperlink" xfId="1045" builtinId="8" hidden="1"/>
    <cellStyle name="Hyperlink" xfId="1047" builtinId="8" hidden="1"/>
    <cellStyle name="Hyperlink" xfId="1049" builtinId="8" hidden="1"/>
    <cellStyle name="Hyperlink" xfId="1051" builtinId="8" hidden="1"/>
    <cellStyle name="Hyperlink" xfId="1053" builtinId="8" hidden="1"/>
    <cellStyle name="Hyperlink" xfId="1055" builtinId="8" hidden="1"/>
    <cellStyle name="Hyperlink" xfId="1057" builtinId="8" hidden="1"/>
    <cellStyle name="Hyperlink" xfId="1059" builtinId="8" hidden="1"/>
    <cellStyle name="Hyperlink" xfId="1061" builtinId="8" hidden="1"/>
    <cellStyle name="Hyperlink" xfId="1063" builtinId="8" hidden="1"/>
    <cellStyle name="Hyperlink" xfId="1065" builtinId="8" hidden="1"/>
    <cellStyle name="Hyperlink" xfId="1067" builtinId="8" hidden="1"/>
    <cellStyle name="Hyperlink" xfId="1069" builtinId="8" hidden="1"/>
    <cellStyle name="Hyperlink" xfId="1071" builtinId="8" hidden="1"/>
    <cellStyle name="Hyperlink" xfId="1073" builtinId="8" hidden="1"/>
    <cellStyle name="Hyperlink" xfId="1075" builtinId="8" hidden="1"/>
    <cellStyle name="Hyperlink" xfId="1077" builtinId="8" hidden="1"/>
    <cellStyle name="Hyperlink" xfId="1079" builtinId="8" hidden="1"/>
    <cellStyle name="Hyperlink" xfId="1081" builtinId="8" hidden="1"/>
    <cellStyle name="Hyperlink" xfId="1083" builtinId="8" hidden="1"/>
    <cellStyle name="Hyperlink" xfId="1085" builtinId="8" hidden="1"/>
    <cellStyle name="Hyperlink" xfId="1087" builtinId="8" hidden="1"/>
    <cellStyle name="Hyperlink" xfId="1089" builtinId="8" hidden="1"/>
    <cellStyle name="Hyperlink" xfId="1091" builtinId="8" hidden="1"/>
    <cellStyle name="Hyperlink" xfId="1093" builtinId="8" hidden="1"/>
    <cellStyle name="Hyperlink" xfId="1095" builtinId="8" hidden="1"/>
    <cellStyle name="Hyperlink" xfId="1097" builtinId="8" hidden="1"/>
    <cellStyle name="Hyperlink" xfId="1099" builtinId="8" hidden="1"/>
    <cellStyle name="Hyperlink" xfId="1101" builtinId="8" hidden="1"/>
    <cellStyle name="Hyperlink" xfId="1103" builtinId="8" hidden="1"/>
    <cellStyle name="Hyperlink" xfId="1105" builtinId="8" hidden="1"/>
    <cellStyle name="Hyperlink" xfId="1107" builtinId="8" hidden="1"/>
    <cellStyle name="Hyperlink" xfId="1109" builtinId="8" hidden="1"/>
    <cellStyle name="Hyperlink" xfId="1111" builtinId="8" hidden="1"/>
    <cellStyle name="Hyperlink" xfId="1113" builtinId="8" hidden="1"/>
    <cellStyle name="Hyperlink" xfId="1115" builtinId="8" hidden="1"/>
    <cellStyle name="Hyperlink" xfId="1117" builtinId="8" hidden="1"/>
    <cellStyle name="Hyperlink" xfId="1119" builtinId="8" hidden="1"/>
    <cellStyle name="Hyperlink" xfId="1121" builtinId="8" hidden="1"/>
    <cellStyle name="Hyperlink" xfId="1123" builtinId="8" hidden="1"/>
    <cellStyle name="Hyperlink" xfId="1125" builtinId="8" hidden="1"/>
    <cellStyle name="Hyperlink" xfId="1127" builtinId="8" hidden="1"/>
    <cellStyle name="Hyperlink" xfId="1129" builtinId="8" hidden="1"/>
    <cellStyle name="Hyperlink" xfId="1131" builtinId="8" hidden="1"/>
    <cellStyle name="Hyperlink" xfId="1133" builtinId="8" hidden="1"/>
    <cellStyle name="Hyperlink" xfId="1135" builtinId="8" hidden="1"/>
    <cellStyle name="Hyperlink" xfId="1137" builtinId="8" hidden="1"/>
    <cellStyle name="Hyperlink" xfId="1139" builtinId="8" hidden="1"/>
    <cellStyle name="Hyperlink" xfId="1141" builtinId="8" hidden="1"/>
    <cellStyle name="Hyperlink" xfId="1143" builtinId="8" hidden="1"/>
    <cellStyle name="Hyperlink" xfId="1145" builtinId="8" hidden="1"/>
    <cellStyle name="Hyperlink" xfId="1147" builtinId="8" hidden="1"/>
    <cellStyle name="Hyperlink" xfId="1149" builtinId="8" hidden="1"/>
    <cellStyle name="Hyperlink" xfId="1151" builtinId="8" hidden="1"/>
    <cellStyle name="Hyperlink" xfId="1153" builtinId="8" hidden="1"/>
    <cellStyle name="Hyperlink" xfId="1155" builtinId="8" hidden="1"/>
    <cellStyle name="Hyperlink" xfId="1157" builtinId="8" hidden="1"/>
    <cellStyle name="Hyperlink" xfId="1159" builtinId="8" hidden="1"/>
    <cellStyle name="Hyperlink" xfId="1161" builtinId="8" hidden="1"/>
    <cellStyle name="Hyperlink" xfId="1163" builtinId="8" hidden="1"/>
    <cellStyle name="Hyperlink" xfId="1165" builtinId="8" hidden="1"/>
    <cellStyle name="Hyperlink" xfId="1167" builtinId="8" hidden="1"/>
    <cellStyle name="Hyperlink" xfId="1169" builtinId="8" hidden="1"/>
    <cellStyle name="Hyperlink" xfId="1171" builtinId="8" hidden="1"/>
    <cellStyle name="Hyperlink" xfId="1173" builtinId="8" hidden="1"/>
    <cellStyle name="Hyperlink" xfId="1175" builtinId="8" hidden="1"/>
    <cellStyle name="Hyperlink" xfId="1177" builtinId="8" hidden="1"/>
    <cellStyle name="Hyperlink" xfId="1179" builtinId="8" hidden="1"/>
    <cellStyle name="Hyperlink" xfId="1181" builtinId="8" hidden="1"/>
    <cellStyle name="Hyperlink" xfId="1183" builtinId="8" hidden="1"/>
    <cellStyle name="Hyperlink" xfId="1185" builtinId="8" hidden="1"/>
    <cellStyle name="Hyperlink" xfId="1187" builtinId="8" hidden="1"/>
    <cellStyle name="Hyperlink" xfId="1189" builtinId="8" hidden="1"/>
    <cellStyle name="Hyperlink" xfId="1191" builtinId="8" hidden="1"/>
    <cellStyle name="Hyperlink" xfId="1193" builtinId="8" hidden="1"/>
    <cellStyle name="Hyperlink" xfId="1195" builtinId="8" hidden="1"/>
    <cellStyle name="Hyperlink" xfId="1197" builtinId="8" hidden="1"/>
    <cellStyle name="Hyperlink" xfId="1199" builtinId="8" hidden="1"/>
    <cellStyle name="Hyperlink" xfId="1201" builtinId="8" hidden="1"/>
    <cellStyle name="Hyperlink" xfId="1203" builtinId="8" hidden="1"/>
    <cellStyle name="Hyperlink" xfId="1205" builtinId="8" hidden="1"/>
    <cellStyle name="Hyperlink" xfId="1207" builtinId="8" hidden="1"/>
    <cellStyle name="Hyperlink" xfId="1209" builtinId="8" hidden="1"/>
    <cellStyle name="Hyperlink" xfId="1211" builtinId="8" hidden="1"/>
    <cellStyle name="Hyperlink" xfId="1213" builtinId="8" hidden="1"/>
    <cellStyle name="Hyperlink" xfId="1215" builtinId="8" hidden="1"/>
    <cellStyle name="Hyperlink" xfId="1217" builtinId="8" hidden="1"/>
    <cellStyle name="Hyperlink" xfId="1219" builtinId="8" hidden="1"/>
    <cellStyle name="Hyperlink" xfId="1221" builtinId="8" hidden="1"/>
    <cellStyle name="Hyperlink" xfId="1223" builtinId="8" hidden="1"/>
    <cellStyle name="Hyperlink" xfId="1225" builtinId="8" hidden="1"/>
    <cellStyle name="Hyperlink" xfId="1227" builtinId="8" hidden="1"/>
    <cellStyle name="Hyperlink" xfId="1229" builtinId="8" hidden="1"/>
    <cellStyle name="Hyperlink" xfId="123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50"/>
  <sheetViews>
    <sheetView workbookViewId="0">
      <pane xSplit="1" ySplit="1" topLeftCell="B2" activePane="bottomRight" state="frozen"/>
      <selection activeCell="BPE5" sqref="BPE5"/>
      <selection pane="topRight" activeCell="BPE5" sqref="BPE5"/>
      <selection pane="bottomLeft" activeCell="BPE5" sqref="BPE5"/>
      <selection pane="bottomRight" activeCell="B1" sqref="B1"/>
    </sheetView>
  </sheetViews>
  <sheetFormatPr defaultColWidth="11" defaultRowHeight="15.75" x14ac:dyDescent="0.25"/>
  <sheetData>
    <row r="1" spans="1:5" x14ac:dyDescent="0.25">
      <c r="A1" t="s">
        <v>4</v>
      </c>
      <c r="B1" t="s">
        <v>5</v>
      </c>
      <c r="C1" t="s">
        <v>6</v>
      </c>
      <c r="D1" t="s">
        <v>72</v>
      </c>
      <c r="E1" t="s">
        <v>68</v>
      </c>
    </row>
    <row r="2" spans="1:5" x14ac:dyDescent="0.25">
      <c r="A2" t="s">
        <v>0</v>
      </c>
      <c r="B2">
        <v>15.281650864472962</v>
      </c>
      <c r="C2" s="1">
        <v>42912</v>
      </c>
      <c r="D2" s="6" t="s">
        <v>75</v>
      </c>
    </row>
    <row r="3" spans="1:5" x14ac:dyDescent="0.25">
      <c r="A3" t="s">
        <v>1</v>
      </c>
      <c r="B3">
        <v>13.918757467144555</v>
      </c>
      <c r="C3" s="1">
        <v>42912</v>
      </c>
      <c r="D3" s="6" t="s">
        <v>75</v>
      </c>
    </row>
    <row r="4" spans="1:5" x14ac:dyDescent="0.25">
      <c r="A4" t="s">
        <v>2</v>
      </c>
      <c r="B4">
        <v>13.261163734776732</v>
      </c>
      <c r="C4" s="1">
        <v>42912</v>
      </c>
      <c r="D4" s="6" t="s">
        <v>75</v>
      </c>
    </row>
    <row r="5" spans="1:5" x14ac:dyDescent="0.25">
      <c r="A5" t="s">
        <v>3</v>
      </c>
      <c r="B5">
        <v>13.376835236541604</v>
      </c>
      <c r="C5" s="1">
        <v>42912</v>
      </c>
      <c r="D5" s="6" t="s">
        <v>75</v>
      </c>
    </row>
    <row r="6" spans="1:5" x14ac:dyDescent="0.25">
      <c r="A6" t="s">
        <v>7</v>
      </c>
      <c r="B6">
        <v>18.786464410735114</v>
      </c>
      <c r="C6" s="1">
        <v>42886</v>
      </c>
      <c r="D6" s="6" t="s">
        <v>73</v>
      </c>
    </row>
    <row r="7" spans="1:5" x14ac:dyDescent="0.25">
      <c r="A7" t="s">
        <v>8</v>
      </c>
      <c r="B7">
        <v>18.415178571428552</v>
      </c>
      <c r="C7" s="1">
        <v>42886</v>
      </c>
      <c r="D7" s="6" t="s">
        <v>73</v>
      </c>
    </row>
    <row r="8" spans="1:5" x14ac:dyDescent="0.25">
      <c r="A8" t="s">
        <v>9</v>
      </c>
      <c r="B8">
        <v>16.462736373748612</v>
      </c>
      <c r="C8" s="1">
        <v>42886</v>
      </c>
      <c r="D8" s="6" t="s">
        <v>73</v>
      </c>
    </row>
    <row r="9" spans="1:5" x14ac:dyDescent="0.25">
      <c r="A9" t="s">
        <v>10</v>
      </c>
      <c r="B9">
        <v>17.245240761478176</v>
      </c>
      <c r="C9" s="1">
        <v>42886</v>
      </c>
      <c r="D9" s="6" t="s">
        <v>73</v>
      </c>
    </row>
    <row r="10" spans="1:5" x14ac:dyDescent="0.25">
      <c r="A10" t="s">
        <v>11</v>
      </c>
      <c r="B10">
        <v>11.179039301310038</v>
      </c>
      <c r="C10" s="1">
        <v>42909</v>
      </c>
      <c r="D10" s="6" t="s">
        <v>75</v>
      </c>
    </row>
    <row r="11" spans="1:5" x14ac:dyDescent="0.25">
      <c r="A11" t="s">
        <v>12</v>
      </c>
      <c r="B11">
        <v>15.290519877675839</v>
      </c>
      <c r="C11" s="1">
        <v>42909</v>
      </c>
      <c r="D11" s="6" t="s">
        <v>75</v>
      </c>
    </row>
    <row r="12" spans="1:5" x14ac:dyDescent="0.25">
      <c r="A12" t="s">
        <v>13</v>
      </c>
      <c r="B12">
        <v>12.199747155499367</v>
      </c>
      <c r="C12" s="1">
        <v>42909</v>
      </c>
      <c r="D12" s="6" t="s">
        <v>75</v>
      </c>
    </row>
    <row r="13" spans="1:5" x14ac:dyDescent="0.25">
      <c r="A13" t="s">
        <v>14</v>
      </c>
      <c r="B13">
        <v>11.592632719393285</v>
      </c>
      <c r="C13" s="1">
        <v>42909</v>
      </c>
      <c r="D13" s="6" t="s">
        <v>75</v>
      </c>
    </row>
    <row r="14" spans="1:5" x14ac:dyDescent="0.25">
      <c r="A14" t="s">
        <v>15</v>
      </c>
      <c r="B14">
        <v>2.466189339697697</v>
      </c>
      <c r="C14" s="1">
        <v>42909</v>
      </c>
      <c r="D14" s="6" t="s">
        <v>75</v>
      </c>
    </row>
    <row r="15" spans="1:5" x14ac:dyDescent="0.25">
      <c r="A15" t="s">
        <v>16</v>
      </c>
      <c r="B15">
        <v>0.98591549295773784</v>
      </c>
      <c r="C15" s="1">
        <v>42909</v>
      </c>
      <c r="D15" s="6" t="s">
        <v>75</v>
      </c>
    </row>
    <row r="16" spans="1:5" x14ac:dyDescent="0.25">
      <c r="A16" t="s">
        <v>17</v>
      </c>
      <c r="B16">
        <v>1.649175412293858</v>
      </c>
      <c r="C16" s="1">
        <v>42909</v>
      </c>
      <c r="D16" s="6" t="s">
        <v>75</v>
      </c>
    </row>
    <row r="17" spans="1:4" x14ac:dyDescent="0.25">
      <c r="A17" t="s">
        <v>18</v>
      </c>
      <c r="B17">
        <v>4.0749796251018742</v>
      </c>
      <c r="C17" s="1">
        <v>42909</v>
      </c>
      <c r="D17" s="6" t="s">
        <v>75</v>
      </c>
    </row>
    <row r="18" spans="1:4" x14ac:dyDescent="0.25">
      <c r="A18" t="s">
        <v>19</v>
      </c>
      <c r="B18">
        <v>12.700964630225082</v>
      </c>
      <c r="C18" s="1">
        <v>42909</v>
      </c>
      <c r="D18" s="6" t="s">
        <v>75</v>
      </c>
    </row>
    <row r="19" spans="1:4" x14ac:dyDescent="0.25">
      <c r="A19" t="s">
        <v>20</v>
      </c>
      <c r="B19">
        <v>14.80968858131488</v>
      </c>
      <c r="C19" s="1">
        <v>42909</v>
      </c>
      <c r="D19" s="6" t="s">
        <v>75</v>
      </c>
    </row>
    <row r="20" spans="1:4" x14ac:dyDescent="0.25">
      <c r="A20" t="s">
        <v>21</v>
      </c>
      <c r="B20">
        <v>13.734713076199426</v>
      </c>
      <c r="C20" s="1">
        <v>42909</v>
      </c>
      <c r="D20" s="6" t="s">
        <v>75</v>
      </c>
    </row>
    <row r="21" spans="1:4" x14ac:dyDescent="0.25">
      <c r="A21" t="s">
        <v>22</v>
      </c>
      <c r="B21">
        <v>12.70161290322581</v>
      </c>
      <c r="C21" s="1">
        <v>42909</v>
      </c>
      <c r="D21" s="6" t="s">
        <v>75</v>
      </c>
    </row>
    <row r="22" spans="1:4" x14ac:dyDescent="0.25">
      <c r="A22" t="s">
        <v>11</v>
      </c>
      <c r="B22" s="3">
        <v>10.141766630316246</v>
      </c>
      <c r="C22" s="1">
        <v>42977</v>
      </c>
      <c r="D22" s="6" t="s">
        <v>74</v>
      </c>
    </row>
    <row r="23" spans="1:4" x14ac:dyDescent="0.25">
      <c r="A23" t="s">
        <v>12</v>
      </c>
      <c r="B23" s="3">
        <v>11.844863731656194</v>
      </c>
      <c r="C23" s="1">
        <v>42977</v>
      </c>
      <c r="D23" s="6" t="s">
        <v>74</v>
      </c>
    </row>
    <row r="24" spans="1:4" x14ac:dyDescent="0.25">
      <c r="A24" t="s">
        <v>13</v>
      </c>
      <c r="B24" s="3">
        <v>7.3545554335894616</v>
      </c>
      <c r="C24" s="1">
        <v>42983</v>
      </c>
      <c r="D24" s="6" t="s">
        <v>74</v>
      </c>
    </row>
    <row r="25" spans="1:4" x14ac:dyDescent="0.25">
      <c r="A25" t="s">
        <v>14</v>
      </c>
      <c r="B25" s="3">
        <v>7.2043010752688152</v>
      </c>
      <c r="C25" s="1">
        <v>42983</v>
      </c>
      <c r="D25" s="6" t="s">
        <v>74</v>
      </c>
    </row>
    <row r="26" spans="1:4" x14ac:dyDescent="0.25">
      <c r="A26" t="s">
        <v>15</v>
      </c>
      <c r="B26" s="3">
        <v>5.1094890510948927</v>
      </c>
      <c r="C26" s="1">
        <v>42977</v>
      </c>
      <c r="D26" s="6" t="s">
        <v>74</v>
      </c>
    </row>
    <row r="27" spans="1:4" x14ac:dyDescent="0.25">
      <c r="A27" t="s">
        <v>16</v>
      </c>
      <c r="B27" s="3">
        <v>4.7767393561786182</v>
      </c>
      <c r="C27" s="1">
        <v>42977</v>
      </c>
      <c r="D27" s="6" t="s">
        <v>74</v>
      </c>
    </row>
    <row r="28" spans="1:4" x14ac:dyDescent="0.25">
      <c r="A28" t="s">
        <v>17</v>
      </c>
      <c r="B28" s="3">
        <v>2.5974025974025956</v>
      </c>
      <c r="C28" s="1">
        <v>42983</v>
      </c>
      <c r="D28" s="6" t="s">
        <v>74</v>
      </c>
    </row>
    <row r="29" spans="1:4" x14ac:dyDescent="0.25">
      <c r="A29" t="s">
        <v>18</v>
      </c>
      <c r="B29" s="3">
        <v>2.1235521235521295</v>
      </c>
      <c r="C29" s="1">
        <v>42983</v>
      </c>
      <c r="D29" s="6" t="s">
        <v>74</v>
      </c>
    </row>
    <row r="30" spans="1:4" x14ac:dyDescent="0.25">
      <c r="A30" t="s">
        <v>19</v>
      </c>
      <c r="B30" s="3">
        <v>3.6960985626283498</v>
      </c>
      <c r="C30" s="1">
        <v>42977</v>
      </c>
      <c r="D30" s="6" t="s">
        <v>74</v>
      </c>
    </row>
    <row r="31" spans="1:4" x14ac:dyDescent="0.25">
      <c r="A31" t="s">
        <v>20</v>
      </c>
      <c r="B31" s="3">
        <v>6.0445387062566311</v>
      </c>
      <c r="C31" s="1">
        <v>42977</v>
      </c>
      <c r="D31" s="6" t="s">
        <v>74</v>
      </c>
    </row>
    <row r="32" spans="1:4" x14ac:dyDescent="0.25">
      <c r="A32" t="s">
        <v>21</v>
      </c>
      <c r="B32" s="3">
        <v>2.1472392638036712</v>
      </c>
      <c r="C32" s="1">
        <v>42983</v>
      </c>
      <c r="D32" s="6" t="s">
        <v>74</v>
      </c>
    </row>
    <row r="33" spans="1:4" x14ac:dyDescent="0.25">
      <c r="A33" t="s">
        <v>22</v>
      </c>
      <c r="B33" s="3">
        <v>3.6534446764091824</v>
      </c>
      <c r="C33" s="1">
        <v>42983</v>
      </c>
      <c r="D33" s="6" t="s">
        <v>74</v>
      </c>
    </row>
    <row r="34" spans="1:4" x14ac:dyDescent="0.25">
      <c r="A34" t="s">
        <v>0</v>
      </c>
      <c r="B34" s="3">
        <v>3.3333333333333162</v>
      </c>
      <c r="C34" s="1">
        <v>42983</v>
      </c>
      <c r="D34" s="6" t="s">
        <v>74</v>
      </c>
    </row>
    <row r="35" spans="1:4" x14ac:dyDescent="0.25">
      <c r="A35" t="s">
        <v>1</v>
      </c>
      <c r="B35" s="3">
        <v>3.876739562624242</v>
      </c>
      <c r="C35" s="1">
        <v>42983</v>
      </c>
      <c r="D35" s="6" t="s">
        <v>74</v>
      </c>
    </row>
    <row r="36" spans="1:4" x14ac:dyDescent="0.25">
      <c r="A36" t="s">
        <v>2</v>
      </c>
      <c r="B36" s="3">
        <v>4.562383612662944</v>
      </c>
      <c r="C36" s="1">
        <v>42983</v>
      </c>
      <c r="D36" s="6" t="s">
        <v>74</v>
      </c>
    </row>
    <row r="37" spans="1:4" x14ac:dyDescent="0.25">
      <c r="A37" t="s">
        <v>3</v>
      </c>
      <c r="B37" s="3">
        <v>3.2105760151085918</v>
      </c>
      <c r="C37" s="1">
        <v>42983</v>
      </c>
      <c r="D37" s="6" t="s">
        <v>74</v>
      </c>
    </row>
    <row r="38" spans="1:4" x14ac:dyDescent="0.25">
      <c r="A38" t="s">
        <v>7</v>
      </c>
      <c r="B38" s="3">
        <v>19.58762886597939</v>
      </c>
      <c r="C38" s="1">
        <v>42977</v>
      </c>
      <c r="D38" s="6" t="s">
        <v>74</v>
      </c>
    </row>
    <row r="39" spans="1:4" x14ac:dyDescent="0.25">
      <c r="A39" t="s">
        <v>8</v>
      </c>
      <c r="B39" s="3">
        <v>18.646080760094993</v>
      </c>
      <c r="C39" s="1">
        <v>42977</v>
      </c>
      <c r="D39" s="6" t="s">
        <v>74</v>
      </c>
    </row>
    <row r="40" spans="1:4" x14ac:dyDescent="0.25">
      <c r="A40" t="s">
        <v>9</v>
      </c>
      <c r="B40" s="3">
        <v>16.762342135476452</v>
      </c>
      <c r="C40" s="1">
        <v>42977</v>
      </c>
      <c r="D40" s="6" t="s">
        <v>74</v>
      </c>
    </row>
    <row r="41" spans="1:4" x14ac:dyDescent="0.25">
      <c r="A41" t="s">
        <v>10</v>
      </c>
      <c r="B41" s="3">
        <v>16.33835457705678</v>
      </c>
      <c r="C41" s="1">
        <v>42977</v>
      </c>
      <c r="D41" s="6" t="s">
        <v>74</v>
      </c>
    </row>
    <row r="42" spans="1:4" x14ac:dyDescent="0.25">
      <c r="A42" s="4" t="s">
        <v>11</v>
      </c>
      <c r="B42" s="5">
        <v>5.5147058823529411</v>
      </c>
      <c r="C42" s="1">
        <v>43028</v>
      </c>
      <c r="D42" s="6" t="s">
        <v>76</v>
      </c>
    </row>
    <row r="43" spans="1:4" x14ac:dyDescent="0.25">
      <c r="A43" s="4" t="s">
        <v>12</v>
      </c>
      <c r="B43" s="5">
        <v>6.0923076923076831</v>
      </c>
      <c r="C43" s="1">
        <v>43028</v>
      </c>
      <c r="D43" s="6" t="s">
        <v>76</v>
      </c>
    </row>
    <row r="44" spans="1:4" x14ac:dyDescent="0.25">
      <c r="A44" s="4" t="s">
        <v>13</v>
      </c>
      <c r="B44" s="5">
        <v>5.4630246502331801</v>
      </c>
      <c r="C44" s="1">
        <v>43028</v>
      </c>
      <c r="D44" s="6" t="s">
        <v>76</v>
      </c>
    </row>
    <row r="45" spans="1:4" x14ac:dyDescent="0.25">
      <c r="A45" s="4" t="s">
        <v>14</v>
      </c>
      <c r="B45" s="5">
        <v>6.3086104006820136</v>
      </c>
      <c r="C45" s="1">
        <v>43028</v>
      </c>
      <c r="D45" s="6" t="s">
        <v>76</v>
      </c>
    </row>
    <row r="46" spans="1:4" x14ac:dyDescent="0.25">
      <c r="A46" s="4" t="s">
        <v>15</v>
      </c>
      <c r="B46" s="5">
        <v>5.8634538152610327</v>
      </c>
      <c r="C46" s="1">
        <v>43028</v>
      </c>
      <c r="D46" s="6" t="s">
        <v>76</v>
      </c>
    </row>
    <row r="47" spans="1:4" x14ac:dyDescent="0.25">
      <c r="A47" s="4" t="s">
        <v>16</v>
      </c>
      <c r="B47" s="5">
        <v>5.316824471959217</v>
      </c>
      <c r="C47" s="1">
        <v>43028</v>
      </c>
      <c r="D47" s="6" t="s">
        <v>76</v>
      </c>
    </row>
    <row r="48" spans="1:4" x14ac:dyDescent="0.25">
      <c r="A48" s="4" t="s">
        <v>17</v>
      </c>
      <c r="B48" s="5">
        <v>4.8780487804878092</v>
      </c>
      <c r="C48" s="1">
        <v>43028</v>
      </c>
      <c r="D48" s="6" t="s">
        <v>76</v>
      </c>
    </row>
    <row r="49" spans="1:4" x14ac:dyDescent="0.25">
      <c r="A49" s="4" t="s">
        <v>18</v>
      </c>
      <c r="B49" s="5">
        <v>4.4376434583014541</v>
      </c>
      <c r="C49" s="1">
        <v>43028</v>
      </c>
      <c r="D49" s="6" t="s">
        <v>76</v>
      </c>
    </row>
    <row r="50" spans="1:4" x14ac:dyDescent="0.25">
      <c r="A50" s="4" t="s">
        <v>19</v>
      </c>
      <c r="B50" s="5">
        <v>5.4074638233053998</v>
      </c>
      <c r="C50" s="1">
        <v>43028</v>
      </c>
      <c r="D50" s="6" t="s">
        <v>76</v>
      </c>
    </row>
    <row r="51" spans="1:4" x14ac:dyDescent="0.25">
      <c r="A51" s="4" t="s">
        <v>20</v>
      </c>
      <c r="B51" s="5">
        <v>7.9566003616636598</v>
      </c>
      <c r="C51" s="1">
        <v>43028</v>
      </c>
      <c r="D51" s="6" t="s">
        <v>76</v>
      </c>
    </row>
    <row r="52" spans="1:4" x14ac:dyDescent="0.25">
      <c r="A52" s="4" t="s">
        <v>21</v>
      </c>
      <c r="B52" s="5">
        <v>8.2524271844660149</v>
      </c>
      <c r="C52" s="1">
        <v>43028</v>
      </c>
      <c r="D52" s="6" t="s">
        <v>76</v>
      </c>
    </row>
    <row r="53" spans="1:4" x14ac:dyDescent="0.25">
      <c r="A53" s="4" t="s">
        <v>22</v>
      </c>
      <c r="B53" s="5">
        <v>7.6539101497504163</v>
      </c>
      <c r="C53" s="1">
        <v>43028</v>
      </c>
      <c r="D53" s="6" t="s">
        <v>76</v>
      </c>
    </row>
    <row r="54" spans="1:4" x14ac:dyDescent="0.25">
      <c r="A54" s="4" t="s">
        <v>0</v>
      </c>
      <c r="B54" s="5">
        <v>9.605488850771863</v>
      </c>
      <c r="C54" s="1">
        <v>43028</v>
      </c>
      <c r="D54" s="6" t="s">
        <v>76</v>
      </c>
    </row>
    <row r="55" spans="1:4" x14ac:dyDescent="0.25">
      <c r="A55" s="4" t="s">
        <v>1</v>
      </c>
      <c r="B55" s="5">
        <v>11.581001951854269</v>
      </c>
      <c r="C55" s="1">
        <v>43028</v>
      </c>
      <c r="D55" s="6" t="s">
        <v>76</v>
      </c>
    </row>
    <row r="56" spans="1:4" x14ac:dyDescent="0.25">
      <c r="A56" s="4" t="s">
        <v>2</v>
      </c>
      <c r="B56" s="5">
        <v>8.8429752066115732</v>
      </c>
      <c r="C56" s="1">
        <v>43028</v>
      </c>
      <c r="D56" s="6" t="s">
        <v>76</v>
      </c>
    </row>
    <row r="57" spans="1:4" x14ac:dyDescent="0.25">
      <c r="A57" s="4" t="s">
        <v>3</v>
      </c>
      <c r="B57" s="5">
        <v>8.9838909541511711</v>
      </c>
      <c r="C57" s="1">
        <v>43028</v>
      </c>
      <c r="D57" s="6" t="s">
        <v>76</v>
      </c>
    </row>
    <row r="58" spans="1:4" x14ac:dyDescent="0.25">
      <c r="A58" s="4" t="s">
        <v>7</v>
      </c>
      <c r="B58" s="5">
        <v>19.542421353670171</v>
      </c>
      <c r="C58" s="1">
        <v>43027</v>
      </c>
      <c r="D58" s="6" t="s">
        <v>76</v>
      </c>
    </row>
    <row r="59" spans="1:4" x14ac:dyDescent="0.25">
      <c r="A59" s="4" t="s">
        <v>8</v>
      </c>
      <c r="B59" s="5">
        <v>19.375672766415487</v>
      </c>
      <c r="C59" s="1">
        <v>43027</v>
      </c>
      <c r="D59" s="6" t="s">
        <v>76</v>
      </c>
    </row>
    <row r="60" spans="1:4" x14ac:dyDescent="0.25">
      <c r="A60" s="4" t="s">
        <v>9</v>
      </c>
      <c r="B60" s="5">
        <v>19.040247678018567</v>
      </c>
      <c r="C60" s="1">
        <v>43027</v>
      </c>
      <c r="D60" s="6" t="s">
        <v>76</v>
      </c>
    </row>
    <row r="61" spans="1:4" x14ac:dyDescent="0.25">
      <c r="A61" s="4" t="s">
        <v>10</v>
      </c>
      <c r="B61" s="5">
        <v>20.259481037924147</v>
      </c>
      <c r="C61" s="1">
        <v>43027</v>
      </c>
      <c r="D61" s="6" t="s">
        <v>76</v>
      </c>
    </row>
    <row r="62" spans="1:4" x14ac:dyDescent="0.25">
      <c r="A62" s="8" t="s">
        <v>106</v>
      </c>
      <c r="C62" s="1">
        <v>42880</v>
      </c>
      <c r="D62" s="6" t="s">
        <v>73</v>
      </c>
    </row>
    <row r="63" spans="1:4" x14ac:dyDescent="0.25">
      <c r="A63" s="8" t="s">
        <v>107</v>
      </c>
      <c r="C63" s="1">
        <v>42880</v>
      </c>
      <c r="D63" s="6" t="s">
        <v>73</v>
      </c>
    </row>
    <row r="64" spans="1:4" x14ac:dyDescent="0.25">
      <c r="A64" s="8" t="s">
        <v>108</v>
      </c>
      <c r="C64" s="1">
        <v>42880</v>
      </c>
      <c r="D64" s="6" t="s">
        <v>73</v>
      </c>
    </row>
    <row r="65" spans="1:4" x14ac:dyDescent="0.25">
      <c r="A65" s="8" t="s">
        <v>109</v>
      </c>
      <c r="C65" s="1">
        <v>42880</v>
      </c>
      <c r="D65" s="6" t="s">
        <v>73</v>
      </c>
    </row>
    <row r="66" spans="1:4" x14ac:dyDescent="0.25">
      <c r="A66" s="8" t="s">
        <v>110</v>
      </c>
      <c r="C66" s="1">
        <v>42880</v>
      </c>
      <c r="D66" s="6" t="s">
        <v>73</v>
      </c>
    </row>
    <row r="67" spans="1:4" x14ac:dyDescent="0.25">
      <c r="A67" s="8" t="s">
        <v>111</v>
      </c>
      <c r="C67" s="1">
        <v>42880</v>
      </c>
      <c r="D67" s="6" t="s">
        <v>73</v>
      </c>
    </row>
    <row r="68" spans="1:4" x14ac:dyDescent="0.25">
      <c r="A68" s="8" t="s">
        <v>106</v>
      </c>
      <c r="C68" s="1">
        <v>42916</v>
      </c>
      <c r="D68" s="6" t="s">
        <v>75</v>
      </c>
    </row>
    <row r="69" spans="1:4" x14ac:dyDescent="0.25">
      <c r="A69" s="8" t="s">
        <v>107</v>
      </c>
      <c r="C69" s="1">
        <v>42916</v>
      </c>
      <c r="D69" s="6" t="s">
        <v>75</v>
      </c>
    </row>
    <row r="70" spans="1:4" x14ac:dyDescent="0.25">
      <c r="A70" s="8" t="s">
        <v>108</v>
      </c>
      <c r="C70" s="1">
        <v>42916</v>
      </c>
      <c r="D70" s="6" t="s">
        <v>75</v>
      </c>
    </row>
    <row r="71" spans="1:4" x14ac:dyDescent="0.25">
      <c r="A71" s="8" t="s">
        <v>109</v>
      </c>
      <c r="C71" s="1">
        <v>42916</v>
      </c>
      <c r="D71" s="6" t="s">
        <v>75</v>
      </c>
    </row>
    <row r="72" spans="1:4" x14ac:dyDescent="0.25">
      <c r="A72" s="8" t="s">
        <v>110</v>
      </c>
      <c r="C72" s="1">
        <v>42916</v>
      </c>
      <c r="D72" s="6" t="s">
        <v>75</v>
      </c>
    </row>
    <row r="73" spans="1:4" x14ac:dyDescent="0.25">
      <c r="A73" s="8" t="s">
        <v>111</v>
      </c>
      <c r="C73" s="1">
        <v>42916</v>
      </c>
      <c r="D73" s="6" t="s">
        <v>75</v>
      </c>
    </row>
    <row r="74" spans="1:4" x14ac:dyDescent="0.25">
      <c r="A74" s="8" t="s">
        <v>106</v>
      </c>
      <c r="C74" s="1">
        <v>42943</v>
      </c>
      <c r="D74" s="6" t="s">
        <v>121</v>
      </c>
    </row>
    <row r="75" spans="1:4" x14ac:dyDescent="0.25">
      <c r="A75" s="8" t="s">
        <v>107</v>
      </c>
      <c r="C75" s="1">
        <v>42943</v>
      </c>
      <c r="D75" s="6" t="s">
        <v>121</v>
      </c>
    </row>
    <row r="76" spans="1:4" x14ac:dyDescent="0.25">
      <c r="A76" s="8" t="s">
        <v>108</v>
      </c>
      <c r="C76" s="1">
        <v>42943</v>
      </c>
      <c r="D76" s="6" t="s">
        <v>121</v>
      </c>
    </row>
    <row r="77" spans="1:4" x14ac:dyDescent="0.25">
      <c r="A77" s="8" t="s">
        <v>109</v>
      </c>
      <c r="C77" s="1">
        <v>42943</v>
      </c>
      <c r="D77" s="6" t="s">
        <v>121</v>
      </c>
    </row>
    <row r="78" spans="1:4" x14ac:dyDescent="0.25">
      <c r="A78" s="8" t="s">
        <v>110</v>
      </c>
      <c r="C78" s="1">
        <v>42943</v>
      </c>
      <c r="D78" s="6" t="s">
        <v>121</v>
      </c>
    </row>
    <row r="79" spans="1:4" x14ac:dyDescent="0.25">
      <c r="A79" s="8" t="s">
        <v>111</v>
      </c>
      <c r="C79" s="1">
        <v>42943</v>
      </c>
      <c r="D79" s="6" t="s">
        <v>121</v>
      </c>
    </row>
    <row r="80" spans="1:4" x14ac:dyDescent="0.25">
      <c r="A80" s="8" t="s">
        <v>106</v>
      </c>
      <c r="C80" s="1">
        <v>42972</v>
      </c>
      <c r="D80" s="6" t="s">
        <v>122</v>
      </c>
    </row>
    <row r="81" spans="1:4" x14ac:dyDescent="0.25">
      <c r="A81" s="8" t="s">
        <v>107</v>
      </c>
      <c r="C81" s="1">
        <v>42972</v>
      </c>
      <c r="D81" s="6" t="s">
        <v>122</v>
      </c>
    </row>
    <row r="82" spans="1:4" x14ac:dyDescent="0.25">
      <c r="A82" s="8" t="s">
        <v>108</v>
      </c>
      <c r="C82" s="1">
        <v>42972</v>
      </c>
      <c r="D82" s="6" t="s">
        <v>122</v>
      </c>
    </row>
    <row r="83" spans="1:4" x14ac:dyDescent="0.25">
      <c r="A83" s="8" t="s">
        <v>109</v>
      </c>
      <c r="C83" s="1">
        <v>42972</v>
      </c>
      <c r="D83" s="6" t="s">
        <v>122</v>
      </c>
    </row>
    <row r="84" spans="1:4" x14ac:dyDescent="0.25">
      <c r="A84" s="8" t="s">
        <v>110</v>
      </c>
      <c r="C84" s="1">
        <v>42972</v>
      </c>
      <c r="D84" s="6" t="s">
        <v>122</v>
      </c>
    </row>
    <row r="85" spans="1:4" x14ac:dyDescent="0.25">
      <c r="A85" s="8" t="s">
        <v>111</v>
      </c>
      <c r="C85" s="1">
        <v>42972</v>
      </c>
      <c r="D85" s="6" t="s">
        <v>122</v>
      </c>
    </row>
    <row r="86" spans="1:4" x14ac:dyDescent="0.25">
      <c r="A86" s="8" t="s">
        <v>112</v>
      </c>
      <c r="C86" s="1">
        <v>42972</v>
      </c>
      <c r="D86" s="6" t="s">
        <v>122</v>
      </c>
    </row>
    <row r="87" spans="1:4" x14ac:dyDescent="0.25">
      <c r="A87" s="8" t="s">
        <v>113</v>
      </c>
      <c r="C87" s="1">
        <v>42972</v>
      </c>
      <c r="D87" s="6" t="s">
        <v>122</v>
      </c>
    </row>
    <row r="88" spans="1:4" x14ac:dyDescent="0.25">
      <c r="A88" s="8" t="s">
        <v>114</v>
      </c>
      <c r="C88" s="1">
        <v>42972</v>
      </c>
      <c r="D88" s="6" t="s">
        <v>122</v>
      </c>
    </row>
    <row r="89" spans="1:4" x14ac:dyDescent="0.25">
      <c r="A89" s="8" t="s">
        <v>115</v>
      </c>
      <c r="C89" s="1">
        <v>42972</v>
      </c>
      <c r="D89" s="6" t="s">
        <v>122</v>
      </c>
    </row>
    <row r="90" spans="1:4" x14ac:dyDescent="0.25">
      <c r="A90" s="8" t="s">
        <v>106</v>
      </c>
      <c r="C90" s="1">
        <v>43011</v>
      </c>
      <c r="D90" s="6" t="s">
        <v>76</v>
      </c>
    </row>
    <row r="91" spans="1:4" x14ac:dyDescent="0.25">
      <c r="A91" s="8" t="s">
        <v>107</v>
      </c>
      <c r="C91" s="1">
        <v>43011</v>
      </c>
      <c r="D91" s="6" t="s">
        <v>76</v>
      </c>
    </row>
    <row r="92" spans="1:4" x14ac:dyDescent="0.25">
      <c r="A92" s="8" t="s">
        <v>108</v>
      </c>
      <c r="C92" s="1">
        <v>43011</v>
      </c>
      <c r="D92" s="6" t="s">
        <v>76</v>
      </c>
    </row>
    <row r="93" spans="1:4" x14ac:dyDescent="0.25">
      <c r="A93" s="8" t="s">
        <v>109</v>
      </c>
      <c r="C93" s="1">
        <v>43011</v>
      </c>
      <c r="D93" s="6" t="s">
        <v>76</v>
      </c>
    </row>
    <row r="94" spans="1:4" x14ac:dyDescent="0.25">
      <c r="A94" s="8" t="s">
        <v>110</v>
      </c>
      <c r="C94" s="1">
        <v>43011</v>
      </c>
      <c r="D94" s="6" t="s">
        <v>76</v>
      </c>
    </row>
    <row r="95" spans="1:4" x14ac:dyDescent="0.25">
      <c r="A95" s="8" t="s">
        <v>111</v>
      </c>
      <c r="C95" s="1">
        <v>43011</v>
      </c>
      <c r="D95" s="6" t="s">
        <v>76</v>
      </c>
    </row>
    <row r="96" spans="1:4" x14ac:dyDescent="0.25">
      <c r="A96" s="8" t="s">
        <v>112</v>
      </c>
      <c r="C96" s="1">
        <v>43011</v>
      </c>
      <c r="D96" s="6" t="s">
        <v>76</v>
      </c>
    </row>
    <row r="97" spans="1:4" x14ac:dyDescent="0.25">
      <c r="A97" s="8" t="s">
        <v>113</v>
      </c>
      <c r="C97" s="1">
        <v>43011</v>
      </c>
      <c r="D97" s="6" t="s">
        <v>76</v>
      </c>
    </row>
    <row r="98" spans="1:4" x14ac:dyDescent="0.25">
      <c r="A98" s="8" t="s">
        <v>114</v>
      </c>
      <c r="C98" s="1">
        <v>43011</v>
      </c>
      <c r="D98" s="6" t="s">
        <v>76</v>
      </c>
    </row>
    <row r="99" spans="1:4" x14ac:dyDescent="0.25">
      <c r="A99" s="8" t="s">
        <v>115</v>
      </c>
      <c r="C99" s="1">
        <v>43011</v>
      </c>
      <c r="D99" s="6" t="s">
        <v>76</v>
      </c>
    </row>
    <row r="100" spans="1:4" x14ac:dyDescent="0.25">
      <c r="A100" s="8" t="s">
        <v>106</v>
      </c>
      <c r="C100" s="1">
        <v>43038</v>
      </c>
      <c r="D100" s="6" t="s">
        <v>123</v>
      </c>
    </row>
    <row r="101" spans="1:4" x14ac:dyDescent="0.25">
      <c r="A101" s="8" t="s">
        <v>107</v>
      </c>
      <c r="C101" s="1">
        <v>43038</v>
      </c>
      <c r="D101" s="6" t="s">
        <v>123</v>
      </c>
    </row>
    <row r="102" spans="1:4" x14ac:dyDescent="0.25">
      <c r="A102" s="8" t="s">
        <v>108</v>
      </c>
      <c r="C102" s="1">
        <v>43038</v>
      </c>
      <c r="D102" s="6" t="s">
        <v>123</v>
      </c>
    </row>
    <row r="103" spans="1:4" x14ac:dyDescent="0.25">
      <c r="A103" s="8" t="s">
        <v>109</v>
      </c>
      <c r="C103" s="1">
        <v>43038</v>
      </c>
      <c r="D103" s="6" t="s">
        <v>123</v>
      </c>
    </row>
    <row r="104" spans="1:4" x14ac:dyDescent="0.25">
      <c r="A104" s="8" t="s">
        <v>110</v>
      </c>
      <c r="C104" s="1">
        <v>43038</v>
      </c>
      <c r="D104" s="6" t="s">
        <v>123</v>
      </c>
    </row>
    <row r="105" spans="1:4" x14ac:dyDescent="0.25">
      <c r="A105" s="8" t="s">
        <v>111</v>
      </c>
      <c r="C105" s="1">
        <v>43038</v>
      </c>
      <c r="D105" s="6" t="s">
        <v>123</v>
      </c>
    </row>
    <row r="106" spans="1:4" x14ac:dyDescent="0.25">
      <c r="A106" s="8" t="s">
        <v>112</v>
      </c>
      <c r="C106" s="1">
        <v>43038</v>
      </c>
      <c r="D106" s="6" t="s">
        <v>123</v>
      </c>
    </row>
    <row r="107" spans="1:4" x14ac:dyDescent="0.25">
      <c r="A107" s="8" t="s">
        <v>113</v>
      </c>
      <c r="C107" s="1">
        <v>43038</v>
      </c>
      <c r="D107" s="6" t="s">
        <v>123</v>
      </c>
    </row>
    <row r="108" spans="1:4" x14ac:dyDescent="0.25">
      <c r="A108" s="8" t="s">
        <v>114</v>
      </c>
      <c r="C108" s="1">
        <v>43038</v>
      </c>
      <c r="D108" s="6" t="s">
        <v>123</v>
      </c>
    </row>
    <row r="109" spans="1:4" x14ac:dyDescent="0.25">
      <c r="A109" s="8" t="s">
        <v>115</v>
      </c>
      <c r="C109" s="1">
        <v>43038</v>
      </c>
      <c r="D109" s="6" t="s">
        <v>123</v>
      </c>
    </row>
    <row r="110" spans="1:4" x14ac:dyDescent="0.25">
      <c r="A110" s="8" t="s">
        <v>106</v>
      </c>
      <c r="C110" s="1">
        <v>43091</v>
      </c>
      <c r="D110" s="6" t="s">
        <v>124</v>
      </c>
    </row>
    <row r="111" spans="1:4" x14ac:dyDescent="0.25">
      <c r="A111" s="8" t="s">
        <v>107</v>
      </c>
      <c r="C111" s="1">
        <v>43091</v>
      </c>
      <c r="D111" s="6" t="s">
        <v>124</v>
      </c>
    </row>
    <row r="112" spans="1:4" x14ac:dyDescent="0.25">
      <c r="A112" s="8" t="s">
        <v>108</v>
      </c>
      <c r="C112" s="1">
        <v>43091</v>
      </c>
      <c r="D112" s="6" t="s">
        <v>124</v>
      </c>
    </row>
    <row r="113" spans="1:4" x14ac:dyDescent="0.25">
      <c r="A113" s="8" t="s">
        <v>109</v>
      </c>
      <c r="C113" s="1">
        <v>43091</v>
      </c>
      <c r="D113" s="6" t="s">
        <v>124</v>
      </c>
    </row>
    <row r="114" spans="1:4" x14ac:dyDescent="0.25">
      <c r="A114" s="8" t="s">
        <v>110</v>
      </c>
      <c r="C114" s="1">
        <v>43091</v>
      </c>
      <c r="D114" s="6" t="s">
        <v>124</v>
      </c>
    </row>
    <row r="115" spans="1:4" x14ac:dyDescent="0.25">
      <c r="A115" s="8" t="s">
        <v>111</v>
      </c>
      <c r="C115" s="1">
        <v>43091</v>
      </c>
      <c r="D115" s="6" t="s">
        <v>124</v>
      </c>
    </row>
    <row r="116" spans="1:4" x14ac:dyDescent="0.25">
      <c r="A116" s="8" t="s">
        <v>112</v>
      </c>
      <c r="C116" s="1">
        <v>43091</v>
      </c>
      <c r="D116" s="6" t="s">
        <v>124</v>
      </c>
    </row>
    <row r="117" spans="1:4" x14ac:dyDescent="0.25">
      <c r="A117" s="8" t="s">
        <v>113</v>
      </c>
      <c r="C117" s="1">
        <v>43091</v>
      </c>
      <c r="D117" s="6" t="s">
        <v>124</v>
      </c>
    </row>
    <row r="118" spans="1:4" x14ac:dyDescent="0.25">
      <c r="A118" s="8" t="s">
        <v>114</v>
      </c>
      <c r="C118" s="1">
        <v>43091</v>
      </c>
      <c r="D118" s="6" t="s">
        <v>124</v>
      </c>
    </row>
    <row r="119" spans="1:4" x14ac:dyDescent="0.25">
      <c r="A119" s="8" t="s">
        <v>115</v>
      </c>
      <c r="C119" s="1">
        <v>43091</v>
      </c>
      <c r="D119" s="6" t="s">
        <v>124</v>
      </c>
    </row>
    <row r="120" spans="1:4" x14ac:dyDescent="0.25">
      <c r="A120" t="s">
        <v>135</v>
      </c>
      <c r="B120">
        <v>16.529894490035176</v>
      </c>
      <c r="C120" s="1">
        <v>43255</v>
      </c>
      <c r="D120" s="6" t="s">
        <v>159</v>
      </c>
    </row>
    <row r="121" spans="1:4" x14ac:dyDescent="0.25">
      <c r="A121" t="s">
        <v>136</v>
      </c>
      <c r="B121">
        <v>14.712389380530977</v>
      </c>
      <c r="C121" s="1">
        <v>43255</v>
      </c>
      <c r="D121" s="6" t="s">
        <v>159</v>
      </c>
    </row>
    <row r="122" spans="1:4" x14ac:dyDescent="0.25">
      <c r="A122" t="s">
        <v>137</v>
      </c>
      <c r="B122">
        <v>14.659090909090921</v>
      </c>
      <c r="C122" s="1">
        <v>43255</v>
      </c>
      <c r="D122" s="6" t="s">
        <v>159</v>
      </c>
    </row>
    <row r="123" spans="1:4" x14ac:dyDescent="0.25">
      <c r="A123" t="s">
        <v>138</v>
      </c>
      <c r="B123">
        <v>17.798353909465028</v>
      </c>
      <c r="C123" s="1">
        <v>43255</v>
      </c>
      <c r="D123" s="6" t="s">
        <v>159</v>
      </c>
    </row>
    <row r="124" spans="1:4" x14ac:dyDescent="0.25">
      <c r="A124" t="s">
        <v>139</v>
      </c>
      <c r="B124">
        <v>21.30384167636787</v>
      </c>
      <c r="C124" s="1">
        <v>43255</v>
      </c>
      <c r="D124" s="6" t="s">
        <v>159</v>
      </c>
    </row>
    <row r="125" spans="1:4" x14ac:dyDescent="0.25">
      <c r="A125" t="s">
        <v>140</v>
      </c>
      <c r="B125">
        <v>20.000000000000021</v>
      </c>
      <c r="C125" s="1">
        <v>43255</v>
      </c>
      <c r="D125" s="6" t="s">
        <v>159</v>
      </c>
    </row>
    <row r="126" spans="1:4" x14ac:dyDescent="0.25">
      <c r="A126" t="s">
        <v>141</v>
      </c>
      <c r="B126">
        <v>22.222222222222229</v>
      </c>
      <c r="C126" s="1">
        <v>43255</v>
      </c>
      <c r="D126" s="6" t="s">
        <v>159</v>
      </c>
    </row>
    <row r="127" spans="1:4" x14ac:dyDescent="0.25">
      <c r="A127" t="s">
        <v>142</v>
      </c>
      <c r="B127">
        <v>18.74310915104742</v>
      </c>
      <c r="C127" s="1">
        <v>43255</v>
      </c>
      <c r="D127" s="6" t="s">
        <v>159</v>
      </c>
    </row>
    <row r="128" spans="1:4" x14ac:dyDescent="0.25">
      <c r="A128" t="s">
        <v>143</v>
      </c>
      <c r="B128">
        <v>26.495726495726498</v>
      </c>
      <c r="C128" s="1">
        <v>43255</v>
      </c>
      <c r="D128" s="6" t="s">
        <v>159</v>
      </c>
    </row>
    <row r="129" spans="1:4" x14ac:dyDescent="0.25">
      <c r="A129" t="s">
        <v>144</v>
      </c>
      <c r="B129">
        <v>23.464373464373462</v>
      </c>
      <c r="C129" s="1">
        <v>43255</v>
      </c>
      <c r="D129" s="6" t="s">
        <v>159</v>
      </c>
    </row>
    <row r="130" spans="1:4" x14ac:dyDescent="0.25">
      <c r="A130" t="s">
        <v>145</v>
      </c>
      <c r="B130">
        <v>31.35593220338983</v>
      </c>
      <c r="C130" s="1">
        <v>43255</v>
      </c>
      <c r="D130" s="6" t="s">
        <v>159</v>
      </c>
    </row>
    <row r="131" spans="1:4" x14ac:dyDescent="0.25">
      <c r="A131" t="s">
        <v>146</v>
      </c>
      <c r="B131">
        <v>26.511627906976731</v>
      </c>
      <c r="C131" s="1">
        <v>43255</v>
      </c>
      <c r="D131" s="6" t="s">
        <v>159</v>
      </c>
    </row>
    <row r="132" spans="1:4" x14ac:dyDescent="0.25">
      <c r="A132" t="s">
        <v>147</v>
      </c>
      <c r="B132">
        <v>20.551090700344421</v>
      </c>
      <c r="C132" s="1">
        <v>43255</v>
      </c>
      <c r="D132" s="6" t="s">
        <v>159</v>
      </c>
    </row>
    <row r="133" spans="1:4" x14ac:dyDescent="0.25">
      <c r="A133" t="s">
        <v>148</v>
      </c>
      <c r="B133">
        <v>20.378619153674833</v>
      </c>
      <c r="C133" s="1">
        <v>43255</v>
      </c>
      <c r="D133" s="6" t="s">
        <v>159</v>
      </c>
    </row>
    <row r="134" spans="1:4" x14ac:dyDescent="0.25">
      <c r="A134" t="s">
        <v>149</v>
      </c>
      <c r="B134">
        <v>21.098901098901095</v>
      </c>
      <c r="C134" s="1">
        <v>43255</v>
      </c>
      <c r="D134" s="6" t="s">
        <v>159</v>
      </c>
    </row>
    <row r="135" spans="1:4" x14ac:dyDescent="0.25">
      <c r="A135" t="s">
        <v>150</v>
      </c>
      <c r="B135">
        <v>20.374707259953166</v>
      </c>
      <c r="C135" s="1">
        <v>43255</v>
      </c>
      <c r="D135" s="6" t="s">
        <v>159</v>
      </c>
    </row>
    <row r="136" spans="1:4" x14ac:dyDescent="0.25">
      <c r="A136" t="s">
        <v>151</v>
      </c>
      <c r="B136">
        <v>11.703239289446179</v>
      </c>
      <c r="C136" s="1">
        <v>43255</v>
      </c>
      <c r="D136" s="6" t="s">
        <v>159</v>
      </c>
    </row>
    <row r="137" spans="1:4" x14ac:dyDescent="0.25">
      <c r="A137" t="s">
        <v>152</v>
      </c>
      <c r="B137">
        <v>13.186813186813179</v>
      </c>
      <c r="C137" s="1">
        <v>43255</v>
      </c>
      <c r="D137" s="6" t="s">
        <v>159</v>
      </c>
    </row>
    <row r="138" spans="1:4" x14ac:dyDescent="0.25">
      <c r="A138" t="s">
        <v>153</v>
      </c>
      <c r="B138">
        <v>8.7901701323251391</v>
      </c>
      <c r="C138" s="1">
        <v>43255</v>
      </c>
      <c r="D138" s="6" t="s">
        <v>159</v>
      </c>
    </row>
    <row r="139" spans="1:4" x14ac:dyDescent="0.25">
      <c r="A139" t="s">
        <v>154</v>
      </c>
      <c r="B139">
        <v>10.638297872340434</v>
      </c>
      <c r="C139" s="1">
        <v>43255</v>
      </c>
      <c r="D139" s="6" t="s">
        <v>159</v>
      </c>
    </row>
    <row r="140" spans="1:4" x14ac:dyDescent="0.25">
      <c r="A140" t="s">
        <v>155</v>
      </c>
      <c r="B140">
        <v>25.333333333333329</v>
      </c>
      <c r="C140" s="1">
        <v>43255</v>
      </c>
      <c r="D140" s="6" t="s">
        <v>159</v>
      </c>
    </row>
    <row r="141" spans="1:4" x14ac:dyDescent="0.25">
      <c r="A141" t="s">
        <v>156</v>
      </c>
      <c r="B141">
        <v>21.779859484777507</v>
      </c>
      <c r="C141" s="1">
        <v>43255</v>
      </c>
      <c r="D141" s="6" t="s">
        <v>159</v>
      </c>
    </row>
    <row r="142" spans="1:4" x14ac:dyDescent="0.25">
      <c r="A142" t="s">
        <v>157</v>
      </c>
      <c r="B142">
        <v>24.501758499413828</v>
      </c>
      <c r="C142" s="1">
        <v>43255</v>
      </c>
      <c r="D142" s="6" t="s">
        <v>159</v>
      </c>
    </row>
    <row r="143" spans="1:4" x14ac:dyDescent="0.25">
      <c r="A143" t="s">
        <v>158</v>
      </c>
      <c r="B143">
        <v>21.840490797546032</v>
      </c>
      <c r="C143" s="1">
        <v>43255</v>
      </c>
      <c r="D143" s="6" t="s">
        <v>159</v>
      </c>
    </row>
    <row r="144" spans="1:4" x14ac:dyDescent="0.25">
      <c r="A144" t="s">
        <v>160</v>
      </c>
      <c r="B144">
        <v>4.3043043043043019</v>
      </c>
      <c r="C144" s="1">
        <v>43256</v>
      </c>
      <c r="D144" s="6" t="s">
        <v>159</v>
      </c>
    </row>
    <row r="145" spans="1:4" x14ac:dyDescent="0.25">
      <c r="A145" t="s">
        <v>161</v>
      </c>
      <c r="B145">
        <v>13.038906414300738</v>
      </c>
      <c r="C145" s="1">
        <v>43256</v>
      </c>
      <c r="D145" s="6" t="s">
        <v>159</v>
      </c>
    </row>
    <row r="146" spans="1:4" x14ac:dyDescent="0.25">
      <c r="A146" t="s">
        <v>162</v>
      </c>
      <c r="B146">
        <v>11.349693251533735</v>
      </c>
      <c r="C146" s="1">
        <v>43256</v>
      </c>
      <c r="D146" s="6" t="s">
        <v>159</v>
      </c>
    </row>
    <row r="147" spans="1:4" x14ac:dyDescent="0.25">
      <c r="A147" t="s">
        <v>163</v>
      </c>
      <c r="B147">
        <v>13.631522896698609</v>
      </c>
      <c r="C147" s="1">
        <v>43256</v>
      </c>
      <c r="D147" s="6" t="s">
        <v>159</v>
      </c>
    </row>
    <row r="148" spans="1:4" x14ac:dyDescent="0.25">
      <c r="A148" t="s">
        <v>164</v>
      </c>
      <c r="B148">
        <v>5.6310679611650318</v>
      </c>
      <c r="C148" s="1">
        <v>43256</v>
      </c>
      <c r="D148" s="6" t="s">
        <v>159</v>
      </c>
    </row>
    <row r="149" spans="1:4" x14ac:dyDescent="0.25">
      <c r="A149" t="s">
        <v>165</v>
      </c>
      <c r="B149">
        <v>7.5052854122621664</v>
      </c>
      <c r="C149" s="1">
        <v>43256</v>
      </c>
      <c r="D149" s="6" t="s">
        <v>159</v>
      </c>
    </row>
    <row r="150" spans="1:4" x14ac:dyDescent="0.25">
      <c r="A150" t="s">
        <v>166</v>
      </c>
      <c r="B150">
        <v>5.6569343065693358</v>
      </c>
      <c r="C150" s="1">
        <v>43256</v>
      </c>
      <c r="D150" s="6" t="s">
        <v>159</v>
      </c>
    </row>
    <row r="151" spans="1:4" x14ac:dyDescent="0.25">
      <c r="A151" t="s">
        <v>167</v>
      </c>
      <c r="B151">
        <v>6.7426400759734175</v>
      </c>
      <c r="C151" s="1">
        <v>43256</v>
      </c>
      <c r="D151" s="6" t="s">
        <v>159</v>
      </c>
    </row>
    <row r="152" spans="1:4" x14ac:dyDescent="0.25">
      <c r="A152" t="s">
        <v>168</v>
      </c>
      <c r="B152">
        <v>8.9119170984455902</v>
      </c>
      <c r="C152" s="1">
        <v>43256</v>
      </c>
      <c r="D152" s="6" t="s">
        <v>159</v>
      </c>
    </row>
    <row r="153" spans="1:4" x14ac:dyDescent="0.25">
      <c r="A153" t="s">
        <v>169</v>
      </c>
      <c r="B153">
        <v>8.9931573802541536</v>
      </c>
      <c r="C153" s="1">
        <v>43256</v>
      </c>
      <c r="D153" s="6" t="s">
        <v>159</v>
      </c>
    </row>
    <row r="154" spans="1:4" x14ac:dyDescent="0.25">
      <c r="A154" t="s">
        <v>170</v>
      </c>
      <c r="B154">
        <v>8.5365853658536572</v>
      </c>
      <c r="C154" s="1">
        <v>43256</v>
      </c>
      <c r="D154" s="6" t="s">
        <v>159</v>
      </c>
    </row>
    <row r="155" spans="1:4" x14ac:dyDescent="0.25">
      <c r="A155" t="s">
        <v>171</v>
      </c>
      <c r="B155">
        <v>7.8748651564185588</v>
      </c>
      <c r="C155" s="1">
        <v>43256</v>
      </c>
      <c r="D155" s="6" t="s">
        <v>159</v>
      </c>
    </row>
    <row r="156" spans="1:4" x14ac:dyDescent="0.25">
      <c r="A156" t="s">
        <v>172</v>
      </c>
      <c r="B156">
        <v>10.396570203644165</v>
      </c>
      <c r="C156" s="1">
        <v>43256</v>
      </c>
      <c r="D156" s="6" t="s">
        <v>159</v>
      </c>
    </row>
    <row r="157" spans="1:4" x14ac:dyDescent="0.25">
      <c r="A157" t="s">
        <v>173</v>
      </c>
      <c r="B157">
        <v>5.6460369163952375</v>
      </c>
      <c r="C157" s="1">
        <v>43256</v>
      </c>
      <c r="D157" s="6" t="s">
        <v>159</v>
      </c>
    </row>
    <row r="158" spans="1:4" x14ac:dyDescent="0.25">
      <c r="A158" t="s">
        <v>174</v>
      </c>
      <c r="B158">
        <v>7.1874999999999938</v>
      </c>
      <c r="C158" s="1">
        <v>43256</v>
      </c>
      <c r="D158" s="6" t="s">
        <v>159</v>
      </c>
    </row>
    <row r="159" spans="1:4" x14ac:dyDescent="0.25">
      <c r="A159" t="s">
        <v>175</v>
      </c>
      <c r="B159">
        <v>7.9957356076759067</v>
      </c>
      <c r="C159" s="1">
        <v>43256</v>
      </c>
      <c r="D159" s="6" t="s">
        <v>159</v>
      </c>
    </row>
    <row r="160" spans="1:4" x14ac:dyDescent="0.25">
      <c r="A160" t="s">
        <v>176</v>
      </c>
      <c r="B160">
        <v>7.3858114674441184</v>
      </c>
      <c r="C160" s="1">
        <v>43256</v>
      </c>
      <c r="D160" s="6" t="s">
        <v>159</v>
      </c>
    </row>
    <row r="161" spans="1:4" x14ac:dyDescent="0.25">
      <c r="A161" t="s">
        <v>177</v>
      </c>
      <c r="B161">
        <v>7.371794871794866</v>
      </c>
      <c r="C161" s="1">
        <v>43256</v>
      </c>
      <c r="D161" s="6" t="s">
        <v>159</v>
      </c>
    </row>
    <row r="162" spans="1:4" x14ac:dyDescent="0.25">
      <c r="A162" t="s">
        <v>178</v>
      </c>
      <c r="B162">
        <v>7.9662605435801286</v>
      </c>
      <c r="C162" s="1">
        <v>43256</v>
      </c>
      <c r="D162" s="6" t="s">
        <v>159</v>
      </c>
    </row>
    <row r="163" spans="1:4" x14ac:dyDescent="0.25">
      <c r="A163" t="s">
        <v>179</v>
      </c>
      <c r="B163">
        <v>6.8731848983542996</v>
      </c>
      <c r="C163" s="1">
        <v>43256</v>
      </c>
      <c r="D163" s="6" t="s">
        <v>159</v>
      </c>
    </row>
    <row r="164" spans="1:4" x14ac:dyDescent="0.25">
      <c r="A164" t="s">
        <v>180</v>
      </c>
      <c r="B164">
        <v>10.520607375271137</v>
      </c>
      <c r="C164" s="1">
        <v>43256</v>
      </c>
      <c r="D164" s="6" t="s">
        <v>159</v>
      </c>
    </row>
    <row r="165" spans="1:4" x14ac:dyDescent="0.25">
      <c r="A165" t="s">
        <v>181</v>
      </c>
      <c r="B165">
        <v>8.9912280701754437</v>
      </c>
      <c r="C165" s="1">
        <v>43256</v>
      </c>
      <c r="D165" s="6" t="s">
        <v>159</v>
      </c>
    </row>
    <row r="166" spans="1:4" x14ac:dyDescent="0.25">
      <c r="A166" t="s">
        <v>182</v>
      </c>
      <c r="B166">
        <v>6.0928433268858706</v>
      </c>
      <c r="C166" s="1">
        <v>43256</v>
      </c>
      <c r="D166" s="6" t="s">
        <v>159</v>
      </c>
    </row>
    <row r="167" spans="1:4" x14ac:dyDescent="0.25">
      <c r="A167" t="s">
        <v>183</v>
      </c>
      <c r="B167">
        <v>4.1666666666666687</v>
      </c>
      <c r="C167" s="1">
        <v>43256</v>
      </c>
      <c r="D167" s="6" t="s">
        <v>159</v>
      </c>
    </row>
    <row r="168" spans="1:4" x14ac:dyDescent="0.25">
      <c r="A168" t="s">
        <v>184</v>
      </c>
      <c r="B168">
        <v>17.840375586854456</v>
      </c>
      <c r="C168" s="1">
        <v>43257</v>
      </c>
      <c r="D168" s="6" t="s">
        <v>159</v>
      </c>
    </row>
    <row r="169" spans="1:4" x14ac:dyDescent="0.25">
      <c r="A169" t="s">
        <v>185</v>
      </c>
      <c r="B169">
        <v>1.689860834990059</v>
      </c>
      <c r="C169" s="1">
        <v>43257</v>
      </c>
      <c r="D169" s="6" t="s">
        <v>159</v>
      </c>
    </row>
    <row r="170" spans="1:4" x14ac:dyDescent="0.25">
      <c r="A170" t="s">
        <v>186</v>
      </c>
      <c r="B170">
        <v>23.927765237020328</v>
      </c>
      <c r="C170" s="1">
        <v>43257</v>
      </c>
      <c r="D170" s="6" t="s">
        <v>159</v>
      </c>
    </row>
    <row r="171" spans="1:4" x14ac:dyDescent="0.25">
      <c r="A171" t="s">
        <v>187</v>
      </c>
      <c r="B171">
        <v>22.569027611044426</v>
      </c>
      <c r="C171" s="1">
        <v>43257</v>
      </c>
      <c r="D171" s="6" t="s">
        <v>159</v>
      </c>
    </row>
    <row r="172" spans="1:4" x14ac:dyDescent="0.25">
      <c r="A172" t="s">
        <v>188</v>
      </c>
      <c r="B172">
        <v>9.9567099567099557</v>
      </c>
      <c r="C172" s="1">
        <v>43257</v>
      </c>
      <c r="D172" s="6" t="s">
        <v>159</v>
      </c>
    </row>
    <row r="173" spans="1:4" x14ac:dyDescent="0.25">
      <c r="A173" t="s">
        <v>189</v>
      </c>
      <c r="B173">
        <v>25.806451612903231</v>
      </c>
      <c r="C173" s="1">
        <v>43257</v>
      </c>
      <c r="D173" s="6" t="s">
        <v>159</v>
      </c>
    </row>
    <row r="174" spans="1:4" x14ac:dyDescent="0.25">
      <c r="A174" t="s">
        <v>190</v>
      </c>
      <c r="B174">
        <v>22.317073170731682</v>
      </c>
      <c r="C174" s="1">
        <v>43257</v>
      </c>
      <c r="D174" s="6" t="s">
        <v>159</v>
      </c>
    </row>
    <row r="175" spans="1:4" x14ac:dyDescent="0.25">
      <c r="A175" t="s">
        <v>191</v>
      </c>
      <c r="B175">
        <v>23.856209150326812</v>
      </c>
      <c r="C175" s="1">
        <v>43257</v>
      </c>
      <c r="D175" s="6" t="s">
        <v>159</v>
      </c>
    </row>
    <row r="176" spans="1:4" x14ac:dyDescent="0.25">
      <c r="A176" t="s">
        <v>192</v>
      </c>
      <c r="B176">
        <v>14.015904572564613</v>
      </c>
      <c r="C176" s="1">
        <v>43257</v>
      </c>
      <c r="D176" s="6" t="s">
        <v>159</v>
      </c>
    </row>
    <row r="177" spans="1:4" x14ac:dyDescent="0.25">
      <c r="A177" t="s">
        <v>193</v>
      </c>
      <c r="B177">
        <v>16.355140186915872</v>
      </c>
      <c r="C177" s="1">
        <v>43257</v>
      </c>
      <c r="D177" s="6" t="s">
        <v>159</v>
      </c>
    </row>
    <row r="178" spans="1:4" x14ac:dyDescent="0.25">
      <c r="A178" t="s">
        <v>194</v>
      </c>
      <c r="B178">
        <v>10.17897091722593</v>
      </c>
      <c r="C178" s="1">
        <v>43257</v>
      </c>
      <c r="D178" s="6" t="s">
        <v>159</v>
      </c>
    </row>
    <row r="179" spans="1:4" x14ac:dyDescent="0.25">
      <c r="A179" t="s">
        <v>195</v>
      </c>
      <c r="B179">
        <v>24.695863746958626</v>
      </c>
      <c r="C179" s="1">
        <v>43257</v>
      </c>
      <c r="D179" s="6" t="s">
        <v>159</v>
      </c>
    </row>
    <row r="180" spans="1:4" x14ac:dyDescent="0.25">
      <c r="A180" t="s">
        <v>196</v>
      </c>
      <c r="B180">
        <v>14.253393665158368</v>
      </c>
      <c r="C180" s="1">
        <v>43258</v>
      </c>
      <c r="D180" s="6" t="s">
        <v>159</v>
      </c>
    </row>
    <row r="181" spans="1:4" x14ac:dyDescent="0.25">
      <c r="A181" t="s">
        <v>197</v>
      </c>
      <c r="B181">
        <v>15.445321307779041</v>
      </c>
      <c r="C181" s="1">
        <v>43258</v>
      </c>
      <c r="D181" s="6" t="s">
        <v>159</v>
      </c>
    </row>
    <row r="182" spans="1:4" x14ac:dyDescent="0.25">
      <c r="A182" t="s">
        <v>198</v>
      </c>
      <c r="B182">
        <v>23.375000000000014</v>
      </c>
      <c r="C182" s="1">
        <v>43258</v>
      </c>
      <c r="D182" s="6" t="s">
        <v>159</v>
      </c>
    </row>
    <row r="183" spans="1:4" x14ac:dyDescent="0.25">
      <c r="A183" t="s">
        <v>199</v>
      </c>
      <c r="B183">
        <v>12.658227848101259</v>
      </c>
      <c r="C183" s="1">
        <v>43258</v>
      </c>
      <c r="D183" s="6" t="s">
        <v>159</v>
      </c>
    </row>
    <row r="184" spans="1:4" x14ac:dyDescent="0.25">
      <c r="A184" t="s">
        <v>200</v>
      </c>
      <c r="B184">
        <v>8.9941972920696287</v>
      </c>
      <c r="C184" s="1">
        <v>43258</v>
      </c>
      <c r="D184" s="6" t="s">
        <v>159</v>
      </c>
    </row>
    <row r="185" spans="1:4" x14ac:dyDescent="0.25">
      <c r="A185" t="s">
        <v>201</v>
      </c>
      <c r="B185">
        <v>10.695742471443401</v>
      </c>
      <c r="C185" s="1">
        <v>43258</v>
      </c>
      <c r="D185" s="6" t="s">
        <v>159</v>
      </c>
    </row>
    <row r="186" spans="1:4" x14ac:dyDescent="0.25">
      <c r="A186" t="s">
        <v>202</v>
      </c>
      <c r="B186">
        <v>0</v>
      </c>
      <c r="C186" s="1">
        <v>43258</v>
      </c>
      <c r="D186" s="6" t="s">
        <v>159</v>
      </c>
    </row>
    <row r="187" spans="1:4" x14ac:dyDescent="0.25">
      <c r="A187" t="s">
        <v>203</v>
      </c>
      <c r="B187">
        <v>7.0083682008368191</v>
      </c>
      <c r="C187" s="1">
        <v>43258</v>
      </c>
      <c r="D187" s="6" t="s">
        <v>159</v>
      </c>
    </row>
    <row r="188" spans="1:4" x14ac:dyDescent="0.25">
      <c r="A188" t="s">
        <v>204</v>
      </c>
      <c r="B188">
        <v>10.212765957446798</v>
      </c>
      <c r="C188" s="1">
        <v>43258</v>
      </c>
      <c r="D188" s="6" t="s">
        <v>159</v>
      </c>
    </row>
    <row r="189" spans="1:4" x14ac:dyDescent="0.25">
      <c r="A189" t="s">
        <v>205</v>
      </c>
      <c r="B189">
        <v>13.141025641025648</v>
      </c>
      <c r="C189" s="1">
        <v>43258</v>
      </c>
      <c r="D189" s="6" t="s">
        <v>159</v>
      </c>
    </row>
    <row r="190" spans="1:4" x14ac:dyDescent="0.25">
      <c r="A190" t="s">
        <v>206</v>
      </c>
      <c r="B190">
        <v>11.284916201117317</v>
      </c>
      <c r="C190" s="1">
        <v>43258</v>
      </c>
      <c r="D190" s="6" t="s">
        <v>159</v>
      </c>
    </row>
    <row r="191" spans="1:4" x14ac:dyDescent="0.25">
      <c r="A191" t="s">
        <v>207</v>
      </c>
      <c r="B191">
        <v>10.880829015544052</v>
      </c>
      <c r="C191" s="1">
        <v>43258</v>
      </c>
      <c r="D191" s="6" t="s">
        <v>159</v>
      </c>
    </row>
    <row r="192" spans="1:4" x14ac:dyDescent="0.25">
      <c r="A192" t="s">
        <v>208</v>
      </c>
      <c r="B192">
        <v>5.3773584905660403</v>
      </c>
      <c r="C192" s="1">
        <v>43259</v>
      </c>
      <c r="D192" s="6" t="s">
        <v>159</v>
      </c>
    </row>
    <row r="193" spans="1:4" x14ac:dyDescent="0.25">
      <c r="A193" t="s">
        <v>209</v>
      </c>
      <c r="B193">
        <v>2.8089887640449342</v>
      </c>
      <c r="C193" s="1">
        <v>43259</v>
      </c>
      <c r="D193" s="6" t="s">
        <v>159</v>
      </c>
    </row>
    <row r="194" spans="1:4" x14ac:dyDescent="0.25">
      <c r="A194" t="s">
        <v>210</v>
      </c>
      <c r="B194">
        <v>3.609756097560985</v>
      </c>
      <c r="C194" s="1">
        <v>43259</v>
      </c>
      <c r="D194" s="6" t="s">
        <v>159</v>
      </c>
    </row>
    <row r="195" spans="1:4" x14ac:dyDescent="0.25">
      <c r="A195" t="s">
        <v>211</v>
      </c>
      <c r="B195">
        <v>2.6213592233009666</v>
      </c>
      <c r="C195" s="1">
        <v>43259</v>
      </c>
      <c r="D195" s="6" t="s">
        <v>159</v>
      </c>
    </row>
    <row r="196" spans="1:4" x14ac:dyDescent="0.25">
      <c r="A196" t="s">
        <v>212</v>
      </c>
      <c r="B196">
        <v>7.9792746113989592</v>
      </c>
      <c r="C196" s="1">
        <v>43259</v>
      </c>
      <c r="D196" s="6" t="s">
        <v>159</v>
      </c>
    </row>
    <row r="197" spans="1:4" x14ac:dyDescent="0.25">
      <c r="A197" t="s">
        <v>262</v>
      </c>
      <c r="B197">
        <v>8.9567966280295011</v>
      </c>
      <c r="C197" s="1">
        <v>43259</v>
      </c>
      <c r="D197" s="6" t="s">
        <v>159</v>
      </c>
    </row>
    <row r="198" spans="1:4" x14ac:dyDescent="0.25">
      <c r="A198" t="s">
        <v>213</v>
      </c>
      <c r="B198">
        <v>8.4349593495934982</v>
      </c>
      <c r="C198" s="1">
        <v>43259</v>
      </c>
      <c r="D198" s="6" t="s">
        <v>159</v>
      </c>
    </row>
    <row r="199" spans="1:4" x14ac:dyDescent="0.25">
      <c r="A199" t="s">
        <v>214</v>
      </c>
      <c r="B199">
        <v>5.3231939163498154</v>
      </c>
      <c r="C199" s="1">
        <v>43259</v>
      </c>
      <c r="D199" s="6" t="s">
        <v>159</v>
      </c>
    </row>
    <row r="200" spans="1:4" x14ac:dyDescent="0.25">
      <c r="A200" t="s">
        <v>215</v>
      </c>
      <c r="B200">
        <v>5.7384760112888005</v>
      </c>
      <c r="C200" s="1">
        <v>43259</v>
      </c>
      <c r="D200" s="6" t="s">
        <v>159</v>
      </c>
    </row>
    <row r="201" spans="1:4" x14ac:dyDescent="0.25">
      <c r="A201" t="s">
        <v>216</v>
      </c>
      <c r="B201">
        <v>2.7411167512690309</v>
      </c>
      <c r="C201" s="1">
        <v>43259</v>
      </c>
      <c r="D201" s="6" t="s">
        <v>159</v>
      </c>
    </row>
    <row r="202" spans="1:4" x14ac:dyDescent="0.25">
      <c r="A202" t="s">
        <v>217</v>
      </c>
      <c r="B202">
        <v>18.543799772468699</v>
      </c>
      <c r="C202" s="1">
        <v>43259</v>
      </c>
      <c r="D202" s="6" t="s">
        <v>159</v>
      </c>
    </row>
    <row r="203" spans="1:4" x14ac:dyDescent="0.25">
      <c r="A203" t="s">
        <v>263</v>
      </c>
      <c r="B203">
        <v>5.4162487462387263</v>
      </c>
      <c r="C203" s="1">
        <v>43259</v>
      </c>
      <c r="D203" s="6" t="s">
        <v>159</v>
      </c>
    </row>
    <row r="204" spans="1:4" x14ac:dyDescent="0.25">
      <c r="A204" t="s">
        <v>218</v>
      </c>
      <c r="B204">
        <v>10.218978102189768</v>
      </c>
      <c r="C204" s="1">
        <v>43262</v>
      </c>
      <c r="D204" s="6" t="s">
        <v>159</v>
      </c>
    </row>
    <row r="205" spans="1:4" x14ac:dyDescent="0.25">
      <c r="A205" t="s">
        <v>219</v>
      </c>
      <c r="B205">
        <v>8.2627118644067927</v>
      </c>
      <c r="C205" s="1">
        <v>43262</v>
      </c>
      <c r="D205" s="6" t="s">
        <v>159</v>
      </c>
    </row>
    <row r="206" spans="1:4" x14ac:dyDescent="0.25">
      <c r="A206" t="s">
        <v>220</v>
      </c>
      <c r="B206">
        <v>9.6398305084745584</v>
      </c>
      <c r="C206" s="1">
        <v>43262</v>
      </c>
      <c r="D206" s="6" t="s">
        <v>159</v>
      </c>
    </row>
    <row r="207" spans="1:4" x14ac:dyDescent="0.25">
      <c r="A207" t="s">
        <v>221</v>
      </c>
      <c r="B207">
        <v>5.306971904266387</v>
      </c>
      <c r="C207" s="1">
        <v>43262</v>
      </c>
      <c r="D207" s="6" t="s">
        <v>159</v>
      </c>
    </row>
    <row r="208" spans="1:4" x14ac:dyDescent="0.25">
      <c r="A208" t="s">
        <v>222</v>
      </c>
      <c r="B208">
        <v>4.4284243048403678</v>
      </c>
      <c r="C208" s="1">
        <v>43262</v>
      </c>
      <c r="D208" s="6" t="s">
        <v>159</v>
      </c>
    </row>
    <row r="209" spans="1:4" x14ac:dyDescent="0.25">
      <c r="A209" t="s">
        <v>223</v>
      </c>
      <c r="B209">
        <v>5.1009564293305036</v>
      </c>
      <c r="C209" s="1">
        <v>43262</v>
      </c>
      <c r="D209" s="6" t="s">
        <v>159</v>
      </c>
    </row>
    <row r="210" spans="1:4" x14ac:dyDescent="0.25">
      <c r="A210" t="s">
        <v>224</v>
      </c>
      <c r="B210">
        <v>5.5611729019211396</v>
      </c>
      <c r="C210" s="1">
        <v>43262</v>
      </c>
      <c r="D210" s="6" t="s">
        <v>159</v>
      </c>
    </row>
    <row r="211" spans="1:4" x14ac:dyDescent="0.25">
      <c r="A211" t="s">
        <v>225</v>
      </c>
      <c r="B211">
        <v>3.8152610441767147</v>
      </c>
      <c r="C211" s="1">
        <v>43262</v>
      </c>
      <c r="D211" s="6" t="s">
        <v>159</v>
      </c>
    </row>
    <row r="212" spans="1:4" x14ac:dyDescent="0.25">
      <c r="A212" t="s">
        <v>226</v>
      </c>
      <c r="B212">
        <v>4.5599151643690323</v>
      </c>
      <c r="C212" s="1">
        <v>43262</v>
      </c>
      <c r="D212" s="6" t="s">
        <v>159</v>
      </c>
    </row>
    <row r="213" spans="1:4" x14ac:dyDescent="0.25">
      <c r="A213" t="s">
        <v>227</v>
      </c>
      <c r="B213">
        <v>4.1879468845760996</v>
      </c>
      <c r="C213" s="1">
        <v>43262</v>
      </c>
      <c r="D213" s="6" t="s">
        <v>159</v>
      </c>
    </row>
    <row r="214" spans="1:4" x14ac:dyDescent="0.25">
      <c r="A214" t="s">
        <v>228</v>
      </c>
      <c r="B214">
        <v>5.3937432578209279</v>
      </c>
      <c r="C214" s="1">
        <v>43262</v>
      </c>
      <c r="D214" s="6" t="s">
        <v>159</v>
      </c>
    </row>
    <row r="215" spans="1:4" x14ac:dyDescent="0.25">
      <c r="A215" t="s">
        <v>229</v>
      </c>
      <c r="B215">
        <v>3.5429583702391367</v>
      </c>
      <c r="C215" s="1">
        <v>43262</v>
      </c>
      <c r="D215" s="6" t="s">
        <v>159</v>
      </c>
    </row>
    <row r="216" spans="1:4" x14ac:dyDescent="0.25">
      <c r="A216" t="s">
        <v>230</v>
      </c>
      <c r="B216">
        <v>13.348416289592757</v>
      </c>
      <c r="C216" s="1">
        <v>43263</v>
      </c>
      <c r="D216" s="6" t="s">
        <v>159</v>
      </c>
    </row>
    <row r="217" spans="1:4" x14ac:dyDescent="0.25">
      <c r="A217" t="s">
        <v>231</v>
      </c>
      <c r="B217">
        <v>6.9529652351738216</v>
      </c>
      <c r="C217" s="1">
        <v>43263</v>
      </c>
      <c r="D217" s="6" t="s">
        <v>159</v>
      </c>
    </row>
    <row r="218" spans="1:4" x14ac:dyDescent="0.25">
      <c r="A218" t="s">
        <v>232</v>
      </c>
      <c r="B218">
        <v>13.399778516057594</v>
      </c>
      <c r="C218" s="1">
        <v>43263</v>
      </c>
      <c r="D218" s="6" t="s">
        <v>159</v>
      </c>
    </row>
    <row r="219" spans="1:4" x14ac:dyDescent="0.25">
      <c r="A219" t="s">
        <v>233</v>
      </c>
      <c r="B219">
        <v>17.923497267759569</v>
      </c>
      <c r="C219" s="1">
        <v>43263</v>
      </c>
      <c r="D219" s="6" t="s">
        <v>159</v>
      </c>
    </row>
    <row r="220" spans="1:4" x14ac:dyDescent="0.25">
      <c r="A220" t="s">
        <v>234</v>
      </c>
      <c r="B220">
        <v>17.58691206543968</v>
      </c>
      <c r="C220" s="1">
        <v>43263</v>
      </c>
      <c r="D220" s="6" t="s">
        <v>159</v>
      </c>
    </row>
    <row r="221" spans="1:4" x14ac:dyDescent="0.25">
      <c r="A221" t="s">
        <v>235</v>
      </c>
      <c r="B221">
        <v>15.465116279069768</v>
      </c>
      <c r="C221" s="1">
        <v>43263</v>
      </c>
      <c r="D221" s="6" t="s">
        <v>159</v>
      </c>
    </row>
    <row r="222" spans="1:4" x14ac:dyDescent="0.25">
      <c r="A222" t="s">
        <v>236</v>
      </c>
      <c r="B222">
        <v>13.740458015267171</v>
      </c>
      <c r="C222" s="1">
        <v>43263</v>
      </c>
      <c r="D222" s="6" t="s">
        <v>159</v>
      </c>
    </row>
    <row r="223" spans="1:4" x14ac:dyDescent="0.25">
      <c r="A223" t="s">
        <v>237</v>
      </c>
      <c r="B223">
        <v>21.404303510758758</v>
      </c>
      <c r="C223" s="1">
        <v>43263</v>
      </c>
      <c r="D223" s="6" t="s">
        <v>159</v>
      </c>
    </row>
    <row r="224" spans="1:4" x14ac:dyDescent="0.25">
      <c r="A224" t="s">
        <v>238</v>
      </c>
      <c r="B224">
        <v>16.970387243735765</v>
      </c>
      <c r="C224" s="1">
        <v>43263</v>
      </c>
      <c r="D224" s="6" t="s">
        <v>159</v>
      </c>
    </row>
    <row r="225" spans="1:4" x14ac:dyDescent="0.25">
      <c r="A225" t="s">
        <v>239</v>
      </c>
      <c r="B225">
        <v>13.767342582710768</v>
      </c>
      <c r="C225" s="1">
        <v>43263</v>
      </c>
      <c r="D225" s="6" t="s">
        <v>159</v>
      </c>
    </row>
    <row r="226" spans="1:4" x14ac:dyDescent="0.25">
      <c r="A226" t="s">
        <v>240</v>
      </c>
      <c r="B226">
        <v>18.376550169109368</v>
      </c>
      <c r="C226" s="1">
        <v>43263</v>
      </c>
      <c r="D226" s="6" t="s">
        <v>159</v>
      </c>
    </row>
    <row r="227" spans="1:4" x14ac:dyDescent="0.25">
      <c r="A227" t="s">
        <v>241</v>
      </c>
      <c r="B227">
        <v>22.354211663066959</v>
      </c>
      <c r="C227" s="1">
        <v>43263</v>
      </c>
      <c r="D227" s="6" t="s">
        <v>159</v>
      </c>
    </row>
    <row r="228" spans="1:4" x14ac:dyDescent="0.25">
      <c r="A228" t="s">
        <v>264</v>
      </c>
      <c r="B228">
        <v>14.567360350492883</v>
      </c>
      <c r="C228" s="1">
        <v>43263</v>
      </c>
      <c r="D228" s="6" t="s">
        <v>159</v>
      </c>
    </row>
    <row r="229" spans="1:4" x14ac:dyDescent="0.25">
      <c r="A229" t="s">
        <v>242</v>
      </c>
      <c r="B229">
        <v>15.844700944386148</v>
      </c>
      <c r="C229" s="1">
        <v>43263</v>
      </c>
      <c r="D229" s="6" t="s">
        <v>159</v>
      </c>
    </row>
    <row r="230" spans="1:4" x14ac:dyDescent="0.25">
      <c r="A230" t="s">
        <v>243</v>
      </c>
      <c r="B230">
        <v>19.146722164412068</v>
      </c>
      <c r="C230" s="1">
        <v>43263</v>
      </c>
      <c r="D230" s="6" t="s">
        <v>159</v>
      </c>
    </row>
    <row r="231" spans="1:4" x14ac:dyDescent="0.25">
      <c r="A231" t="s">
        <v>244</v>
      </c>
      <c r="B231">
        <v>14.192849404117016</v>
      </c>
      <c r="C231" s="1">
        <v>43263</v>
      </c>
      <c r="D231" s="6" t="s">
        <v>159</v>
      </c>
    </row>
    <row r="232" spans="1:4" x14ac:dyDescent="0.25">
      <c r="A232" t="s">
        <v>245</v>
      </c>
      <c r="B232">
        <v>21.472392638036808</v>
      </c>
      <c r="C232" s="1">
        <v>43263</v>
      </c>
      <c r="D232" s="6" t="s">
        <v>159</v>
      </c>
    </row>
    <row r="233" spans="1:4" x14ac:dyDescent="0.25">
      <c r="A233" t="s">
        <v>246</v>
      </c>
      <c r="B233">
        <v>21.175030599755207</v>
      </c>
      <c r="C233" s="1">
        <v>43263</v>
      </c>
      <c r="D233" s="6" t="s">
        <v>159</v>
      </c>
    </row>
    <row r="234" spans="1:4" x14ac:dyDescent="0.25">
      <c r="A234" t="s">
        <v>247</v>
      </c>
      <c r="B234">
        <v>18.213866039953004</v>
      </c>
      <c r="C234" s="1">
        <v>43263</v>
      </c>
      <c r="D234" s="6" t="s">
        <v>159</v>
      </c>
    </row>
    <row r="235" spans="1:4" x14ac:dyDescent="0.25">
      <c r="A235" t="s">
        <v>248</v>
      </c>
      <c r="B235">
        <v>20.23809523809523</v>
      </c>
      <c r="C235" s="1">
        <v>43263</v>
      </c>
      <c r="D235" s="6" t="s">
        <v>159</v>
      </c>
    </row>
    <row r="236" spans="1:4" x14ac:dyDescent="0.25">
      <c r="A236" t="s">
        <v>249</v>
      </c>
      <c r="B236">
        <v>13.449023861171373</v>
      </c>
      <c r="C236" s="1">
        <v>43263</v>
      </c>
      <c r="D236" s="6" t="s">
        <v>159</v>
      </c>
    </row>
    <row r="237" spans="1:4" x14ac:dyDescent="0.25">
      <c r="A237" t="s">
        <v>265</v>
      </c>
      <c r="B237">
        <v>8.6816720257234596</v>
      </c>
      <c r="C237" s="1">
        <v>43263</v>
      </c>
      <c r="D237" s="6" t="s">
        <v>159</v>
      </c>
    </row>
    <row r="238" spans="1:4" x14ac:dyDescent="0.25">
      <c r="A238" t="s">
        <v>266</v>
      </c>
      <c r="B238">
        <v>7.4309978768577425</v>
      </c>
      <c r="C238" s="1">
        <v>43263</v>
      </c>
      <c r="D238" s="6" t="s">
        <v>159</v>
      </c>
    </row>
    <row r="239" spans="1:4" x14ac:dyDescent="0.25">
      <c r="A239" t="s">
        <v>267</v>
      </c>
      <c r="B239">
        <v>8.1983805668016245</v>
      </c>
      <c r="C239" s="1">
        <v>43263</v>
      </c>
      <c r="D239" s="6" t="s">
        <v>159</v>
      </c>
    </row>
    <row r="240" spans="1:4" x14ac:dyDescent="0.25">
      <c r="A240" t="s">
        <v>250</v>
      </c>
      <c r="B240">
        <v>14.223194748358873</v>
      </c>
      <c r="C240" s="1">
        <v>43264</v>
      </c>
      <c r="D240" s="6" t="s">
        <v>159</v>
      </c>
    </row>
    <row r="241" spans="1:4" x14ac:dyDescent="0.25">
      <c r="A241" t="s">
        <v>251</v>
      </c>
      <c r="B241">
        <v>14.977477477477477</v>
      </c>
      <c r="C241" s="1">
        <v>43264</v>
      </c>
      <c r="D241" s="6" t="s">
        <v>159</v>
      </c>
    </row>
    <row r="242" spans="1:4" x14ac:dyDescent="0.25">
      <c r="A242" t="s">
        <v>252</v>
      </c>
      <c r="B242">
        <v>16.245883644346879</v>
      </c>
      <c r="C242" s="1">
        <v>43264</v>
      </c>
      <c r="D242" s="6" t="s">
        <v>159</v>
      </c>
    </row>
    <row r="243" spans="1:4" x14ac:dyDescent="0.25">
      <c r="A243" t="s">
        <v>253</v>
      </c>
      <c r="B243">
        <v>16.081540203850512</v>
      </c>
      <c r="C243" s="1">
        <v>43264</v>
      </c>
      <c r="D243" s="6" t="s">
        <v>159</v>
      </c>
    </row>
    <row r="244" spans="1:4" x14ac:dyDescent="0.25">
      <c r="A244" t="s">
        <v>254</v>
      </c>
      <c r="B244">
        <v>9.7859327217125482</v>
      </c>
      <c r="C244" s="1">
        <v>43264</v>
      </c>
      <c r="D244" s="6" t="s">
        <v>159</v>
      </c>
    </row>
    <row r="245" spans="1:4" x14ac:dyDescent="0.25">
      <c r="A245" t="s">
        <v>255</v>
      </c>
      <c r="B245">
        <v>8.549783549783541</v>
      </c>
      <c r="C245" s="1">
        <v>43264</v>
      </c>
      <c r="D245" s="6" t="s">
        <v>159</v>
      </c>
    </row>
    <row r="246" spans="1:4" x14ac:dyDescent="0.25">
      <c r="A246" t="s">
        <v>256</v>
      </c>
      <c r="B246">
        <v>8.0338266384777999</v>
      </c>
      <c r="C246" s="1">
        <v>43264</v>
      </c>
      <c r="D246" s="6" t="s">
        <v>159</v>
      </c>
    </row>
    <row r="247" spans="1:4" x14ac:dyDescent="0.25">
      <c r="A247" t="s">
        <v>257</v>
      </c>
      <c r="B247">
        <v>9.0248962655601748</v>
      </c>
      <c r="C247" s="1">
        <v>43264</v>
      </c>
      <c r="D247" s="6" t="s">
        <v>159</v>
      </c>
    </row>
    <row r="248" spans="1:4" x14ac:dyDescent="0.25">
      <c r="A248" t="s">
        <v>258</v>
      </c>
      <c r="B248">
        <v>8.1300813008130142</v>
      </c>
      <c r="C248" s="1">
        <v>43264</v>
      </c>
      <c r="D248" s="6" t="s">
        <v>159</v>
      </c>
    </row>
    <row r="249" spans="1:4" x14ac:dyDescent="0.25">
      <c r="A249" t="s">
        <v>259</v>
      </c>
      <c r="B249">
        <v>8.2612872238232402</v>
      </c>
      <c r="C249" s="1">
        <v>43264</v>
      </c>
      <c r="D249" s="6" t="s">
        <v>159</v>
      </c>
    </row>
    <row r="250" spans="1:4" x14ac:dyDescent="0.25">
      <c r="A250" t="s">
        <v>260</v>
      </c>
      <c r="B250">
        <v>9.0517241379310533</v>
      </c>
      <c r="C250" s="1">
        <v>43264</v>
      </c>
      <c r="D250" s="6" t="s">
        <v>159</v>
      </c>
    </row>
    <row r="251" spans="1:4" x14ac:dyDescent="0.25">
      <c r="A251" t="s">
        <v>261</v>
      </c>
      <c r="B251">
        <v>9.2042186001917461</v>
      </c>
      <c r="C251" s="1">
        <v>43264</v>
      </c>
      <c r="D251" s="6" t="s">
        <v>159</v>
      </c>
    </row>
    <row r="252" spans="1:4" x14ac:dyDescent="0.25">
      <c r="A252" t="s">
        <v>135</v>
      </c>
      <c r="B252">
        <v>29.540481400437628</v>
      </c>
      <c r="C252" s="1">
        <v>43311</v>
      </c>
      <c r="D252" s="6" t="s">
        <v>332</v>
      </c>
    </row>
    <row r="253" spans="1:4" x14ac:dyDescent="0.25">
      <c r="A253" t="s">
        <v>136</v>
      </c>
      <c r="B253">
        <v>22.254335260115596</v>
      </c>
      <c r="C253" s="1">
        <v>43311</v>
      </c>
      <c r="D253" s="6" t="s">
        <v>332</v>
      </c>
    </row>
    <row r="254" spans="1:4" x14ac:dyDescent="0.25">
      <c r="A254" t="s">
        <v>137</v>
      </c>
      <c r="B254">
        <v>22.788203753351226</v>
      </c>
      <c r="C254" s="1">
        <v>43311</v>
      </c>
      <c r="D254" s="6" t="s">
        <v>332</v>
      </c>
    </row>
    <row r="255" spans="1:4" x14ac:dyDescent="0.25">
      <c r="A255" t="s">
        <v>138</v>
      </c>
      <c r="B255">
        <v>24.044389642416782</v>
      </c>
      <c r="C255" s="1">
        <v>43311</v>
      </c>
      <c r="D255" s="6" t="s">
        <v>332</v>
      </c>
    </row>
    <row r="256" spans="1:4" x14ac:dyDescent="0.25">
      <c r="A256" t="s">
        <v>139</v>
      </c>
      <c r="B256">
        <v>12.99019607843138</v>
      </c>
      <c r="C256" s="1">
        <v>43311</v>
      </c>
      <c r="D256" s="6" t="s">
        <v>332</v>
      </c>
    </row>
    <row r="257" spans="1:4" x14ac:dyDescent="0.25">
      <c r="A257" t="s">
        <v>140</v>
      </c>
      <c r="B257">
        <v>12.10653753026634</v>
      </c>
      <c r="C257" s="1">
        <v>43311</v>
      </c>
      <c r="D257" s="6" t="s">
        <v>332</v>
      </c>
    </row>
    <row r="258" spans="1:4" x14ac:dyDescent="0.25">
      <c r="A258" t="s">
        <v>141</v>
      </c>
      <c r="B258">
        <v>15.768725361366636</v>
      </c>
      <c r="C258" s="1">
        <v>43311</v>
      </c>
      <c r="D258" s="6" t="s">
        <v>332</v>
      </c>
    </row>
    <row r="259" spans="1:4" x14ac:dyDescent="0.25">
      <c r="A259" t="s">
        <v>142</v>
      </c>
      <c r="B259">
        <v>10.891089108910879</v>
      </c>
      <c r="C259" s="1">
        <v>43311</v>
      </c>
      <c r="D259" s="6" t="s">
        <v>332</v>
      </c>
    </row>
    <row r="260" spans="1:4" x14ac:dyDescent="0.25">
      <c r="A260" t="s">
        <v>143</v>
      </c>
      <c r="B260">
        <v>17.352614015572847</v>
      </c>
      <c r="C260" s="1">
        <v>43311</v>
      </c>
      <c r="D260" s="6" t="s">
        <v>332</v>
      </c>
    </row>
    <row r="261" spans="1:4" x14ac:dyDescent="0.25">
      <c r="A261" t="s">
        <v>144</v>
      </c>
      <c r="B261">
        <v>18.004587155963307</v>
      </c>
      <c r="C261" s="1">
        <v>43311</v>
      </c>
      <c r="D261" s="6" t="s">
        <v>332</v>
      </c>
    </row>
    <row r="262" spans="1:4" x14ac:dyDescent="0.25">
      <c r="A262" t="s">
        <v>145</v>
      </c>
      <c r="B262">
        <v>17.631917631917645</v>
      </c>
      <c r="C262" s="1">
        <v>43311</v>
      </c>
      <c r="D262" s="6" t="s">
        <v>332</v>
      </c>
    </row>
    <row r="263" spans="1:4" x14ac:dyDescent="0.25">
      <c r="A263" t="s">
        <v>146</v>
      </c>
      <c r="B263">
        <v>18.500604594921395</v>
      </c>
      <c r="C263" s="1">
        <v>43311</v>
      </c>
      <c r="D263" s="6" t="s">
        <v>332</v>
      </c>
    </row>
    <row r="264" spans="1:4" x14ac:dyDescent="0.25">
      <c r="A264" t="s">
        <v>147</v>
      </c>
      <c r="B264">
        <v>18.045977011494259</v>
      </c>
      <c r="C264" s="1">
        <v>43311</v>
      </c>
      <c r="D264" s="6" t="s">
        <v>332</v>
      </c>
    </row>
    <row r="265" spans="1:4" x14ac:dyDescent="0.25">
      <c r="A265" t="s">
        <v>148</v>
      </c>
      <c r="B265">
        <v>18.006103763987806</v>
      </c>
      <c r="C265" s="1">
        <v>43311</v>
      </c>
      <c r="D265" s="6" t="s">
        <v>332</v>
      </c>
    </row>
    <row r="266" spans="1:4" x14ac:dyDescent="0.25">
      <c r="A266" t="s">
        <v>149</v>
      </c>
      <c r="B266">
        <v>19.053549190535506</v>
      </c>
      <c r="C266" s="1">
        <v>43311</v>
      </c>
      <c r="D266" s="6" t="s">
        <v>332</v>
      </c>
    </row>
    <row r="267" spans="1:4" x14ac:dyDescent="0.25">
      <c r="A267" t="s">
        <v>150</v>
      </c>
      <c r="B267">
        <v>18.857901726427624</v>
      </c>
      <c r="C267" s="1">
        <v>43311</v>
      </c>
      <c r="D267" s="6" t="s">
        <v>332</v>
      </c>
    </row>
    <row r="268" spans="1:4" x14ac:dyDescent="0.25">
      <c r="A268" t="s">
        <v>151</v>
      </c>
      <c r="B268">
        <v>6.8639053254437883</v>
      </c>
      <c r="C268" s="1">
        <v>43311</v>
      </c>
      <c r="D268" s="6" t="s">
        <v>332</v>
      </c>
    </row>
    <row r="269" spans="1:4" x14ac:dyDescent="0.25">
      <c r="A269" t="s">
        <v>152</v>
      </c>
      <c r="B269">
        <v>7.7185017026106681</v>
      </c>
      <c r="C269" s="1">
        <v>43311</v>
      </c>
      <c r="D269" s="6" t="s">
        <v>332</v>
      </c>
    </row>
    <row r="270" spans="1:4" x14ac:dyDescent="0.25">
      <c r="A270" t="s">
        <v>153</v>
      </c>
      <c r="B270">
        <v>5.6689342403628116</v>
      </c>
      <c r="C270" s="1">
        <v>43311</v>
      </c>
      <c r="D270" s="6" t="s">
        <v>332</v>
      </c>
    </row>
    <row r="271" spans="1:4" x14ac:dyDescent="0.25">
      <c r="A271" t="s">
        <v>154</v>
      </c>
      <c r="B271">
        <v>7.2984749455337674</v>
      </c>
      <c r="C271" s="1">
        <v>43311</v>
      </c>
      <c r="D271" s="6" t="s">
        <v>332</v>
      </c>
    </row>
    <row r="272" spans="1:4" x14ac:dyDescent="0.25">
      <c r="A272" t="s">
        <v>155</v>
      </c>
      <c r="B272">
        <v>11.457036114570361</v>
      </c>
      <c r="C272" s="1">
        <v>43311</v>
      </c>
      <c r="D272" s="6" t="s">
        <v>332</v>
      </c>
    </row>
    <row r="273" spans="1:4" x14ac:dyDescent="0.25">
      <c r="A273" t="s">
        <v>156</v>
      </c>
      <c r="B273">
        <v>14.837905236907748</v>
      </c>
      <c r="C273" s="1">
        <v>43311</v>
      </c>
      <c r="D273" s="6" t="s">
        <v>332</v>
      </c>
    </row>
    <row r="274" spans="1:4" x14ac:dyDescent="0.25">
      <c r="A274" t="s">
        <v>157</v>
      </c>
      <c r="B274">
        <v>19.440745672436762</v>
      </c>
      <c r="C274" s="1">
        <v>43311</v>
      </c>
      <c r="D274" s="6" t="s">
        <v>332</v>
      </c>
    </row>
    <row r="275" spans="1:4" x14ac:dyDescent="0.25">
      <c r="A275" t="s">
        <v>158</v>
      </c>
      <c r="B275">
        <v>22.87671232876712</v>
      </c>
      <c r="C275" s="1">
        <v>43311</v>
      </c>
      <c r="D275" s="6" t="s">
        <v>332</v>
      </c>
    </row>
    <row r="276" spans="1:4" x14ac:dyDescent="0.25">
      <c r="A276" t="s">
        <v>172</v>
      </c>
      <c r="B276">
        <v>5.2631578947368496</v>
      </c>
      <c r="C276" s="1">
        <v>43313</v>
      </c>
      <c r="D276" s="6" t="s">
        <v>332</v>
      </c>
    </row>
    <row r="277" spans="1:4" x14ac:dyDescent="0.25">
      <c r="A277" t="s">
        <v>173</v>
      </c>
      <c r="B277">
        <v>3.8424591738712808</v>
      </c>
      <c r="C277" s="1">
        <v>43313</v>
      </c>
      <c r="D277" s="6" t="s">
        <v>332</v>
      </c>
    </row>
    <row r="278" spans="1:4" x14ac:dyDescent="0.25">
      <c r="A278" t="s">
        <v>174</v>
      </c>
      <c r="B278">
        <v>5.8262711864406862</v>
      </c>
      <c r="C278" s="1">
        <v>43313</v>
      </c>
      <c r="D278" s="6" t="s">
        <v>332</v>
      </c>
    </row>
    <row r="279" spans="1:4" x14ac:dyDescent="0.25">
      <c r="A279" t="s">
        <v>176</v>
      </c>
      <c r="B279">
        <v>4.4660194174757368</v>
      </c>
      <c r="C279" s="1">
        <v>43313</v>
      </c>
      <c r="D279" s="6" t="s">
        <v>332</v>
      </c>
    </row>
    <row r="280" spans="1:4" x14ac:dyDescent="0.25">
      <c r="A280" t="s">
        <v>177</v>
      </c>
      <c r="B280">
        <v>4.1052631578947247</v>
      </c>
      <c r="C280" s="1">
        <v>43313</v>
      </c>
      <c r="D280" s="6" t="s">
        <v>332</v>
      </c>
    </row>
    <row r="281" spans="1:4" x14ac:dyDescent="0.25">
      <c r="A281" t="s">
        <v>178</v>
      </c>
      <c r="B281">
        <v>7.2580645161290205</v>
      </c>
      <c r="C281" s="1">
        <v>43313</v>
      </c>
      <c r="D281" s="6" t="s">
        <v>332</v>
      </c>
    </row>
    <row r="282" spans="1:4" x14ac:dyDescent="0.25">
      <c r="A282" t="s">
        <v>179</v>
      </c>
      <c r="B282">
        <v>3.2355915065722987</v>
      </c>
      <c r="C282" s="1">
        <v>43313</v>
      </c>
      <c r="D282" s="6" t="s">
        <v>332</v>
      </c>
    </row>
    <row r="283" spans="1:4" x14ac:dyDescent="0.25">
      <c r="A283" t="s">
        <v>180</v>
      </c>
      <c r="B283">
        <v>3.6087369420702653</v>
      </c>
      <c r="C283" s="1">
        <v>43313</v>
      </c>
      <c r="D283" s="6" t="s">
        <v>332</v>
      </c>
    </row>
    <row r="284" spans="1:4" x14ac:dyDescent="0.25">
      <c r="A284" t="s">
        <v>181</v>
      </c>
      <c r="B284">
        <v>2.8873917228104014</v>
      </c>
      <c r="C284" s="1">
        <v>43313</v>
      </c>
      <c r="D284" s="6" t="s">
        <v>332</v>
      </c>
    </row>
    <row r="285" spans="1:4" x14ac:dyDescent="0.25">
      <c r="A285" t="s">
        <v>182</v>
      </c>
      <c r="B285">
        <v>1.4563106796116538</v>
      </c>
      <c r="C285" s="1">
        <v>43313</v>
      </c>
      <c r="D285" s="6" t="s">
        <v>332</v>
      </c>
    </row>
    <row r="286" spans="1:4" x14ac:dyDescent="0.25">
      <c r="A286" t="s">
        <v>183</v>
      </c>
      <c r="B286">
        <v>1.3847675568743696</v>
      </c>
      <c r="C286" s="1">
        <v>43313</v>
      </c>
      <c r="D286" s="6" t="s">
        <v>332</v>
      </c>
    </row>
    <row r="287" spans="1:4" x14ac:dyDescent="0.25">
      <c r="A287" t="s">
        <v>184</v>
      </c>
      <c r="B287">
        <v>17.628541448058758</v>
      </c>
      <c r="C287" s="1">
        <v>43313</v>
      </c>
      <c r="D287" s="6" t="s">
        <v>332</v>
      </c>
    </row>
    <row r="288" spans="1:4" x14ac:dyDescent="0.25">
      <c r="A288" t="s">
        <v>185</v>
      </c>
      <c r="B288">
        <v>17.553793884484723</v>
      </c>
      <c r="C288" s="1">
        <v>43313</v>
      </c>
      <c r="D288" s="6" t="s">
        <v>332</v>
      </c>
    </row>
    <row r="289" spans="1:4" x14ac:dyDescent="0.25">
      <c r="A289" t="s">
        <v>186</v>
      </c>
      <c r="B289">
        <v>22.931442080378247</v>
      </c>
      <c r="C289" s="1">
        <v>43313</v>
      </c>
      <c r="D289" s="6" t="s">
        <v>332</v>
      </c>
    </row>
    <row r="290" spans="1:4" x14ac:dyDescent="0.25">
      <c r="A290" t="s">
        <v>187</v>
      </c>
      <c r="B290">
        <v>21.309655937846834</v>
      </c>
      <c r="C290" s="1">
        <v>43313</v>
      </c>
      <c r="D290" s="6" t="s">
        <v>332</v>
      </c>
    </row>
    <row r="291" spans="1:4" x14ac:dyDescent="0.25">
      <c r="A291" t="s">
        <v>188</v>
      </c>
      <c r="B291">
        <v>18.791946308724832</v>
      </c>
      <c r="C291" s="1">
        <v>43313</v>
      </c>
      <c r="D291" s="6" t="s">
        <v>332</v>
      </c>
    </row>
    <row r="292" spans="1:4" x14ac:dyDescent="0.25">
      <c r="A292" t="s">
        <v>189</v>
      </c>
      <c r="B292">
        <v>14.170854271356786</v>
      </c>
      <c r="C292" s="1">
        <v>43313</v>
      </c>
      <c r="D292" s="6" t="s">
        <v>332</v>
      </c>
    </row>
    <row r="293" spans="1:4" x14ac:dyDescent="0.25">
      <c r="A293" t="s">
        <v>190</v>
      </c>
      <c r="B293">
        <v>15.141242937853129</v>
      </c>
      <c r="C293" s="1">
        <v>43313</v>
      </c>
      <c r="D293" s="6" t="s">
        <v>332</v>
      </c>
    </row>
    <row r="294" spans="1:4" x14ac:dyDescent="0.25">
      <c r="A294" t="s">
        <v>191</v>
      </c>
      <c r="B294">
        <v>15.359828141783026</v>
      </c>
      <c r="C294" s="1">
        <v>43313</v>
      </c>
      <c r="D294" s="6" t="s">
        <v>332</v>
      </c>
    </row>
    <row r="295" spans="1:4" x14ac:dyDescent="0.25">
      <c r="A295" t="s">
        <v>192</v>
      </c>
      <c r="B295">
        <v>14.831460674157308</v>
      </c>
      <c r="C295" s="1">
        <v>43313</v>
      </c>
      <c r="D295" s="6" t="s">
        <v>332</v>
      </c>
    </row>
    <row r="296" spans="1:4" x14ac:dyDescent="0.25">
      <c r="A296" t="s">
        <v>193</v>
      </c>
      <c r="B296">
        <v>17.869034406215331</v>
      </c>
      <c r="C296" s="1">
        <v>43313</v>
      </c>
      <c r="D296" s="6" t="s">
        <v>332</v>
      </c>
    </row>
    <row r="297" spans="1:4" x14ac:dyDescent="0.25">
      <c r="A297" t="s">
        <v>194</v>
      </c>
      <c r="B297">
        <v>13.17016317016318</v>
      </c>
      <c r="C297" s="1">
        <v>43313</v>
      </c>
      <c r="D297" s="6" t="s">
        <v>332</v>
      </c>
    </row>
    <row r="298" spans="1:4" x14ac:dyDescent="0.25">
      <c r="A298" t="s">
        <v>195</v>
      </c>
      <c r="B298">
        <v>16.849015317286643</v>
      </c>
      <c r="C298" s="1">
        <v>43313</v>
      </c>
      <c r="D298" s="6" t="s">
        <v>332</v>
      </c>
    </row>
    <row r="299" spans="1:4" x14ac:dyDescent="0.25">
      <c r="A299" t="s">
        <v>196</v>
      </c>
      <c r="B299">
        <v>10.513447432762851</v>
      </c>
      <c r="C299" s="1">
        <v>43314</v>
      </c>
      <c r="D299" s="6" t="s">
        <v>332</v>
      </c>
    </row>
    <row r="300" spans="1:4" x14ac:dyDescent="0.25">
      <c r="A300" t="s">
        <v>197</v>
      </c>
      <c r="B300">
        <v>11.502347417840381</v>
      </c>
      <c r="C300" s="1">
        <v>43314</v>
      </c>
      <c r="D300" s="6" t="s">
        <v>332</v>
      </c>
    </row>
    <row r="301" spans="1:4" x14ac:dyDescent="0.25">
      <c r="A301" t="s">
        <v>198</v>
      </c>
      <c r="B301">
        <v>16.645962732919251</v>
      </c>
      <c r="C301" s="1">
        <v>43314</v>
      </c>
      <c r="D301" s="6" t="s">
        <v>332</v>
      </c>
    </row>
    <row r="302" spans="1:4" x14ac:dyDescent="0.25">
      <c r="A302" t="s">
        <v>199</v>
      </c>
      <c r="B302">
        <v>11.924439197166468</v>
      </c>
      <c r="C302" s="1">
        <v>43314</v>
      </c>
      <c r="D302" s="6" t="s">
        <v>332</v>
      </c>
    </row>
    <row r="303" spans="1:4" x14ac:dyDescent="0.25">
      <c r="A303" t="s">
        <v>200</v>
      </c>
      <c r="B303">
        <v>7.5231481481481541</v>
      </c>
      <c r="C303" s="1">
        <v>43314</v>
      </c>
      <c r="D303" s="6" t="s">
        <v>332</v>
      </c>
    </row>
    <row r="304" spans="1:4" x14ac:dyDescent="0.25">
      <c r="A304" t="s">
        <v>201</v>
      </c>
      <c r="B304">
        <v>11.811023622047232</v>
      </c>
      <c r="C304" s="1">
        <v>43314</v>
      </c>
      <c r="D304" s="6" t="s">
        <v>332</v>
      </c>
    </row>
    <row r="305" spans="1:4" x14ac:dyDescent="0.25">
      <c r="A305" t="s">
        <v>202</v>
      </c>
      <c r="B305">
        <v>8.1466395112016361</v>
      </c>
      <c r="C305" s="1">
        <v>43314</v>
      </c>
      <c r="D305" s="6" t="s">
        <v>332</v>
      </c>
    </row>
    <row r="306" spans="1:4" x14ac:dyDescent="0.25">
      <c r="A306" t="s">
        <v>203</v>
      </c>
      <c r="B306">
        <v>6.5263157894736956</v>
      </c>
      <c r="C306" s="1">
        <v>43314</v>
      </c>
      <c r="D306" s="6" t="s">
        <v>332</v>
      </c>
    </row>
    <row r="307" spans="1:4" x14ac:dyDescent="0.25">
      <c r="A307" t="s">
        <v>204</v>
      </c>
      <c r="B307">
        <v>8.1372549019607838</v>
      </c>
      <c r="C307" s="1">
        <v>43314</v>
      </c>
      <c r="D307" s="6" t="s">
        <v>332</v>
      </c>
    </row>
    <row r="308" spans="1:4" x14ac:dyDescent="0.25">
      <c r="A308" t="s">
        <v>205</v>
      </c>
      <c r="B308">
        <v>9.0707964601769948</v>
      </c>
      <c r="C308" s="1">
        <v>43314</v>
      </c>
      <c r="D308" s="6" t="s">
        <v>332</v>
      </c>
    </row>
    <row r="309" spans="1:4" x14ac:dyDescent="0.25">
      <c r="A309" t="s">
        <v>206</v>
      </c>
      <c r="B309">
        <v>7.3563218390804668</v>
      </c>
      <c r="C309" s="1">
        <v>43314</v>
      </c>
      <c r="D309" s="6" t="s">
        <v>332</v>
      </c>
    </row>
    <row r="310" spans="1:4" x14ac:dyDescent="0.25">
      <c r="A310" t="s">
        <v>207</v>
      </c>
      <c r="B310">
        <v>7.125890736342039</v>
      </c>
      <c r="C310" s="1">
        <v>43314</v>
      </c>
      <c r="D310" s="6" t="s">
        <v>332</v>
      </c>
    </row>
    <row r="311" spans="1:4" x14ac:dyDescent="0.25">
      <c r="A311" t="s">
        <v>208</v>
      </c>
      <c r="B311">
        <v>0.95238095238095077</v>
      </c>
      <c r="C311" s="1">
        <v>43315</v>
      </c>
      <c r="D311" s="6" t="s">
        <v>332</v>
      </c>
    </row>
    <row r="312" spans="1:4" x14ac:dyDescent="0.25">
      <c r="A312" t="s">
        <v>209</v>
      </c>
      <c r="B312">
        <v>1.0834236186348825</v>
      </c>
      <c r="C312" s="1">
        <v>43315</v>
      </c>
      <c r="D312" s="6" t="s">
        <v>332</v>
      </c>
    </row>
    <row r="313" spans="1:4" x14ac:dyDescent="0.25">
      <c r="A313" t="s">
        <v>210</v>
      </c>
      <c r="B313">
        <v>0.78125000000000311</v>
      </c>
      <c r="C313" s="1">
        <v>43315</v>
      </c>
      <c r="D313" s="6" t="s">
        <v>332</v>
      </c>
    </row>
    <row r="314" spans="1:4" x14ac:dyDescent="0.25">
      <c r="A314" t="s">
        <v>211</v>
      </c>
      <c r="B314">
        <v>1.0266940451745343</v>
      </c>
      <c r="C314" s="1">
        <v>43315</v>
      </c>
      <c r="D314" s="6" t="s">
        <v>332</v>
      </c>
    </row>
    <row r="315" spans="1:4" x14ac:dyDescent="0.25">
      <c r="A315" t="s">
        <v>212</v>
      </c>
      <c r="B315">
        <v>1.2036108324974846</v>
      </c>
      <c r="C315" s="1">
        <v>43315</v>
      </c>
      <c r="D315" s="6" t="s">
        <v>332</v>
      </c>
    </row>
    <row r="316" spans="1:4" x14ac:dyDescent="0.25">
      <c r="A316" t="s">
        <v>262</v>
      </c>
      <c r="B316">
        <v>3.7037037037037188</v>
      </c>
      <c r="C316" s="1">
        <v>43315</v>
      </c>
      <c r="D316" s="6" t="s">
        <v>332</v>
      </c>
    </row>
    <row r="317" spans="1:4" x14ac:dyDescent="0.25">
      <c r="A317" t="s">
        <v>213</v>
      </c>
      <c r="B317">
        <v>3.5267349260523178</v>
      </c>
      <c r="C317" s="1">
        <v>43315</v>
      </c>
      <c r="D317" s="6" t="s">
        <v>332</v>
      </c>
    </row>
    <row r="318" spans="1:4" x14ac:dyDescent="0.25">
      <c r="A318" t="s">
        <v>214</v>
      </c>
      <c r="B318">
        <v>1.5991471215351847</v>
      </c>
      <c r="C318" s="1">
        <v>43315</v>
      </c>
      <c r="D318" s="6" t="s">
        <v>332</v>
      </c>
    </row>
    <row r="319" spans="1:4" x14ac:dyDescent="0.25">
      <c r="A319" t="s">
        <v>215</v>
      </c>
      <c r="B319">
        <v>0.96061479346783307</v>
      </c>
      <c r="C319" s="1">
        <v>43315</v>
      </c>
      <c r="D319" s="6" t="s">
        <v>332</v>
      </c>
    </row>
    <row r="320" spans="1:4" x14ac:dyDescent="0.25">
      <c r="A320" t="s">
        <v>216</v>
      </c>
      <c r="B320">
        <v>1.9019019019018968</v>
      </c>
      <c r="C320" s="1">
        <v>43315</v>
      </c>
      <c r="D320" s="6" t="s">
        <v>332</v>
      </c>
    </row>
    <row r="321" spans="1:4" x14ac:dyDescent="0.25">
      <c r="A321" t="s">
        <v>217</v>
      </c>
      <c r="B321">
        <v>2.5812619502868026</v>
      </c>
      <c r="C321" s="1">
        <v>43315</v>
      </c>
      <c r="D321" s="6" t="s">
        <v>332</v>
      </c>
    </row>
    <row r="322" spans="1:4" x14ac:dyDescent="0.25">
      <c r="A322" t="s">
        <v>263</v>
      </c>
      <c r="B322">
        <v>1.0090817356205817</v>
      </c>
      <c r="C322" s="1">
        <v>43315</v>
      </c>
      <c r="D322" s="6" t="s">
        <v>332</v>
      </c>
    </row>
    <row r="323" spans="1:4" x14ac:dyDescent="0.25">
      <c r="A323" t="s">
        <v>218</v>
      </c>
      <c r="B323">
        <v>2.6795284030010711</v>
      </c>
      <c r="C323" s="1">
        <v>43318</v>
      </c>
      <c r="D323" s="6" t="s">
        <v>332</v>
      </c>
    </row>
    <row r="324" spans="1:4" x14ac:dyDescent="0.25">
      <c r="A324" t="s">
        <v>219</v>
      </c>
      <c r="B324">
        <v>2.8723404255319105</v>
      </c>
      <c r="C324" s="1">
        <v>43318</v>
      </c>
      <c r="D324" s="6" t="s">
        <v>332</v>
      </c>
    </row>
    <row r="325" spans="1:4" x14ac:dyDescent="0.25">
      <c r="A325" t="s">
        <v>220</v>
      </c>
      <c r="B325">
        <v>3.1512605042016881</v>
      </c>
      <c r="C325" s="1">
        <v>43318</v>
      </c>
      <c r="D325" s="6" t="s">
        <v>332</v>
      </c>
    </row>
    <row r="326" spans="1:4" x14ac:dyDescent="0.25">
      <c r="A326" t="s">
        <v>221</v>
      </c>
      <c r="B326">
        <v>2.8197381671701849</v>
      </c>
      <c r="C326" s="1">
        <v>43318</v>
      </c>
      <c r="D326" s="6" t="s">
        <v>332</v>
      </c>
    </row>
    <row r="327" spans="1:4" x14ac:dyDescent="0.25">
      <c r="A327" t="s">
        <v>222</v>
      </c>
      <c r="B327">
        <v>1.5625000000000038</v>
      </c>
      <c r="C327" s="1">
        <v>43318</v>
      </c>
      <c r="D327" s="6" t="s">
        <v>332</v>
      </c>
    </row>
    <row r="328" spans="1:4" x14ac:dyDescent="0.25">
      <c r="A328" t="s">
        <v>223</v>
      </c>
      <c r="B328">
        <v>1.7112299465240657</v>
      </c>
      <c r="C328" s="1">
        <v>43318</v>
      </c>
      <c r="D328" s="6" t="s">
        <v>332</v>
      </c>
    </row>
    <row r="329" spans="1:4" x14ac:dyDescent="0.25">
      <c r="A329" t="s">
        <v>224</v>
      </c>
      <c r="B329">
        <v>1.5274949083503091</v>
      </c>
      <c r="C329" s="1">
        <v>43318</v>
      </c>
      <c r="D329" s="6" t="s">
        <v>332</v>
      </c>
    </row>
    <row r="330" spans="1:4" x14ac:dyDescent="0.25">
      <c r="A330" t="s">
        <v>225</v>
      </c>
      <c r="B330">
        <v>1.8255578093306259</v>
      </c>
      <c r="C330" s="1">
        <v>43318</v>
      </c>
      <c r="D330" s="6" t="s">
        <v>332</v>
      </c>
    </row>
    <row r="331" spans="1:4" x14ac:dyDescent="0.25">
      <c r="A331" t="s">
        <v>226</v>
      </c>
      <c r="B331">
        <v>2.5641025641025665</v>
      </c>
      <c r="C331" s="1">
        <v>43318</v>
      </c>
      <c r="D331" s="6" t="s">
        <v>332</v>
      </c>
    </row>
    <row r="332" spans="1:4" x14ac:dyDescent="0.25">
      <c r="A332" t="s">
        <v>227</v>
      </c>
      <c r="B332">
        <v>2.8140703517587871</v>
      </c>
      <c r="C332" s="1">
        <v>43318</v>
      </c>
      <c r="D332" s="6" t="s">
        <v>332</v>
      </c>
    </row>
    <row r="333" spans="1:4" x14ac:dyDescent="0.25">
      <c r="A333" t="s">
        <v>228</v>
      </c>
      <c r="B333">
        <v>2.6490066225165498</v>
      </c>
      <c r="C333" s="1">
        <v>43318</v>
      </c>
      <c r="D333" s="6" t="s">
        <v>332</v>
      </c>
    </row>
    <row r="334" spans="1:4" x14ac:dyDescent="0.25">
      <c r="A334" t="s">
        <v>229</v>
      </c>
      <c r="B334">
        <v>2.7149321266968349</v>
      </c>
      <c r="C334" s="1">
        <v>43318</v>
      </c>
      <c r="D334" s="6" t="s">
        <v>332</v>
      </c>
    </row>
    <row r="335" spans="1:4" x14ac:dyDescent="0.25">
      <c r="A335" t="s">
        <v>230</v>
      </c>
      <c r="B335">
        <v>4.3274853801169701</v>
      </c>
      <c r="C335" s="1">
        <v>43319</v>
      </c>
      <c r="D335" s="6" t="s">
        <v>332</v>
      </c>
    </row>
    <row r="336" spans="1:4" x14ac:dyDescent="0.25">
      <c r="A336" t="s">
        <v>231</v>
      </c>
      <c r="B336">
        <v>5.07900677200902</v>
      </c>
      <c r="C336" s="1">
        <v>43319</v>
      </c>
      <c r="D336" s="6" t="s">
        <v>332</v>
      </c>
    </row>
    <row r="337" spans="1:4" x14ac:dyDescent="0.25">
      <c r="A337" t="s">
        <v>232</v>
      </c>
      <c r="B337">
        <v>7.674943566591419</v>
      </c>
      <c r="C337" s="1">
        <v>43319</v>
      </c>
      <c r="D337" s="6" t="s">
        <v>332</v>
      </c>
    </row>
    <row r="338" spans="1:4" x14ac:dyDescent="0.25">
      <c r="A338" t="s">
        <v>233</v>
      </c>
      <c r="B338">
        <v>6.126914660831515</v>
      </c>
      <c r="C338" s="1">
        <v>43319</v>
      </c>
      <c r="D338" s="6" t="s">
        <v>332</v>
      </c>
    </row>
    <row r="339" spans="1:4" x14ac:dyDescent="0.25">
      <c r="A339" t="s">
        <v>234</v>
      </c>
      <c r="B339">
        <v>9.6269554753309361</v>
      </c>
      <c r="C339" s="1">
        <v>43319</v>
      </c>
      <c r="D339" s="6" t="s">
        <v>332</v>
      </c>
    </row>
    <row r="340" spans="1:4" x14ac:dyDescent="0.25">
      <c r="A340" t="s">
        <v>235</v>
      </c>
      <c r="B340">
        <v>7.9702444208289052</v>
      </c>
      <c r="C340" s="1">
        <v>43319</v>
      </c>
      <c r="D340" s="6" t="s">
        <v>332</v>
      </c>
    </row>
    <row r="341" spans="1:4" x14ac:dyDescent="0.25">
      <c r="A341" t="s">
        <v>236</v>
      </c>
      <c r="B341">
        <v>13.432835820895525</v>
      </c>
      <c r="C341" s="1">
        <v>43319</v>
      </c>
      <c r="D341" s="6" t="s">
        <v>332</v>
      </c>
    </row>
    <row r="342" spans="1:4" x14ac:dyDescent="0.25">
      <c r="A342" t="s">
        <v>237</v>
      </c>
      <c r="B342">
        <v>10.478359908883824</v>
      </c>
      <c r="C342" s="1">
        <v>43319</v>
      </c>
      <c r="D342" s="6" t="s">
        <v>332</v>
      </c>
    </row>
    <row r="343" spans="1:4" x14ac:dyDescent="0.25">
      <c r="A343" t="s">
        <v>238</v>
      </c>
      <c r="B343">
        <v>10.840438489646756</v>
      </c>
      <c r="C343" s="1">
        <v>43319</v>
      </c>
      <c r="D343" s="6" t="s">
        <v>332</v>
      </c>
    </row>
    <row r="344" spans="1:4" x14ac:dyDescent="0.25">
      <c r="A344" t="s">
        <v>239</v>
      </c>
      <c r="B344">
        <v>10.962241169305731</v>
      </c>
      <c r="C344" s="1">
        <v>43319</v>
      </c>
      <c r="D344" s="6" t="s">
        <v>332</v>
      </c>
    </row>
    <row r="345" spans="1:4" x14ac:dyDescent="0.25">
      <c r="A345" t="s">
        <v>240</v>
      </c>
      <c r="B345">
        <v>6.7538126361655699</v>
      </c>
      <c r="C345" s="1">
        <v>43319</v>
      </c>
      <c r="D345" s="6" t="s">
        <v>332</v>
      </c>
    </row>
    <row r="346" spans="1:4" x14ac:dyDescent="0.25">
      <c r="A346" t="s">
        <v>241</v>
      </c>
      <c r="B346">
        <v>12.768361581920914</v>
      </c>
      <c r="C346" s="1">
        <v>43319</v>
      </c>
      <c r="D346" s="6" t="s">
        <v>332</v>
      </c>
    </row>
    <row r="347" spans="1:4" x14ac:dyDescent="0.25">
      <c r="A347" t="s">
        <v>264</v>
      </c>
      <c r="B347">
        <v>18.374558303886932</v>
      </c>
      <c r="C347" s="1">
        <v>43319</v>
      </c>
      <c r="D347" s="6" t="s">
        <v>332</v>
      </c>
    </row>
    <row r="348" spans="1:4" x14ac:dyDescent="0.25">
      <c r="A348" t="s">
        <v>242</v>
      </c>
      <c r="B348">
        <v>14.071510957324094</v>
      </c>
      <c r="C348" s="1">
        <v>43319</v>
      </c>
      <c r="D348" s="6" t="s">
        <v>332</v>
      </c>
    </row>
    <row r="349" spans="1:4" x14ac:dyDescent="0.25">
      <c r="A349" t="s">
        <v>243</v>
      </c>
      <c r="B349">
        <v>17.070063694267514</v>
      </c>
      <c r="C349" s="1">
        <v>43319</v>
      </c>
      <c r="D349" s="6" t="s">
        <v>332</v>
      </c>
    </row>
    <row r="350" spans="1:4" x14ac:dyDescent="0.25">
      <c r="A350" t="s">
        <v>244</v>
      </c>
      <c r="B350">
        <v>14.800514800514804</v>
      </c>
      <c r="C350" s="1">
        <v>43319</v>
      </c>
      <c r="D350" s="6" t="s">
        <v>332</v>
      </c>
    </row>
    <row r="351" spans="1:4" x14ac:dyDescent="0.25">
      <c r="A351" t="s">
        <v>245</v>
      </c>
      <c r="B351">
        <v>11.123723041997737</v>
      </c>
      <c r="C351" s="1">
        <v>43319</v>
      </c>
      <c r="D351" s="6" t="s">
        <v>332</v>
      </c>
    </row>
    <row r="352" spans="1:4" x14ac:dyDescent="0.25">
      <c r="A352" t="s">
        <v>246</v>
      </c>
      <c r="B352">
        <v>6.7759562841530174</v>
      </c>
      <c r="C352" s="1">
        <v>43319</v>
      </c>
      <c r="D352" s="6" t="s">
        <v>332</v>
      </c>
    </row>
    <row r="353" spans="1:4" x14ac:dyDescent="0.25">
      <c r="A353" t="s">
        <v>247</v>
      </c>
      <c r="B353">
        <v>5.821205821205826</v>
      </c>
      <c r="C353" s="1">
        <v>43319</v>
      </c>
      <c r="D353" s="6" t="s">
        <v>332</v>
      </c>
    </row>
    <row r="354" spans="1:4" x14ac:dyDescent="0.25">
      <c r="A354" t="s">
        <v>248</v>
      </c>
      <c r="B354">
        <v>12.405609492988139</v>
      </c>
      <c r="C354" s="1">
        <v>43319</v>
      </c>
      <c r="D354" s="6" t="s">
        <v>332</v>
      </c>
    </row>
    <row r="355" spans="1:4" x14ac:dyDescent="0.25">
      <c r="A355" t="s">
        <v>249</v>
      </c>
      <c r="B355">
        <v>11.160220994475138</v>
      </c>
      <c r="C355" s="1">
        <v>43319</v>
      </c>
      <c r="D355" s="6" t="s">
        <v>332</v>
      </c>
    </row>
    <row r="356" spans="1:4" x14ac:dyDescent="0.25">
      <c r="A356" t="s">
        <v>265</v>
      </c>
      <c r="B356">
        <v>10.893246187363834</v>
      </c>
      <c r="C356" s="1">
        <v>43319</v>
      </c>
      <c r="D356" s="6" t="s">
        <v>332</v>
      </c>
    </row>
    <row r="357" spans="1:4" x14ac:dyDescent="0.25">
      <c r="A357" t="s">
        <v>266</v>
      </c>
      <c r="B357">
        <v>11.200923787528875</v>
      </c>
      <c r="C357" s="1">
        <v>43319</v>
      </c>
      <c r="D357" s="6" t="s">
        <v>332</v>
      </c>
    </row>
    <row r="358" spans="1:4" x14ac:dyDescent="0.25">
      <c r="A358" t="s">
        <v>267</v>
      </c>
      <c r="B358">
        <v>8.5180863477246049</v>
      </c>
      <c r="C358" s="1">
        <v>43319</v>
      </c>
      <c r="D358" s="6" t="s">
        <v>332</v>
      </c>
    </row>
    <row r="359" spans="1:4" x14ac:dyDescent="0.25">
      <c r="A359" t="s">
        <v>250</v>
      </c>
      <c r="B359">
        <v>3.8423645320196922</v>
      </c>
      <c r="C359" s="1">
        <v>43320</v>
      </c>
      <c r="D359" s="6" t="s">
        <v>332</v>
      </c>
    </row>
    <row r="360" spans="1:4" x14ac:dyDescent="0.25">
      <c r="A360" t="s">
        <v>251</v>
      </c>
      <c r="B360">
        <v>3.8085937500000062</v>
      </c>
      <c r="C360" s="1">
        <v>43320</v>
      </c>
      <c r="D360" s="6" t="s">
        <v>332</v>
      </c>
    </row>
    <row r="361" spans="1:4" x14ac:dyDescent="0.25">
      <c r="A361" t="s">
        <v>252</v>
      </c>
      <c r="B361">
        <v>4.5192307692307763</v>
      </c>
      <c r="C361" s="1">
        <v>43320</v>
      </c>
      <c r="D361" s="6" t="s">
        <v>332</v>
      </c>
    </row>
    <row r="362" spans="1:4" x14ac:dyDescent="0.25">
      <c r="A362" t="s">
        <v>253</v>
      </c>
      <c r="B362">
        <v>3.9922103213242464</v>
      </c>
      <c r="C362" s="1">
        <v>43320</v>
      </c>
      <c r="D362" s="6" t="s">
        <v>332</v>
      </c>
    </row>
    <row r="363" spans="1:4" x14ac:dyDescent="0.25">
      <c r="A363" t="s">
        <v>254</v>
      </c>
      <c r="B363">
        <v>9.5189355168884315</v>
      </c>
      <c r="C363" s="1">
        <v>43320</v>
      </c>
      <c r="D363" s="6" t="s">
        <v>332</v>
      </c>
    </row>
    <row r="364" spans="1:4" x14ac:dyDescent="0.25">
      <c r="A364" t="s">
        <v>255</v>
      </c>
      <c r="B364">
        <v>7.4338085539714731</v>
      </c>
      <c r="C364" s="1">
        <v>43320</v>
      </c>
      <c r="D364" s="6" t="s">
        <v>332</v>
      </c>
    </row>
    <row r="365" spans="1:4" x14ac:dyDescent="0.25">
      <c r="A365" t="s">
        <v>256</v>
      </c>
      <c r="B365">
        <v>6.9138276553106159</v>
      </c>
      <c r="C365" s="1">
        <v>43320</v>
      </c>
      <c r="D365" s="6" t="s">
        <v>332</v>
      </c>
    </row>
    <row r="366" spans="1:4" x14ac:dyDescent="0.25">
      <c r="A366" t="s">
        <v>257</v>
      </c>
      <c r="B366">
        <v>8.2744702320887829</v>
      </c>
      <c r="C366" s="1">
        <v>43320</v>
      </c>
      <c r="D366" s="6" t="s">
        <v>332</v>
      </c>
    </row>
    <row r="367" spans="1:4" x14ac:dyDescent="0.25">
      <c r="A367" t="s">
        <v>258</v>
      </c>
      <c r="B367">
        <v>2.4201355275895451</v>
      </c>
      <c r="C367" s="1">
        <v>43320</v>
      </c>
      <c r="D367" s="6" t="s">
        <v>332</v>
      </c>
    </row>
    <row r="368" spans="1:4" x14ac:dyDescent="0.25">
      <c r="A368" t="s">
        <v>259</v>
      </c>
      <c r="B368">
        <v>1.3059701492537368</v>
      </c>
      <c r="C368" s="1">
        <v>43320</v>
      </c>
      <c r="D368" s="6" t="s">
        <v>332</v>
      </c>
    </row>
    <row r="369" spans="1:4" x14ac:dyDescent="0.25">
      <c r="A369" t="s">
        <v>260</v>
      </c>
      <c r="B369">
        <v>1.8164435946462665</v>
      </c>
      <c r="C369" s="1">
        <v>43320</v>
      </c>
      <c r="D369" s="6" t="s">
        <v>332</v>
      </c>
    </row>
    <row r="370" spans="1:4" x14ac:dyDescent="0.25">
      <c r="A370" t="s">
        <v>261</v>
      </c>
      <c r="B370">
        <v>2.8846153846153917</v>
      </c>
      <c r="C370" s="1">
        <v>43320</v>
      </c>
      <c r="D370" s="6" t="s">
        <v>332</v>
      </c>
    </row>
    <row r="371" spans="1:4" x14ac:dyDescent="0.25">
      <c r="A371" t="s">
        <v>135</v>
      </c>
      <c r="B371">
        <v>4.2194092827004264</v>
      </c>
      <c r="C371" s="1">
        <v>43364</v>
      </c>
      <c r="D371" s="6" t="s">
        <v>349</v>
      </c>
    </row>
    <row r="372" spans="1:4" x14ac:dyDescent="0.25">
      <c r="A372" t="s">
        <v>136</v>
      </c>
      <c r="B372">
        <v>5.9893048128342299</v>
      </c>
      <c r="C372" s="1">
        <v>43364</v>
      </c>
      <c r="D372" s="6" t="s">
        <v>349</v>
      </c>
    </row>
    <row r="373" spans="1:4" x14ac:dyDescent="0.25">
      <c r="A373" t="s">
        <v>137</v>
      </c>
      <c r="B373">
        <v>7.0891514500537074</v>
      </c>
      <c r="C373" s="1">
        <v>43364</v>
      </c>
      <c r="D373" s="6" t="s">
        <v>349</v>
      </c>
    </row>
    <row r="374" spans="1:4" x14ac:dyDescent="0.25">
      <c r="A374" t="s">
        <v>138</v>
      </c>
      <c r="B374">
        <v>6.9518716577540145</v>
      </c>
      <c r="C374" s="1">
        <v>43364</v>
      </c>
      <c r="D374" s="6" t="s">
        <v>349</v>
      </c>
    </row>
    <row r="375" spans="1:4" x14ac:dyDescent="0.25">
      <c r="A375" t="s">
        <v>139</v>
      </c>
      <c r="B375">
        <v>9.2901878914405067</v>
      </c>
      <c r="C375" s="1">
        <v>43364</v>
      </c>
      <c r="D375" s="6" t="s">
        <v>349</v>
      </c>
    </row>
    <row r="376" spans="1:4" x14ac:dyDescent="0.25">
      <c r="A376" t="s">
        <v>140</v>
      </c>
      <c r="B376">
        <v>7.9655543595263749</v>
      </c>
      <c r="C376" s="1">
        <v>43364</v>
      </c>
      <c r="D376" s="6" t="s">
        <v>349</v>
      </c>
    </row>
    <row r="377" spans="1:4" x14ac:dyDescent="0.25">
      <c r="A377" t="s">
        <v>141</v>
      </c>
      <c r="B377">
        <v>9.5860566448801645</v>
      </c>
      <c r="C377" s="1">
        <v>43364</v>
      </c>
      <c r="D377" s="6" t="s">
        <v>349</v>
      </c>
    </row>
    <row r="378" spans="1:4" x14ac:dyDescent="0.25">
      <c r="A378" t="s">
        <v>142</v>
      </c>
      <c r="B378">
        <v>7.1120689655172429</v>
      </c>
      <c r="C378" s="1">
        <v>43364</v>
      </c>
      <c r="D378" s="6" t="s">
        <v>349</v>
      </c>
    </row>
    <row r="379" spans="1:4" x14ac:dyDescent="0.25">
      <c r="A379" t="s">
        <v>143</v>
      </c>
      <c r="B379">
        <v>10.107526881720425</v>
      </c>
      <c r="C379" s="1">
        <v>43364</v>
      </c>
      <c r="D379" s="6" t="s">
        <v>349</v>
      </c>
    </row>
    <row r="380" spans="1:4" x14ac:dyDescent="0.25">
      <c r="A380" t="s">
        <v>144</v>
      </c>
      <c r="B380">
        <v>8.0628272251309063</v>
      </c>
      <c r="C380" s="1">
        <v>43364</v>
      </c>
      <c r="D380" s="6" t="s">
        <v>349</v>
      </c>
    </row>
    <row r="381" spans="1:4" x14ac:dyDescent="0.25">
      <c r="A381" t="s">
        <v>145</v>
      </c>
      <c r="B381">
        <v>10.612691466083158</v>
      </c>
      <c r="C381" s="1">
        <v>43364</v>
      </c>
      <c r="D381" s="6" t="s">
        <v>349</v>
      </c>
    </row>
    <row r="382" spans="1:4" x14ac:dyDescent="0.25">
      <c r="A382" t="s">
        <v>146</v>
      </c>
      <c r="B382">
        <v>10.986547085201799</v>
      </c>
      <c r="C382" s="1">
        <v>43364</v>
      </c>
      <c r="D382" s="6" t="s">
        <v>349</v>
      </c>
    </row>
    <row r="383" spans="1:4" x14ac:dyDescent="0.25">
      <c r="A383" t="s">
        <v>147</v>
      </c>
      <c r="B383">
        <v>8.7982832618025792</v>
      </c>
      <c r="C383" s="1">
        <v>43364</v>
      </c>
      <c r="D383" s="6" t="s">
        <v>349</v>
      </c>
    </row>
    <row r="384" spans="1:4" x14ac:dyDescent="0.25">
      <c r="A384" t="s">
        <v>148</v>
      </c>
      <c r="B384">
        <v>9.0401785714285552</v>
      </c>
      <c r="C384" s="1">
        <v>43364</v>
      </c>
      <c r="D384" s="6" t="s">
        <v>349</v>
      </c>
    </row>
    <row r="385" spans="1:4" x14ac:dyDescent="0.25">
      <c r="A385" t="s">
        <v>149</v>
      </c>
      <c r="B385">
        <v>10.121012101210122</v>
      </c>
      <c r="C385" s="1">
        <v>43364</v>
      </c>
      <c r="D385" s="6" t="s">
        <v>349</v>
      </c>
    </row>
    <row r="386" spans="1:4" x14ac:dyDescent="0.25">
      <c r="A386" t="s">
        <v>150</v>
      </c>
      <c r="B386">
        <v>12.43001119820828</v>
      </c>
      <c r="C386" s="1">
        <v>43364</v>
      </c>
      <c r="D386" s="6" t="s">
        <v>349</v>
      </c>
    </row>
    <row r="387" spans="1:4" x14ac:dyDescent="0.25">
      <c r="A387" t="s">
        <v>151</v>
      </c>
      <c r="B387">
        <v>7.5313807531380821</v>
      </c>
      <c r="C387" s="1">
        <v>43364</v>
      </c>
      <c r="D387" s="6" t="s">
        <v>349</v>
      </c>
    </row>
    <row r="388" spans="1:4" x14ac:dyDescent="0.25">
      <c r="A388" t="s">
        <v>152</v>
      </c>
      <c r="B388">
        <v>8.3780880773362121</v>
      </c>
      <c r="C388" s="1">
        <v>43364</v>
      </c>
      <c r="D388" s="6" t="s">
        <v>349</v>
      </c>
    </row>
    <row r="389" spans="1:4" x14ac:dyDescent="0.25">
      <c r="A389" t="s">
        <v>153</v>
      </c>
      <c r="B389">
        <v>7.4561403508771908</v>
      </c>
      <c r="C389" s="1">
        <v>43364</v>
      </c>
      <c r="D389" s="6" t="s">
        <v>349</v>
      </c>
    </row>
    <row r="390" spans="1:4" x14ac:dyDescent="0.25">
      <c r="A390" t="s">
        <v>154</v>
      </c>
      <c r="B390">
        <v>7.8158458244111397</v>
      </c>
      <c r="C390" s="1">
        <v>43364</v>
      </c>
      <c r="D390" s="6" t="s">
        <v>349</v>
      </c>
    </row>
    <row r="391" spans="1:4" x14ac:dyDescent="0.25">
      <c r="A391" t="s">
        <v>155</v>
      </c>
      <c r="B391">
        <v>13.882618510158018</v>
      </c>
      <c r="C391" s="1">
        <v>43364</v>
      </c>
      <c r="D391" s="6" t="s">
        <v>349</v>
      </c>
    </row>
    <row r="392" spans="1:4" x14ac:dyDescent="0.25">
      <c r="A392" t="s">
        <v>156</v>
      </c>
      <c r="B392">
        <v>15.754923413566754</v>
      </c>
      <c r="C392" s="1">
        <v>43364</v>
      </c>
      <c r="D392" s="6" t="s">
        <v>349</v>
      </c>
    </row>
    <row r="393" spans="1:4" x14ac:dyDescent="0.25">
      <c r="A393" t="s">
        <v>157</v>
      </c>
      <c r="B393">
        <v>17.081850533807824</v>
      </c>
      <c r="C393" s="1">
        <v>43364</v>
      </c>
      <c r="D393" s="6" t="s">
        <v>349</v>
      </c>
    </row>
    <row r="394" spans="1:4" x14ac:dyDescent="0.25">
      <c r="A394" t="s">
        <v>158</v>
      </c>
      <c r="B394">
        <v>18.52300242130752</v>
      </c>
      <c r="C394" s="1">
        <v>43364</v>
      </c>
      <c r="D394" s="6" t="s">
        <v>349</v>
      </c>
    </row>
    <row r="395" spans="1:4" x14ac:dyDescent="0.25">
      <c r="A395" t="s">
        <v>230</v>
      </c>
      <c r="B395">
        <v>12.780269058295971</v>
      </c>
      <c r="C395" s="1">
        <v>43369</v>
      </c>
      <c r="D395" s="6" t="s">
        <v>349</v>
      </c>
    </row>
    <row r="396" spans="1:4" x14ac:dyDescent="0.25">
      <c r="A396" t="s">
        <v>231</v>
      </c>
      <c r="B396">
        <v>7.1654373024236024</v>
      </c>
      <c r="C396" s="1">
        <v>43369</v>
      </c>
      <c r="D396" s="6" t="s">
        <v>349</v>
      </c>
    </row>
    <row r="397" spans="1:4" x14ac:dyDescent="0.25">
      <c r="A397" t="s">
        <v>232</v>
      </c>
      <c r="B397">
        <v>-0.77737829171120465</v>
      </c>
      <c r="C397" s="1">
        <v>43369</v>
      </c>
      <c r="D397" s="6" t="s">
        <v>349</v>
      </c>
    </row>
    <row r="398" spans="1:4" x14ac:dyDescent="0.25">
      <c r="A398" t="s">
        <v>233</v>
      </c>
      <c r="B398">
        <v>10.315789473684196</v>
      </c>
      <c r="C398" s="1">
        <v>43369</v>
      </c>
      <c r="D398" s="6" t="s">
        <v>349</v>
      </c>
    </row>
    <row r="399" spans="1:4" x14ac:dyDescent="0.25">
      <c r="A399" t="s">
        <v>234</v>
      </c>
      <c r="B399">
        <v>16.422947131608538</v>
      </c>
      <c r="C399" s="1">
        <v>43369</v>
      </c>
      <c r="D399" s="6" t="s">
        <v>349</v>
      </c>
    </row>
    <row r="400" spans="1:4" x14ac:dyDescent="0.25">
      <c r="A400" t="s">
        <v>235</v>
      </c>
      <c r="B400">
        <v>14.631463146314633</v>
      </c>
      <c r="C400" s="1">
        <v>43369</v>
      </c>
      <c r="D400" s="6" t="s">
        <v>349</v>
      </c>
    </row>
    <row r="401" spans="1:4" x14ac:dyDescent="0.25">
      <c r="A401" t="s">
        <v>236</v>
      </c>
      <c r="B401">
        <v>12.36673773987207</v>
      </c>
      <c r="C401" s="1">
        <v>43369</v>
      </c>
      <c r="D401" s="6" t="s">
        <v>349</v>
      </c>
    </row>
    <row r="402" spans="1:4" x14ac:dyDescent="0.25">
      <c r="A402" t="s">
        <v>237</v>
      </c>
      <c r="B402">
        <v>13.038674033149189</v>
      </c>
      <c r="C402" s="1">
        <v>43369</v>
      </c>
      <c r="D402" s="6" t="s">
        <v>349</v>
      </c>
    </row>
    <row r="403" spans="1:4" x14ac:dyDescent="0.25">
      <c r="A403" t="s">
        <v>238</v>
      </c>
      <c r="B403">
        <v>10.229645093945724</v>
      </c>
      <c r="C403" s="1">
        <v>43369</v>
      </c>
      <c r="D403" s="6" t="s">
        <v>349</v>
      </c>
    </row>
    <row r="404" spans="1:4" x14ac:dyDescent="0.25">
      <c r="A404" t="s">
        <v>239</v>
      </c>
      <c r="B404">
        <v>13.355780022446684</v>
      </c>
      <c r="C404" s="1">
        <v>43369</v>
      </c>
      <c r="D404" s="6" t="s">
        <v>349</v>
      </c>
    </row>
    <row r="405" spans="1:4" x14ac:dyDescent="0.25">
      <c r="A405" t="s">
        <v>240</v>
      </c>
      <c r="B405">
        <v>14.573991031390143</v>
      </c>
      <c r="C405" s="1">
        <v>43369</v>
      </c>
      <c r="D405" s="6" t="s">
        <v>349</v>
      </c>
    </row>
    <row r="406" spans="1:4" x14ac:dyDescent="0.25">
      <c r="A406" t="s">
        <v>241</v>
      </c>
      <c r="B406">
        <v>10.105263157894727</v>
      </c>
      <c r="C406" s="1">
        <v>43369</v>
      </c>
      <c r="D406" s="6" t="s">
        <v>349</v>
      </c>
    </row>
    <row r="407" spans="1:4" x14ac:dyDescent="0.25">
      <c r="A407" t="s">
        <v>264</v>
      </c>
      <c r="B407">
        <v>10.807860262008735</v>
      </c>
      <c r="C407" s="1">
        <v>43369</v>
      </c>
      <c r="D407" s="6" t="s">
        <v>349</v>
      </c>
    </row>
    <row r="408" spans="1:4" x14ac:dyDescent="0.25">
      <c r="A408" t="s">
        <v>242</v>
      </c>
      <c r="B408">
        <v>11.440677966101696</v>
      </c>
      <c r="C408" s="1">
        <v>43369</v>
      </c>
      <c r="D408" s="6" t="s">
        <v>349</v>
      </c>
    </row>
    <row r="409" spans="1:4" x14ac:dyDescent="0.25">
      <c r="A409" t="s">
        <v>243</v>
      </c>
      <c r="B409">
        <v>8.9813800657174188</v>
      </c>
      <c r="C409" s="1">
        <v>43369</v>
      </c>
      <c r="D409" s="6" t="s">
        <v>349</v>
      </c>
    </row>
    <row r="410" spans="1:4" x14ac:dyDescent="0.25">
      <c r="A410" t="s">
        <v>244</v>
      </c>
      <c r="B410">
        <v>8.1359423274974354</v>
      </c>
      <c r="C410" s="1">
        <v>43369</v>
      </c>
      <c r="D410" s="6" t="s">
        <v>349</v>
      </c>
    </row>
    <row r="411" spans="1:4" x14ac:dyDescent="0.25">
      <c r="A411" t="s">
        <v>245</v>
      </c>
      <c r="B411">
        <v>13.2286995515695</v>
      </c>
      <c r="C411" s="1">
        <v>43369</v>
      </c>
      <c r="D411" s="6" t="s">
        <v>349</v>
      </c>
    </row>
    <row r="412" spans="1:4" x14ac:dyDescent="0.25">
      <c r="A412" t="s">
        <v>246</v>
      </c>
      <c r="B412">
        <v>11.446409989594169</v>
      </c>
      <c r="C412" s="1">
        <v>43369</v>
      </c>
      <c r="D412" s="6" t="s">
        <v>349</v>
      </c>
    </row>
    <row r="413" spans="1:4" x14ac:dyDescent="0.25">
      <c r="A413" t="s">
        <v>247</v>
      </c>
      <c r="B413">
        <v>13.581599123767802</v>
      </c>
      <c r="C413" s="1">
        <v>43369</v>
      </c>
      <c r="D413" s="6" t="s">
        <v>349</v>
      </c>
    </row>
    <row r="414" spans="1:4" x14ac:dyDescent="0.25">
      <c r="A414" t="s">
        <v>248</v>
      </c>
      <c r="B414">
        <v>13.151927437641724</v>
      </c>
      <c r="C414" s="1">
        <v>43369</v>
      </c>
      <c r="D414" s="6" t="s">
        <v>349</v>
      </c>
    </row>
    <row r="415" spans="1:4" x14ac:dyDescent="0.25">
      <c r="A415" t="s">
        <v>249</v>
      </c>
      <c r="B415">
        <v>13.736263736263737</v>
      </c>
      <c r="C415" s="1">
        <v>43369</v>
      </c>
      <c r="D415" s="6" t="s">
        <v>349</v>
      </c>
    </row>
    <row r="416" spans="1:4" x14ac:dyDescent="0.25">
      <c r="A416" t="s">
        <v>265</v>
      </c>
      <c r="B416">
        <v>9.5723014256619088</v>
      </c>
      <c r="C416" s="1">
        <v>43369</v>
      </c>
      <c r="D416" s="6" t="s">
        <v>349</v>
      </c>
    </row>
    <row r="417" spans="1:4" x14ac:dyDescent="0.25">
      <c r="A417" t="s">
        <v>266</v>
      </c>
      <c r="B417">
        <v>12.175873731679818</v>
      </c>
      <c r="C417" s="1">
        <v>43369</v>
      </c>
      <c r="D417" s="6" t="s">
        <v>349</v>
      </c>
    </row>
    <row r="418" spans="1:4" x14ac:dyDescent="0.25">
      <c r="A418" t="s">
        <v>267</v>
      </c>
      <c r="B418">
        <v>10.989010989010989</v>
      </c>
      <c r="C418" s="1">
        <v>43369</v>
      </c>
      <c r="D418" s="6" t="s">
        <v>349</v>
      </c>
    </row>
    <row r="419" spans="1:4" x14ac:dyDescent="0.25">
      <c r="A419" t="s">
        <v>172</v>
      </c>
      <c r="B419">
        <v>11.692650334075712</v>
      </c>
      <c r="C419" s="1">
        <v>43371</v>
      </c>
      <c r="D419" s="6" t="s">
        <v>349</v>
      </c>
    </row>
    <row r="420" spans="1:4" x14ac:dyDescent="0.25">
      <c r="A420" t="s">
        <v>173</v>
      </c>
      <c r="B420">
        <v>12.513368983957218</v>
      </c>
      <c r="C420" s="1">
        <v>43371</v>
      </c>
      <c r="D420" s="6" t="s">
        <v>349</v>
      </c>
    </row>
    <row r="421" spans="1:4" x14ac:dyDescent="0.25">
      <c r="A421" t="s">
        <v>174</v>
      </c>
      <c r="B421">
        <v>11.718750000000009</v>
      </c>
      <c r="C421" s="1">
        <v>43371</v>
      </c>
      <c r="D421" s="6" t="s">
        <v>349</v>
      </c>
    </row>
    <row r="422" spans="1:4" x14ac:dyDescent="0.25">
      <c r="A422" t="s">
        <v>175</v>
      </c>
      <c r="B422">
        <v>9.3959731543624159</v>
      </c>
      <c r="C422" s="1">
        <v>43371</v>
      </c>
      <c r="D422" s="6" t="s">
        <v>349</v>
      </c>
    </row>
    <row r="423" spans="1:4" x14ac:dyDescent="0.25">
      <c r="A423" t="s">
        <v>176</v>
      </c>
      <c r="B423">
        <v>14.585635359116026</v>
      </c>
      <c r="C423" s="1">
        <v>43371</v>
      </c>
      <c r="D423" s="6" t="s">
        <v>349</v>
      </c>
    </row>
    <row r="424" spans="1:4" x14ac:dyDescent="0.25">
      <c r="A424" t="s">
        <v>177</v>
      </c>
      <c r="B424">
        <v>13.183279742765256</v>
      </c>
      <c r="C424" s="1">
        <v>43371</v>
      </c>
      <c r="D424" s="6" t="s">
        <v>349</v>
      </c>
    </row>
    <row r="425" spans="1:4" x14ac:dyDescent="0.25">
      <c r="A425" t="s">
        <v>178</v>
      </c>
      <c r="B425">
        <v>13.095238095238084</v>
      </c>
      <c r="C425" s="1">
        <v>43371</v>
      </c>
      <c r="D425" s="6" t="s">
        <v>349</v>
      </c>
    </row>
    <row r="426" spans="1:4" x14ac:dyDescent="0.25">
      <c r="A426" t="s">
        <v>179</v>
      </c>
      <c r="B426">
        <v>12.049549549549553</v>
      </c>
      <c r="C426" s="1">
        <v>43371</v>
      </c>
      <c r="D426" s="6" t="s">
        <v>349</v>
      </c>
    </row>
    <row r="427" spans="1:4" x14ac:dyDescent="0.25">
      <c r="A427" t="s">
        <v>180</v>
      </c>
      <c r="B427">
        <v>12.416851441241677</v>
      </c>
      <c r="C427" s="1">
        <v>43371</v>
      </c>
      <c r="D427" s="6" t="s">
        <v>349</v>
      </c>
    </row>
    <row r="428" spans="1:4" x14ac:dyDescent="0.25">
      <c r="A428" t="s">
        <v>181</v>
      </c>
      <c r="B428">
        <v>11.652542372881353</v>
      </c>
      <c r="C428" s="1">
        <v>43371</v>
      </c>
      <c r="D428" s="6" t="s">
        <v>349</v>
      </c>
    </row>
    <row r="429" spans="1:4" x14ac:dyDescent="0.25">
      <c r="A429" t="s">
        <v>182</v>
      </c>
      <c r="B429">
        <v>9.3579978237214512</v>
      </c>
      <c r="C429" s="1">
        <v>43371</v>
      </c>
      <c r="D429" s="6" t="s">
        <v>349</v>
      </c>
    </row>
    <row r="430" spans="1:4" x14ac:dyDescent="0.25">
      <c r="A430" t="s">
        <v>183</v>
      </c>
      <c r="B430">
        <v>9.2037228541882161</v>
      </c>
      <c r="C430" s="1">
        <v>43371</v>
      </c>
      <c r="D430" s="6" t="s">
        <v>349</v>
      </c>
    </row>
    <row r="431" spans="1:4" x14ac:dyDescent="0.25">
      <c r="A431" t="s">
        <v>250</v>
      </c>
      <c r="B431">
        <v>13.720930232558157</v>
      </c>
      <c r="C431" s="1">
        <v>43374</v>
      </c>
      <c r="D431" s="6" t="s">
        <v>349</v>
      </c>
    </row>
    <row r="432" spans="1:4" x14ac:dyDescent="0.25">
      <c r="A432" t="s">
        <v>251</v>
      </c>
      <c r="B432">
        <v>10.635964912280709</v>
      </c>
      <c r="C432" s="1">
        <v>43374</v>
      </c>
      <c r="D432" s="6" t="s">
        <v>349</v>
      </c>
    </row>
    <row r="433" spans="1:4" x14ac:dyDescent="0.25">
      <c r="A433" t="s">
        <v>252</v>
      </c>
      <c r="B433">
        <v>12.143611404435063</v>
      </c>
      <c r="C433" s="1">
        <v>43374</v>
      </c>
      <c r="D433" s="6" t="s">
        <v>349</v>
      </c>
    </row>
    <row r="434" spans="1:4" x14ac:dyDescent="0.25">
      <c r="A434" t="s">
        <v>253</v>
      </c>
      <c r="B434">
        <v>13.30472103004292</v>
      </c>
      <c r="C434" s="1">
        <v>43374</v>
      </c>
      <c r="D434" s="6" t="s">
        <v>349</v>
      </c>
    </row>
    <row r="435" spans="1:4" x14ac:dyDescent="0.25">
      <c r="A435" t="s">
        <v>254</v>
      </c>
      <c r="B435">
        <v>9.7664543524416132</v>
      </c>
      <c r="C435" s="1">
        <v>43374</v>
      </c>
      <c r="D435" s="6" t="s">
        <v>349</v>
      </c>
    </row>
    <row r="436" spans="1:4" x14ac:dyDescent="0.25">
      <c r="A436" t="s">
        <v>255</v>
      </c>
      <c r="B436">
        <v>13.015184381778733</v>
      </c>
      <c r="C436" s="1">
        <v>43374</v>
      </c>
      <c r="D436" s="6" t="s">
        <v>349</v>
      </c>
    </row>
    <row r="437" spans="1:4" x14ac:dyDescent="0.25">
      <c r="A437" t="s">
        <v>256</v>
      </c>
      <c r="B437">
        <v>8.8235294117647047</v>
      </c>
      <c r="C437" s="1">
        <v>43374</v>
      </c>
      <c r="D437" s="6" t="s">
        <v>349</v>
      </c>
    </row>
    <row r="438" spans="1:4" x14ac:dyDescent="0.25">
      <c r="A438" t="s">
        <v>257</v>
      </c>
      <c r="B438">
        <v>7.7837837837837904</v>
      </c>
      <c r="C438" s="1">
        <v>43374</v>
      </c>
      <c r="D438" s="6" t="s">
        <v>349</v>
      </c>
    </row>
    <row r="439" spans="1:4" x14ac:dyDescent="0.25">
      <c r="A439" t="s">
        <v>258</v>
      </c>
      <c r="B439">
        <v>9.5289079229121931</v>
      </c>
      <c r="C439" s="1">
        <v>43374</v>
      </c>
      <c r="D439" s="6" t="s">
        <v>349</v>
      </c>
    </row>
    <row r="440" spans="1:4" x14ac:dyDescent="0.25">
      <c r="A440" t="s">
        <v>259</v>
      </c>
      <c r="B440">
        <v>9.0217391304347849</v>
      </c>
      <c r="C440" s="1">
        <v>43374</v>
      </c>
      <c r="D440" s="6" t="s">
        <v>349</v>
      </c>
    </row>
    <row r="441" spans="1:4" x14ac:dyDescent="0.25">
      <c r="A441" t="s">
        <v>260</v>
      </c>
      <c r="B441">
        <v>9.6608427543679287</v>
      </c>
      <c r="C441" s="1">
        <v>43374</v>
      </c>
      <c r="D441" s="6" t="s">
        <v>349</v>
      </c>
    </row>
    <row r="442" spans="1:4" x14ac:dyDescent="0.25">
      <c r="A442" t="s">
        <v>261</v>
      </c>
      <c r="B442">
        <v>9.4505494505494454</v>
      </c>
      <c r="C442" s="1">
        <v>43374</v>
      </c>
      <c r="D442" s="6" t="s">
        <v>349</v>
      </c>
    </row>
    <row r="443" spans="1:4" x14ac:dyDescent="0.25">
      <c r="A443" t="s">
        <v>208</v>
      </c>
      <c r="B443">
        <v>8.6776859504132222</v>
      </c>
      <c r="C443" s="1">
        <v>43367</v>
      </c>
      <c r="D443" s="6" t="s">
        <v>349</v>
      </c>
    </row>
    <row r="444" spans="1:4" x14ac:dyDescent="0.25">
      <c r="A444" t="s">
        <v>209</v>
      </c>
      <c r="B444">
        <v>7.8807241746538885</v>
      </c>
      <c r="C444" s="1">
        <v>43367</v>
      </c>
      <c r="D444" s="6" t="s">
        <v>349</v>
      </c>
    </row>
    <row r="445" spans="1:4" x14ac:dyDescent="0.25">
      <c r="A445" t="s">
        <v>210</v>
      </c>
      <c r="B445">
        <v>6.4446831364124577</v>
      </c>
      <c r="C445" s="1">
        <v>43367</v>
      </c>
      <c r="D445" s="6" t="s">
        <v>349</v>
      </c>
    </row>
    <row r="446" spans="1:4" x14ac:dyDescent="0.25">
      <c r="A446" t="s">
        <v>211</v>
      </c>
      <c r="B446">
        <v>6.4308681672025694</v>
      </c>
      <c r="C446" s="1">
        <v>43367</v>
      </c>
      <c r="D446" s="6" t="s">
        <v>349</v>
      </c>
    </row>
    <row r="447" spans="1:4" x14ac:dyDescent="0.25">
      <c r="A447" t="s">
        <v>212</v>
      </c>
      <c r="B447">
        <v>8.5390946502057634</v>
      </c>
      <c r="C447" s="1">
        <v>43367</v>
      </c>
      <c r="D447" s="6" t="s">
        <v>349</v>
      </c>
    </row>
    <row r="448" spans="1:4" x14ac:dyDescent="0.25">
      <c r="A448" t="s">
        <v>262</v>
      </c>
      <c r="B448">
        <v>9.493670886075952</v>
      </c>
      <c r="C448" s="1">
        <v>43367</v>
      </c>
      <c r="D448" s="6" t="s">
        <v>349</v>
      </c>
    </row>
    <row r="449" spans="1:4" x14ac:dyDescent="0.25">
      <c r="A449" t="s">
        <v>213</v>
      </c>
      <c r="B449">
        <v>8.7420042643923281</v>
      </c>
      <c r="C449" s="1">
        <v>43367</v>
      </c>
      <c r="D449" s="6" t="s">
        <v>349</v>
      </c>
    </row>
    <row r="450" spans="1:4" x14ac:dyDescent="0.25">
      <c r="A450" t="s">
        <v>214</v>
      </c>
      <c r="B450">
        <v>7.2276159654800427</v>
      </c>
      <c r="C450" s="1">
        <v>43367</v>
      </c>
      <c r="D450" s="6" t="s">
        <v>349</v>
      </c>
    </row>
    <row r="451" spans="1:4" x14ac:dyDescent="0.25">
      <c r="A451" t="s">
        <v>215</v>
      </c>
      <c r="B451">
        <v>6.8349106203995831</v>
      </c>
      <c r="C451" s="1">
        <v>43367</v>
      </c>
      <c r="D451" s="6" t="s">
        <v>349</v>
      </c>
    </row>
    <row r="452" spans="1:4" x14ac:dyDescent="0.25">
      <c r="A452" t="s">
        <v>216</v>
      </c>
      <c r="B452">
        <v>6.7596566523605048</v>
      </c>
      <c r="C452" s="1">
        <v>43367</v>
      </c>
      <c r="D452" s="6" t="s">
        <v>349</v>
      </c>
    </row>
    <row r="453" spans="1:4" x14ac:dyDescent="0.25">
      <c r="A453" t="s">
        <v>217</v>
      </c>
      <c r="B453">
        <v>5.5848261327713313</v>
      </c>
      <c r="C453" s="1">
        <v>43367</v>
      </c>
      <c r="D453" s="6" t="s">
        <v>349</v>
      </c>
    </row>
    <row r="454" spans="1:4" x14ac:dyDescent="0.25">
      <c r="A454" t="s">
        <v>263</v>
      </c>
      <c r="B454">
        <v>6.2098501070663819</v>
      </c>
      <c r="C454" s="1">
        <v>43367</v>
      </c>
      <c r="D454" s="6" t="s">
        <v>349</v>
      </c>
    </row>
    <row r="455" spans="1:4" x14ac:dyDescent="0.25">
      <c r="A455" t="s">
        <v>218</v>
      </c>
      <c r="B455">
        <v>5.0505050505050502</v>
      </c>
      <c r="C455" s="1">
        <v>43363</v>
      </c>
      <c r="D455" s="6" t="s">
        <v>349</v>
      </c>
    </row>
    <row r="456" spans="1:4" x14ac:dyDescent="0.25">
      <c r="A456" t="s">
        <v>219</v>
      </c>
      <c r="B456">
        <v>3.8065843621399282</v>
      </c>
      <c r="C456" s="1">
        <v>43363</v>
      </c>
      <c r="D456" s="6" t="s">
        <v>349</v>
      </c>
    </row>
    <row r="457" spans="1:4" x14ac:dyDescent="0.25">
      <c r="A457" t="s">
        <v>220</v>
      </c>
      <c r="B457">
        <v>4.10958904109589</v>
      </c>
      <c r="C457" s="1">
        <v>43363</v>
      </c>
      <c r="D457" s="6" t="s">
        <v>349</v>
      </c>
    </row>
    <row r="458" spans="1:4" x14ac:dyDescent="0.25">
      <c r="A458" t="s">
        <v>221</v>
      </c>
      <c r="B458">
        <v>3.9296794208893564</v>
      </c>
      <c r="C458" s="1">
        <v>43363</v>
      </c>
      <c r="D458" s="6" t="s">
        <v>349</v>
      </c>
    </row>
    <row r="459" spans="1:4" x14ac:dyDescent="0.25">
      <c r="A459" t="s">
        <v>222</v>
      </c>
      <c r="B459">
        <v>5.9940059940059891</v>
      </c>
      <c r="C459" s="1">
        <v>43363</v>
      </c>
      <c r="D459" s="6" t="s">
        <v>349</v>
      </c>
    </row>
    <row r="460" spans="1:4" x14ac:dyDescent="0.25">
      <c r="A460" t="s">
        <v>223</v>
      </c>
      <c r="B460">
        <v>7.327141382868926</v>
      </c>
      <c r="C460" s="1">
        <v>43363</v>
      </c>
      <c r="D460" s="6" t="s">
        <v>349</v>
      </c>
    </row>
    <row r="461" spans="1:4" x14ac:dyDescent="0.25">
      <c r="A461" t="s">
        <v>224</v>
      </c>
      <c r="B461">
        <v>4.9950049950049946</v>
      </c>
      <c r="C461" s="1">
        <v>43363</v>
      </c>
      <c r="D461" s="6" t="s">
        <v>349</v>
      </c>
    </row>
    <row r="462" spans="1:4" x14ac:dyDescent="0.25">
      <c r="A462" t="s">
        <v>225</v>
      </c>
      <c r="B462">
        <v>4.2759961127308026</v>
      </c>
      <c r="C462" s="1">
        <v>43363</v>
      </c>
      <c r="D462" s="6" t="s">
        <v>349</v>
      </c>
    </row>
    <row r="463" spans="1:4" x14ac:dyDescent="0.25">
      <c r="A463" t="s">
        <v>226</v>
      </c>
      <c r="B463">
        <v>11.086956521739125</v>
      </c>
      <c r="C463" s="1">
        <v>43363</v>
      </c>
      <c r="D463" s="6" t="s">
        <v>349</v>
      </c>
    </row>
    <row r="464" spans="1:4" x14ac:dyDescent="0.25">
      <c r="A464" t="s">
        <v>227</v>
      </c>
      <c r="B464">
        <v>4.2914171656686779</v>
      </c>
      <c r="C464" s="1">
        <v>43363</v>
      </c>
      <c r="D464" s="6" t="s">
        <v>349</v>
      </c>
    </row>
    <row r="465" spans="1:4" x14ac:dyDescent="0.25">
      <c r="A465" t="s">
        <v>228</v>
      </c>
      <c r="B465">
        <v>5.7057057057057081</v>
      </c>
      <c r="C465" s="1">
        <v>43363</v>
      </c>
      <c r="D465" s="6" t="s">
        <v>349</v>
      </c>
    </row>
    <row r="466" spans="1:4" x14ac:dyDescent="0.25">
      <c r="A466" t="s">
        <v>229</v>
      </c>
      <c r="B466">
        <v>7.4345549738219789</v>
      </c>
      <c r="C466" s="1">
        <v>43363</v>
      </c>
      <c r="D466" s="6" t="s">
        <v>349</v>
      </c>
    </row>
    <row r="467" spans="1:4" x14ac:dyDescent="0.25">
      <c r="A467" t="s">
        <v>196</v>
      </c>
      <c r="B467">
        <v>13.178294573643425</v>
      </c>
      <c r="C467" s="1">
        <v>43384</v>
      </c>
      <c r="D467" s="6" t="s">
        <v>349</v>
      </c>
    </row>
    <row r="468" spans="1:4" x14ac:dyDescent="0.25">
      <c r="A468" t="s">
        <v>197</v>
      </c>
      <c r="B468">
        <v>14.51428571428573</v>
      </c>
      <c r="C468" s="1">
        <v>43384</v>
      </c>
      <c r="D468" s="6" t="s">
        <v>349</v>
      </c>
    </row>
    <row r="469" spans="1:4" x14ac:dyDescent="0.25">
      <c r="A469" t="s">
        <v>198</v>
      </c>
      <c r="B469">
        <v>13.540510543840165</v>
      </c>
      <c r="C469" s="1">
        <v>43384</v>
      </c>
      <c r="D469" s="6" t="s">
        <v>349</v>
      </c>
    </row>
    <row r="470" spans="1:4" x14ac:dyDescent="0.25">
      <c r="A470" t="s">
        <v>199</v>
      </c>
      <c r="B470">
        <v>12.27321237993597</v>
      </c>
      <c r="C470" s="1">
        <v>43384</v>
      </c>
      <c r="D470" s="6" t="s">
        <v>349</v>
      </c>
    </row>
    <row r="471" spans="1:4" x14ac:dyDescent="0.25">
      <c r="A471" t="s">
        <v>200</v>
      </c>
      <c r="B471">
        <v>9.8081023454157776</v>
      </c>
      <c r="C471" s="1">
        <v>43384</v>
      </c>
      <c r="D471" s="6" t="s">
        <v>349</v>
      </c>
    </row>
    <row r="472" spans="1:4" x14ac:dyDescent="0.25">
      <c r="A472" t="s">
        <v>201</v>
      </c>
      <c r="B472">
        <v>10.819672131147543</v>
      </c>
      <c r="C472" s="1">
        <v>43384</v>
      </c>
      <c r="D472" s="6" t="s">
        <v>349</v>
      </c>
    </row>
    <row r="473" spans="1:4" x14ac:dyDescent="0.25">
      <c r="A473" t="s">
        <v>202</v>
      </c>
      <c r="B473">
        <v>11.406423034330002</v>
      </c>
      <c r="C473" s="1">
        <v>43384</v>
      </c>
      <c r="D473" s="6" t="s">
        <v>349</v>
      </c>
    </row>
    <row r="474" spans="1:4" x14ac:dyDescent="0.25">
      <c r="A474" t="s">
        <v>203</v>
      </c>
      <c r="B474">
        <v>10.770855332629372</v>
      </c>
      <c r="C474" s="1">
        <v>43384</v>
      </c>
      <c r="D474" s="6" t="s">
        <v>349</v>
      </c>
    </row>
    <row r="475" spans="1:4" x14ac:dyDescent="0.25">
      <c r="A475" t="s">
        <v>204</v>
      </c>
      <c r="B475">
        <v>10.165975103734425</v>
      </c>
      <c r="C475" s="1">
        <v>43384</v>
      </c>
      <c r="D475" s="6" t="s">
        <v>349</v>
      </c>
    </row>
    <row r="476" spans="1:4" x14ac:dyDescent="0.25">
      <c r="A476" t="s">
        <v>205</v>
      </c>
      <c r="B476">
        <v>13.1004366812227</v>
      </c>
      <c r="C476" s="1">
        <v>43384</v>
      </c>
      <c r="D476" s="6" t="s">
        <v>349</v>
      </c>
    </row>
    <row r="477" spans="1:4" x14ac:dyDescent="0.25">
      <c r="A477" t="s">
        <v>206</v>
      </c>
      <c r="B477">
        <v>11.450381679389302</v>
      </c>
      <c r="C477" s="1">
        <v>43384</v>
      </c>
      <c r="D477" s="6" t="s">
        <v>349</v>
      </c>
    </row>
    <row r="478" spans="1:4" x14ac:dyDescent="0.25">
      <c r="A478" t="s">
        <v>207</v>
      </c>
      <c r="B478">
        <v>12.094064949608063</v>
      </c>
      <c r="C478" s="1">
        <v>43384</v>
      </c>
      <c r="D478" s="6" t="s">
        <v>349</v>
      </c>
    </row>
    <row r="479" spans="1:4" x14ac:dyDescent="0.25">
      <c r="A479" t="s">
        <v>184</v>
      </c>
      <c r="B479">
        <v>26.96493349455865</v>
      </c>
      <c r="C479" s="1">
        <v>43374</v>
      </c>
      <c r="D479" s="6" t="s">
        <v>349</v>
      </c>
    </row>
    <row r="480" spans="1:4" x14ac:dyDescent="0.25">
      <c r="A480" t="s">
        <v>185</v>
      </c>
      <c r="B480">
        <v>24.00960384153661</v>
      </c>
      <c r="C480" s="1">
        <v>43374</v>
      </c>
      <c r="D480" s="6" t="s">
        <v>349</v>
      </c>
    </row>
    <row r="481" spans="1:4" x14ac:dyDescent="0.25">
      <c r="A481" t="s">
        <v>186</v>
      </c>
      <c r="B481">
        <v>25.556858147713946</v>
      </c>
      <c r="C481" s="1">
        <v>43374</v>
      </c>
      <c r="D481" s="6" t="s">
        <v>349</v>
      </c>
    </row>
    <row r="482" spans="1:4" x14ac:dyDescent="0.25">
      <c r="A482" t="s">
        <v>187</v>
      </c>
      <c r="B482">
        <v>26.097560975609763</v>
      </c>
      <c r="C482" s="1">
        <v>43374</v>
      </c>
      <c r="D482" s="6" t="s">
        <v>349</v>
      </c>
    </row>
    <row r="483" spans="1:4" x14ac:dyDescent="0.25">
      <c r="A483" t="s">
        <v>188</v>
      </c>
      <c r="B483">
        <v>31.352718078381802</v>
      </c>
      <c r="C483" s="1">
        <v>43374</v>
      </c>
      <c r="D483" s="6" t="s">
        <v>349</v>
      </c>
    </row>
    <row r="484" spans="1:4" x14ac:dyDescent="0.25">
      <c r="A484" t="s">
        <v>189</v>
      </c>
      <c r="B484">
        <v>29.565217391304362</v>
      </c>
      <c r="C484" s="1">
        <v>43374</v>
      </c>
      <c r="D484" s="6" t="s">
        <v>349</v>
      </c>
    </row>
    <row r="485" spans="1:4" x14ac:dyDescent="0.25">
      <c r="A485" t="s">
        <v>190</v>
      </c>
      <c r="B485">
        <v>28.957528957528954</v>
      </c>
      <c r="C485" s="1">
        <v>43374</v>
      </c>
      <c r="D485" s="6" t="s">
        <v>349</v>
      </c>
    </row>
    <row r="486" spans="1:4" x14ac:dyDescent="0.25">
      <c r="A486" t="s">
        <v>191</v>
      </c>
      <c r="B486">
        <v>27.014218009478665</v>
      </c>
      <c r="C486" s="1">
        <v>43374</v>
      </c>
      <c r="D486" s="6" t="s">
        <v>349</v>
      </c>
    </row>
    <row r="487" spans="1:4" x14ac:dyDescent="0.25">
      <c r="A487" t="s">
        <v>192</v>
      </c>
      <c r="B487">
        <v>25.206124852767946</v>
      </c>
      <c r="C487" s="1">
        <v>43374</v>
      </c>
      <c r="D487" s="6" t="s">
        <v>349</v>
      </c>
    </row>
    <row r="488" spans="1:4" x14ac:dyDescent="0.25">
      <c r="A488" t="s">
        <v>193</v>
      </c>
      <c r="B488">
        <v>24.606060606060598</v>
      </c>
      <c r="C488" s="1">
        <v>43374</v>
      </c>
      <c r="D488" s="6" t="s">
        <v>349</v>
      </c>
    </row>
    <row r="489" spans="1:4" x14ac:dyDescent="0.25">
      <c r="A489" t="s">
        <v>194</v>
      </c>
      <c r="B489">
        <v>26.894865525672362</v>
      </c>
      <c r="C489" s="1">
        <v>43374</v>
      </c>
      <c r="D489" s="6" t="s">
        <v>349</v>
      </c>
    </row>
    <row r="490" spans="1:4" x14ac:dyDescent="0.25">
      <c r="A490" t="s">
        <v>195</v>
      </c>
      <c r="B490">
        <v>27.764423076923062</v>
      </c>
      <c r="C490" s="1">
        <v>43374</v>
      </c>
      <c r="D490" s="6" t="s">
        <v>349</v>
      </c>
    </row>
    <row r="491" spans="1:4" x14ac:dyDescent="0.25">
      <c r="A491" t="s">
        <v>160</v>
      </c>
      <c r="B491">
        <v>9.6670247046186937</v>
      </c>
      <c r="C491" s="1">
        <v>43371</v>
      </c>
      <c r="D491" s="6" t="s">
        <v>349</v>
      </c>
    </row>
    <row r="492" spans="1:4" x14ac:dyDescent="0.25">
      <c r="A492" t="s">
        <v>161</v>
      </c>
      <c r="B492">
        <v>9.5289079229122127</v>
      </c>
      <c r="C492" s="1">
        <v>43371</v>
      </c>
      <c r="D492" s="6" t="s">
        <v>349</v>
      </c>
    </row>
    <row r="493" spans="1:4" x14ac:dyDescent="0.25">
      <c r="A493" t="s">
        <v>162</v>
      </c>
      <c r="B493">
        <v>10.299003322259134</v>
      </c>
      <c r="C493" s="1">
        <v>43371</v>
      </c>
      <c r="D493" s="6" t="s">
        <v>349</v>
      </c>
    </row>
    <row r="494" spans="1:4" x14ac:dyDescent="0.25">
      <c r="A494" t="s">
        <v>163</v>
      </c>
      <c r="B494">
        <v>9.6385542168674583</v>
      </c>
      <c r="C494" s="1">
        <v>43371</v>
      </c>
      <c r="D494" s="6" t="s">
        <v>349</v>
      </c>
    </row>
    <row r="495" spans="1:4" x14ac:dyDescent="0.25">
      <c r="A495" t="s">
        <v>164</v>
      </c>
      <c r="B495">
        <v>8.2539682539682655</v>
      </c>
      <c r="C495" s="1">
        <v>43371</v>
      </c>
      <c r="D495" s="6" t="s">
        <v>349</v>
      </c>
    </row>
    <row r="496" spans="1:4" x14ac:dyDescent="0.25">
      <c r="A496" t="s">
        <v>165</v>
      </c>
      <c r="B496">
        <v>10.444674250258529</v>
      </c>
      <c r="C496" s="1">
        <v>43371</v>
      </c>
      <c r="D496" s="6" t="s">
        <v>349</v>
      </c>
    </row>
    <row r="497" spans="1:4" x14ac:dyDescent="0.25">
      <c r="A497" t="s">
        <v>166</v>
      </c>
      <c r="B497">
        <v>7.3761854583772308</v>
      </c>
      <c r="C497" s="1">
        <v>43371</v>
      </c>
      <c r="D497" s="6" t="s">
        <v>349</v>
      </c>
    </row>
    <row r="498" spans="1:4" x14ac:dyDescent="0.25">
      <c r="A498" t="s">
        <v>167</v>
      </c>
      <c r="B498">
        <v>8.5478887744593219</v>
      </c>
      <c r="C498" s="1">
        <v>43371</v>
      </c>
      <c r="D498" s="6" t="s">
        <v>349</v>
      </c>
    </row>
    <row r="499" spans="1:4" x14ac:dyDescent="0.25">
      <c r="A499" t="s">
        <v>168</v>
      </c>
      <c r="B499">
        <v>9.1517857142857171</v>
      </c>
      <c r="C499" s="1">
        <v>43371</v>
      </c>
      <c r="D499" s="6" t="s">
        <v>349</v>
      </c>
    </row>
    <row r="500" spans="1:4" x14ac:dyDescent="0.25">
      <c r="A500" t="s">
        <v>169</v>
      </c>
      <c r="B500">
        <v>11.385606874328685</v>
      </c>
      <c r="C500" s="1">
        <v>43371</v>
      </c>
      <c r="D500" s="6" t="s">
        <v>349</v>
      </c>
    </row>
    <row r="501" spans="1:4" x14ac:dyDescent="0.25">
      <c r="A501" t="s">
        <v>170</v>
      </c>
      <c r="B501">
        <v>10.221285563751305</v>
      </c>
      <c r="C501" s="1">
        <v>43371</v>
      </c>
      <c r="D501" s="6" t="s">
        <v>349</v>
      </c>
    </row>
    <row r="502" spans="1:4" x14ac:dyDescent="0.25">
      <c r="A502" t="s">
        <v>171</v>
      </c>
      <c r="B502">
        <v>10.930735930735928</v>
      </c>
      <c r="C502" s="1">
        <v>43371</v>
      </c>
      <c r="D502" s="6" t="s">
        <v>349</v>
      </c>
    </row>
    <row r="503" spans="1:4" x14ac:dyDescent="0.25">
      <c r="A503" t="s">
        <v>373</v>
      </c>
      <c r="B503">
        <v>17.030567685589507</v>
      </c>
      <c r="C503" s="1">
        <v>43633</v>
      </c>
      <c r="D503" s="6" t="s">
        <v>442</v>
      </c>
    </row>
    <row r="504" spans="1:4" x14ac:dyDescent="0.25">
      <c r="A504" t="s">
        <v>374</v>
      </c>
      <c r="B504">
        <v>13.318777292576426</v>
      </c>
      <c r="C504" s="1">
        <v>43633</v>
      </c>
      <c r="D504" s="6" t="s">
        <v>442</v>
      </c>
    </row>
    <row r="505" spans="1:4" x14ac:dyDescent="0.25">
      <c r="A505" t="s">
        <v>375</v>
      </c>
      <c r="B505">
        <v>17.133258678611416</v>
      </c>
      <c r="C505" s="1">
        <v>43633</v>
      </c>
      <c r="D505" s="6" t="s">
        <v>442</v>
      </c>
    </row>
    <row r="506" spans="1:4" x14ac:dyDescent="0.25">
      <c r="A506" t="s">
        <v>376</v>
      </c>
      <c r="B506">
        <v>13.270637408568456</v>
      </c>
      <c r="C506" s="1">
        <v>43633</v>
      </c>
      <c r="D506" s="6" t="s">
        <v>442</v>
      </c>
    </row>
    <row r="507" spans="1:4" x14ac:dyDescent="0.25">
      <c r="A507" t="s">
        <v>377</v>
      </c>
      <c r="B507">
        <v>13.310580204778159</v>
      </c>
      <c r="C507" s="1">
        <v>43633</v>
      </c>
      <c r="D507" s="6" t="s">
        <v>442</v>
      </c>
    </row>
    <row r="508" spans="1:4" x14ac:dyDescent="0.25">
      <c r="A508" t="s">
        <v>378</v>
      </c>
      <c r="B508">
        <v>14.361140443505821</v>
      </c>
      <c r="C508" s="1">
        <v>43633</v>
      </c>
      <c r="D508" s="6" t="s">
        <v>442</v>
      </c>
    </row>
    <row r="509" spans="1:4" x14ac:dyDescent="0.25">
      <c r="A509" t="s">
        <v>379</v>
      </c>
      <c r="B509">
        <v>17.067833698030618</v>
      </c>
      <c r="C509" s="1">
        <v>43633</v>
      </c>
      <c r="D509" s="6" t="s">
        <v>442</v>
      </c>
    </row>
    <row r="510" spans="1:4" x14ac:dyDescent="0.25">
      <c r="A510" t="s">
        <v>380</v>
      </c>
      <c r="B510">
        <v>19.43127962085309</v>
      </c>
      <c r="C510" s="1">
        <v>43633</v>
      </c>
      <c r="D510" s="6" t="s">
        <v>442</v>
      </c>
    </row>
    <row r="511" spans="1:4" x14ac:dyDescent="0.25">
      <c r="A511" t="s">
        <v>381</v>
      </c>
      <c r="B511">
        <v>21.215733015494649</v>
      </c>
      <c r="C511" s="1">
        <v>43633</v>
      </c>
      <c r="D511" s="6" t="s">
        <v>442</v>
      </c>
    </row>
    <row r="512" spans="1:4" x14ac:dyDescent="0.25">
      <c r="A512" t="s">
        <v>382</v>
      </c>
      <c r="B512">
        <v>18.142076502732245</v>
      </c>
      <c r="C512" s="1">
        <v>43633</v>
      </c>
      <c r="D512" s="6" t="s">
        <v>442</v>
      </c>
    </row>
    <row r="513" spans="1:4" x14ac:dyDescent="0.25">
      <c r="A513" t="s">
        <v>383</v>
      </c>
      <c r="B513">
        <v>12.146596858638746</v>
      </c>
      <c r="C513" s="1">
        <v>43633</v>
      </c>
      <c r="D513" s="6" t="s">
        <v>442</v>
      </c>
    </row>
    <row r="514" spans="1:4" x14ac:dyDescent="0.25">
      <c r="A514" t="s">
        <v>384</v>
      </c>
      <c r="B514">
        <v>11.692650334075735</v>
      </c>
      <c r="C514" s="1">
        <v>43633</v>
      </c>
      <c r="D514" s="6" t="s">
        <v>442</v>
      </c>
    </row>
    <row r="515" spans="1:4" x14ac:dyDescent="0.25">
      <c r="A515" t="s">
        <v>385</v>
      </c>
      <c r="B515">
        <v>15.144508670520215</v>
      </c>
      <c r="C515" s="1">
        <v>43633</v>
      </c>
      <c r="D515" s="6" t="s">
        <v>442</v>
      </c>
    </row>
    <row r="516" spans="1:4" x14ac:dyDescent="0.25">
      <c r="A516" t="s">
        <v>386</v>
      </c>
      <c r="B516">
        <v>19.184652278177456</v>
      </c>
      <c r="C516" s="1">
        <v>43633</v>
      </c>
      <c r="D516" s="6" t="s">
        <v>442</v>
      </c>
    </row>
    <row r="517" spans="1:4" x14ac:dyDescent="0.25">
      <c r="A517" t="s">
        <v>387</v>
      </c>
      <c r="B517">
        <v>16.780821917808204</v>
      </c>
      <c r="C517" s="1">
        <v>43633</v>
      </c>
      <c r="D517" s="6" t="s">
        <v>442</v>
      </c>
    </row>
    <row r="518" spans="1:4" x14ac:dyDescent="0.25">
      <c r="A518" t="s">
        <v>388</v>
      </c>
      <c r="B518">
        <v>21.634615384615394</v>
      </c>
      <c r="C518" s="1">
        <v>43633</v>
      </c>
      <c r="D518" s="6" t="s">
        <v>442</v>
      </c>
    </row>
    <row r="519" spans="1:4" x14ac:dyDescent="0.25">
      <c r="A519" t="s">
        <v>389</v>
      </c>
      <c r="B519">
        <v>19.548022598870038</v>
      </c>
      <c r="C519" s="1">
        <v>43633</v>
      </c>
      <c r="D519" s="6" t="s">
        <v>442</v>
      </c>
    </row>
    <row r="520" spans="1:4" x14ac:dyDescent="0.25">
      <c r="A520" t="s">
        <v>390</v>
      </c>
      <c r="B520">
        <v>22.273781902552205</v>
      </c>
      <c r="C520" s="1">
        <v>43633</v>
      </c>
      <c r="D520" s="6" t="s">
        <v>442</v>
      </c>
    </row>
    <row r="521" spans="1:4" x14ac:dyDescent="0.25">
      <c r="A521" t="s">
        <v>151</v>
      </c>
      <c r="B521">
        <v>11.248710010319915</v>
      </c>
      <c r="C521" s="1">
        <v>43633</v>
      </c>
      <c r="D521" s="6" t="s">
        <v>442</v>
      </c>
    </row>
    <row r="522" spans="1:4" x14ac:dyDescent="0.25">
      <c r="A522" t="s">
        <v>152</v>
      </c>
      <c r="B522">
        <v>10.509209100758405</v>
      </c>
      <c r="C522" s="1">
        <v>43633</v>
      </c>
      <c r="D522" s="6" t="s">
        <v>442</v>
      </c>
    </row>
    <row r="523" spans="1:4" x14ac:dyDescent="0.25">
      <c r="A523" t="s">
        <v>153</v>
      </c>
      <c r="B523">
        <v>13.727678571428578</v>
      </c>
      <c r="C523" s="1">
        <v>43633</v>
      </c>
      <c r="D523" s="6" t="s">
        <v>442</v>
      </c>
    </row>
    <row r="524" spans="1:4" x14ac:dyDescent="0.25">
      <c r="A524" t="s">
        <v>410</v>
      </c>
      <c r="B524">
        <v>7.0281124497991883</v>
      </c>
      <c r="C524" s="1">
        <v>43635</v>
      </c>
      <c r="D524" s="6" t="s">
        <v>442</v>
      </c>
    </row>
    <row r="525" spans="1:4" x14ac:dyDescent="0.25">
      <c r="A525" t="s">
        <v>411</v>
      </c>
      <c r="B525">
        <v>7.2938689217758927</v>
      </c>
      <c r="C525" s="1">
        <v>43635</v>
      </c>
      <c r="D525" s="6" t="s">
        <v>442</v>
      </c>
    </row>
    <row r="526" spans="1:4" x14ac:dyDescent="0.25">
      <c r="A526" t="s">
        <v>412</v>
      </c>
      <c r="B526">
        <v>7.1576763485477315</v>
      </c>
      <c r="C526" s="1">
        <v>43635</v>
      </c>
      <c r="D526" s="6" t="s">
        <v>442</v>
      </c>
    </row>
    <row r="527" spans="1:4" x14ac:dyDescent="0.25">
      <c r="A527" t="s">
        <v>413</v>
      </c>
      <c r="B527">
        <v>13.793103448275845</v>
      </c>
      <c r="C527" s="1">
        <v>43635</v>
      </c>
      <c r="D527" s="6" t="s">
        <v>442</v>
      </c>
    </row>
    <row r="528" spans="1:4" x14ac:dyDescent="0.25">
      <c r="A528" t="s">
        <v>414</v>
      </c>
      <c r="B528">
        <v>16.483516483516482</v>
      </c>
      <c r="C528" s="1">
        <v>43635</v>
      </c>
      <c r="D528" s="6" t="s">
        <v>442</v>
      </c>
    </row>
    <row r="529" spans="1:4" x14ac:dyDescent="0.25">
      <c r="A529" t="s">
        <v>415</v>
      </c>
      <c r="B529">
        <v>12.443946188340799</v>
      </c>
      <c r="C529" s="1">
        <v>43635</v>
      </c>
      <c r="D529" s="6" t="s">
        <v>442</v>
      </c>
    </row>
    <row r="530" spans="1:4" x14ac:dyDescent="0.25">
      <c r="A530" t="s">
        <v>416</v>
      </c>
      <c r="B530">
        <v>15.277777777777777</v>
      </c>
      <c r="C530" s="1">
        <v>43635</v>
      </c>
      <c r="D530" s="6" t="s">
        <v>442</v>
      </c>
    </row>
    <row r="531" spans="1:4" x14ac:dyDescent="0.25">
      <c r="A531" t="s">
        <v>417</v>
      </c>
      <c r="B531">
        <v>16.121758737316796</v>
      </c>
      <c r="C531" s="1">
        <v>43635</v>
      </c>
      <c r="D531" s="6" t="s">
        <v>442</v>
      </c>
    </row>
    <row r="532" spans="1:4" x14ac:dyDescent="0.25">
      <c r="A532" t="s">
        <v>418</v>
      </c>
      <c r="B532">
        <v>16.915995397008039</v>
      </c>
      <c r="C532" s="1">
        <v>43635</v>
      </c>
      <c r="D532" s="6" t="s">
        <v>442</v>
      </c>
    </row>
    <row r="533" spans="1:4" x14ac:dyDescent="0.25">
      <c r="A533" t="s">
        <v>419</v>
      </c>
      <c r="B533">
        <v>7.7742279020234148</v>
      </c>
      <c r="C533" s="1">
        <v>43635</v>
      </c>
      <c r="D533" s="6" t="s">
        <v>442</v>
      </c>
    </row>
    <row r="534" spans="1:4" x14ac:dyDescent="0.25">
      <c r="A534" t="s">
        <v>420</v>
      </c>
      <c r="B534">
        <v>7.4756229685807103</v>
      </c>
      <c r="C534" s="1">
        <v>43635</v>
      </c>
      <c r="D534" s="6" t="s">
        <v>442</v>
      </c>
    </row>
    <row r="535" spans="1:4" x14ac:dyDescent="0.25">
      <c r="A535" t="s">
        <v>421</v>
      </c>
      <c r="B535">
        <v>8.2991803278688572</v>
      </c>
      <c r="C535" s="1">
        <v>43635</v>
      </c>
      <c r="D535" s="6" t="s">
        <v>442</v>
      </c>
    </row>
    <row r="536" spans="1:4" x14ac:dyDescent="0.25">
      <c r="A536" t="s">
        <v>172</v>
      </c>
      <c r="B536">
        <v>8.1300813008129964</v>
      </c>
      <c r="C536" s="1">
        <v>43627</v>
      </c>
      <c r="D536" s="6" t="s">
        <v>442</v>
      </c>
    </row>
    <row r="537" spans="1:4" x14ac:dyDescent="0.25">
      <c r="A537" t="s">
        <v>173</v>
      </c>
      <c r="B537">
        <v>8.214676889375685</v>
      </c>
      <c r="C537" s="1">
        <v>43627</v>
      </c>
      <c r="D537" s="6" t="s">
        <v>442</v>
      </c>
    </row>
    <row r="538" spans="1:4" x14ac:dyDescent="0.25">
      <c r="A538" t="s">
        <v>174</v>
      </c>
      <c r="B538">
        <v>9.8081023454157776</v>
      </c>
      <c r="C538" s="1">
        <v>43627</v>
      </c>
      <c r="D538" s="6" t="s">
        <v>442</v>
      </c>
    </row>
    <row r="539" spans="1:4" x14ac:dyDescent="0.25">
      <c r="A539" t="s">
        <v>176</v>
      </c>
      <c r="B539">
        <v>5.8762886597938175</v>
      </c>
      <c r="C539" s="1">
        <v>43627</v>
      </c>
      <c r="D539" s="6" t="s">
        <v>442</v>
      </c>
    </row>
    <row r="540" spans="1:4" x14ac:dyDescent="0.25">
      <c r="A540" t="s">
        <v>177</v>
      </c>
      <c r="B540">
        <v>6.5708418891170313</v>
      </c>
      <c r="C540" s="1">
        <v>43627</v>
      </c>
      <c r="D540" s="6" t="s">
        <v>442</v>
      </c>
    </row>
    <row r="541" spans="1:4" x14ac:dyDescent="0.25">
      <c r="A541" t="s">
        <v>178</v>
      </c>
      <c r="B541">
        <v>10.259179265658739</v>
      </c>
      <c r="C541" s="1">
        <v>43627</v>
      </c>
      <c r="D541" s="6" t="s">
        <v>442</v>
      </c>
    </row>
    <row r="542" spans="1:4" x14ac:dyDescent="0.25">
      <c r="A542" t="s">
        <v>180</v>
      </c>
      <c r="B542">
        <v>7.1049840933191932</v>
      </c>
      <c r="C542" s="1">
        <v>43627</v>
      </c>
      <c r="D542" s="6" t="s">
        <v>442</v>
      </c>
    </row>
    <row r="543" spans="1:4" x14ac:dyDescent="0.25">
      <c r="A543" t="s">
        <v>181</v>
      </c>
      <c r="B543">
        <v>9.2206366630076815</v>
      </c>
      <c r="C543" s="1">
        <v>43627</v>
      </c>
      <c r="D543" s="6" t="s">
        <v>442</v>
      </c>
    </row>
    <row r="544" spans="1:4" x14ac:dyDescent="0.25">
      <c r="A544" t="s">
        <v>182</v>
      </c>
      <c r="B544">
        <v>7.1794871794871904</v>
      </c>
      <c r="C544" s="1">
        <v>43627</v>
      </c>
      <c r="D544" s="6" t="s">
        <v>442</v>
      </c>
    </row>
    <row r="545" spans="1:4" x14ac:dyDescent="0.25">
      <c r="A545" t="s">
        <v>391</v>
      </c>
      <c r="B545">
        <v>6.1000000000000121</v>
      </c>
      <c r="C545" s="1">
        <v>43627</v>
      </c>
      <c r="D545" s="6" t="s">
        <v>442</v>
      </c>
    </row>
    <row r="546" spans="1:4" x14ac:dyDescent="0.25">
      <c r="A546" t="s">
        <v>440</v>
      </c>
      <c r="B546">
        <v>5.0746268656716396</v>
      </c>
      <c r="C546" s="1">
        <v>43627</v>
      </c>
      <c r="D546" s="6" t="s">
        <v>442</v>
      </c>
    </row>
    <row r="547" spans="1:4" x14ac:dyDescent="0.25">
      <c r="A547" t="s">
        <v>441</v>
      </c>
      <c r="B547">
        <v>6.4351378958120415</v>
      </c>
      <c r="C547" s="1">
        <v>43627</v>
      </c>
      <c r="D547" s="6" t="s">
        <v>442</v>
      </c>
    </row>
    <row r="548" spans="1:4" x14ac:dyDescent="0.25">
      <c r="A548" t="s">
        <v>422</v>
      </c>
      <c r="B548">
        <v>19.520958083832323</v>
      </c>
      <c r="C548" s="1">
        <v>43627</v>
      </c>
      <c r="D548" s="6" t="s">
        <v>442</v>
      </c>
    </row>
    <row r="549" spans="1:4" x14ac:dyDescent="0.25">
      <c r="A549" t="s">
        <v>423</v>
      </c>
      <c r="B549">
        <v>15.137614678899089</v>
      </c>
      <c r="C549" s="1">
        <v>43627</v>
      </c>
      <c r="D549" s="6" t="s">
        <v>442</v>
      </c>
    </row>
    <row r="550" spans="1:4" x14ac:dyDescent="0.25">
      <c r="A550" t="s">
        <v>424</v>
      </c>
      <c r="B550">
        <v>16.023391812865512</v>
      </c>
      <c r="C550" s="1">
        <v>43627</v>
      </c>
      <c r="D550" s="6" t="s">
        <v>442</v>
      </c>
    </row>
    <row r="551" spans="1:4" x14ac:dyDescent="0.25">
      <c r="A551" t="s">
        <v>425</v>
      </c>
      <c r="B551">
        <v>8.2995951417004079</v>
      </c>
      <c r="C551" s="1">
        <v>43627</v>
      </c>
      <c r="D551" s="6" t="s">
        <v>442</v>
      </c>
    </row>
    <row r="552" spans="1:4" x14ac:dyDescent="0.25">
      <c r="A552" t="s">
        <v>426</v>
      </c>
      <c r="B552">
        <v>7.7479338842975212</v>
      </c>
      <c r="C552" s="1">
        <v>43627</v>
      </c>
      <c r="D552" s="6" t="s">
        <v>442</v>
      </c>
    </row>
    <row r="553" spans="1:4" x14ac:dyDescent="0.25">
      <c r="A553" t="s">
        <v>427</v>
      </c>
      <c r="B553">
        <v>6.9114470842332674</v>
      </c>
      <c r="C553" s="1">
        <v>43627</v>
      </c>
      <c r="D553" s="6" t="s">
        <v>442</v>
      </c>
    </row>
    <row r="554" spans="1:4" x14ac:dyDescent="0.25">
      <c r="A554" t="s">
        <v>428</v>
      </c>
      <c r="B554">
        <v>6.4417177914110324</v>
      </c>
      <c r="C554" s="1">
        <v>43627</v>
      </c>
      <c r="D554" s="6" t="s">
        <v>442</v>
      </c>
    </row>
    <row r="555" spans="1:4" x14ac:dyDescent="0.25">
      <c r="A555" t="s">
        <v>429</v>
      </c>
      <c r="B555">
        <v>6.7729083665338612</v>
      </c>
      <c r="C555" s="1">
        <v>43627</v>
      </c>
      <c r="D555" s="6" t="s">
        <v>442</v>
      </c>
    </row>
    <row r="556" spans="1:4" x14ac:dyDescent="0.25">
      <c r="A556" t="s">
        <v>430</v>
      </c>
      <c r="B556">
        <v>6.6666666666666705</v>
      </c>
      <c r="C556" s="1">
        <v>43627</v>
      </c>
      <c r="D556" s="6" t="s">
        <v>442</v>
      </c>
    </row>
    <row r="557" spans="1:4" x14ac:dyDescent="0.25">
      <c r="A557" t="s">
        <v>431</v>
      </c>
      <c r="B557">
        <v>11.316872427983537</v>
      </c>
      <c r="C557" s="1">
        <v>43628</v>
      </c>
      <c r="D557" s="6" t="s">
        <v>442</v>
      </c>
    </row>
    <row r="558" spans="1:4" x14ac:dyDescent="0.25">
      <c r="A558" t="s">
        <v>432</v>
      </c>
      <c r="B558">
        <v>15.881708652793003</v>
      </c>
      <c r="C558" s="1">
        <v>43628</v>
      </c>
      <c r="D558" s="6" t="s">
        <v>442</v>
      </c>
    </row>
    <row r="559" spans="1:4" x14ac:dyDescent="0.25">
      <c r="A559" t="s">
        <v>433</v>
      </c>
      <c r="B559">
        <v>10.165745856353588</v>
      </c>
      <c r="C559" s="1">
        <v>43628</v>
      </c>
      <c r="D559" s="6" t="s">
        <v>442</v>
      </c>
    </row>
    <row r="560" spans="1:4" x14ac:dyDescent="0.25">
      <c r="A560" t="s">
        <v>434</v>
      </c>
      <c r="B560">
        <v>15.532879818594095</v>
      </c>
      <c r="C560" s="1">
        <v>43628</v>
      </c>
      <c r="D560" s="6" t="s">
        <v>442</v>
      </c>
    </row>
    <row r="561" spans="1:4" x14ac:dyDescent="0.25">
      <c r="A561" t="s">
        <v>435</v>
      </c>
      <c r="B561">
        <v>13.610798650168739</v>
      </c>
      <c r="C561" s="1">
        <v>43628</v>
      </c>
      <c r="D561" s="6" t="s">
        <v>442</v>
      </c>
    </row>
    <row r="562" spans="1:4" x14ac:dyDescent="0.25">
      <c r="A562" t="s">
        <v>436</v>
      </c>
      <c r="B562">
        <v>16.16832779623476</v>
      </c>
      <c r="C562" s="1">
        <v>43628</v>
      </c>
      <c r="D562" s="6" t="s">
        <v>442</v>
      </c>
    </row>
    <row r="563" spans="1:4" x14ac:dyDescent="0.25">
      <c r="A563" t="s">
        <v>437</v>
      </c>
      <c r="B563">
        <v>18.828932261768092</v>
      </c>
      <c r="C563" s="1">
        <v>43628</v>
      </c>
      <c r="D563" s="6" t="s">
        <v>442</v>
      </c>
    </row>
    <row r="564" spans="1:4" x14ac:dyDescent="0.25">
      <c r="A564" t="s">
        <v>438</v>
      </c>
      <c r="B564">
        <v>16.300578034682083</v>
      </c>
      <c r="C564" s="1">
        <v>43628</v>
      </c>
      <c r="D564" s="6" t="s">
        <v>442</v>
      </c>
    </row>
    <row r="565" spans="1:4" x14ac:dyDescent="0.25">
      <c r="A565" t="s">
        <v>439</v>
      </c>
      <c r="B565">
        <v>16.781609195402311</v>
      </c>
      <c r="C565" s="1">
        <v>43628</v>
      </c>
      <c r="D565" s="6" t="s">
        <v>442</v>
      </c>
    </row>
    <row r="566" spans="1:4" x14ac:dyDescent="0.25">
      <c r="A566" t="s">
        <v>208</v>
      </c>
      <c r="B566">
        <v>7.9754601226993795</v>
      </c>
      <c r="C566" s="1">
        <v>43626</v>
      </c>
      <c r="D566" s="6" t="s">
        <v>442</v>
      </c>
    </row>
    <row r="567" spans="1:4" x14ac:dyDescent="0.25">
      <c r="A567" t="s">
        <v>209</v>
      </c>
      <c r="B567">
        <v>7.2709163346613597</v>
      </c>
      <c r="C567" s="1">
        <v>43626</v>
      </c>
      <c r="D567" s="6" t="s">
        <v>442</v>
      </c>
    </row>
    <row r="568" spans="1:4" x14ac:dyDescent="0.25">
      <c r="A568" t="s">
        <v>210</v>
      </c>
      <c r="B568">
        <v>9.2436974789915851</v>
      </c>
      <c r="C568" s="1">
        <v>43626</v>
      </c>
      <c r="D568" s="6" t="s">
        <v>442</v>
      </c>
    </row>
    <row r="569" spans="1:4" x14ac:dyDescent="0.25">
      <c r="A569" t="s">
        <v>212</v>
      </c>
      <c r="B569">
        <v>8.1883316274309177</v>
      </c>
      <c r="C569" s="1">
        <v>43626</v>
      </c>
      <c r="D569" s="6" t="s">
        <v>442</v>
      </c>
    </row>
    <row r="570" spans="1:4" x14ac:dyDescent="0.25">
      <c r="A570" t="s">
        <v>262</v>
      </c>
      <c r="B570">
        <v>7.9664570230607952</v>
      </c>
      <c r="C570" s="1">
        <v>43626</v>
      </c>
      <c r="D570" s="6" t="s">
        <v>442</v>
      </c>
    </row>
    <row r="571" spans="1:4" x14ac:dyDescent="0.25">
      <c r="A571" t="s">
        <v>213</v>
      </c>
      <c r="B571">
        <v>9.5290251916758066</v>
      </c>
      <c r="C571" s="1">
        <v>43626</v>
      </c>
      <c r="D571" s="6" t="s">
        <v>442</v>
      </c>
    </row>
    <row r="572" spans="1:4" x14ac:dyDescent="0.25">
      <c r="A572" t="s">
        <v>215</v>
      </c>
      <c r="B572">
        <v>4.6046046046046136</v>
      </c>
      <c r="C572" s="1">
        <v>43626</v>
      </c>
      <c r="D572" s="6" t="s">
        <v>442</v>
      </c>
    </row>
    <row r="573" spans="1:4" x14ac:dyDescent="0.25">
      <c r="A573" t="s">
        <v>216</v>
      </c>
      <c r="B573">
        <v>4.5364891518737753</v>
      </c>
      <c r="C573" s="1">
        <v>43626</v>
      </c>
      <c r="D573" s="6" t="s">
        <v>442</v>
      </c>
    </row>
    <row r="574" spans="1:4" x14ac:dyDescent="0.25">
      <c r="A574" t="s">
        <v>217</v>
      </c>
      <c r="B574">
        <v>6.510681586978623</v>
      </c>
      <c r="C574" s="1">
        <v>43626</v>
      </c>
      <c r="D574" s="6" t="s">
        <v>442</v>
      </c>
    </row>
    <row r="575" spans="1:4" x14ac:dyDescent="0.25">
      <c r="A575" t="s">
        <v>361</v>
      </c>
      <c r="B575">
        <v>24.912689173457494</v>
      </c>
      <c r="C575" s="1">
        <v>43629</v>
      </c>
      <c r="D575" s="6" t="s">
        <v>442</v>
      </c>
    </row>
    <row r="576" spans="1:4" x14ac:dyDescent="0.25">
      <c r="A576" t="s">
        <v>362</v>
      </c>
      <c r="B576">
        <v>17.983963344788094</v>
      </c>
      <c r="C576" s="1">
        <v>43629</v>
      </c>
      <c r="D576" s="6" t="s">
        <v>442</v>
      </c>
    </row>
    <row r="577" spans="1:4" x14ac:dyDescent="0.25">
      <c r="A577" t="s">
        <v>363</v>
      </c>
      <c r="B577">
        <v>24.308755760368658</v>
      </c>
      <c r="C577" s="1">
        <v>43629</v>
      </c>
      <c r="D577" s="6" t="s">
        <v>442</v>
      </c>
    </row>
    <row r="578" spans="1:4" x14ac:dyDescent="0.25">
      <c r="A578" t="s">
        <v>364</v>
      </c>
      <c r="B578">
        <v>26.448362720403018</v>
      </c>
      <c r="C578" s="1">
        <v>43629</v>
      </c>
      <c r="D578" s="6" t="s">
        <v>442</v>
      </c>
    </row>
    <row r="579" spans="1:4" x14ac:dyDescent="0.25">
      <c r="A579" t="s">
        <v>365</v>
      </c>
      <c r="B579">
        <v>19.864559819413092</v>
      </c>
      <c r="C579" s="1">
        <v>43629</v>
      </c>
      <c r="D579" s="6" t="s">
        <v>442</v>
      </c>
    </row>
    <row r="580" spans="1:4" x14ac:dyDescent="0.25">
      <c r="A580" t="s">
        <v>366</v>
      </c>
      <c r="B580">
        <v>27.237851662404104</v>
      </c>
      <c r="C580" s="1">
        <v>43629</v>
      </c>
      <c r="D580" s="6" t="s">
        <v>442</v>
      </c>
    </row>
    <row r="581" spans="1:4" x14ac:dyDescent="0.25">
      <c r="A581" t="s">
        <v>367</v>
      </c>
      <c r="B581">
        <v>25.266903914590756</v>
      </c>
      <c r="C581" s="1">
        <v>43629</v>
      </c>
      <c r="D581" s="6" t="s">
        <v>442</v>
      </c>
    </row>
    <row r="582" spans="1:4" x14ac:dyDescent="0.25">
      <c r="A582" t="s">
        <v>368</v>
      </c>
      <c r="B582">
        <v>24.256292906178505</v>
      </c>
      <c r="C582" s="1">
        <v>43629</v>
      </c>
      <c r="D582" s="6" t="s">
        <v>442</v>
      </c>
    </row>
    <row r="583" spans="1:4" x14ac:dyDescent="0.25">
      <c r="A583" t="s">
        <v>369</v>
      </c>
      <c r="B583">
        <v>19.258373205741623</v>
      </c>
      <c r="C583" s="1">
        <v>43629</v>
      </c>
      <c r="D583" s="6" t="s">
        <v>442</v>
      </c>
    </row>
    <row r="584" spans="1:4" x14ac:dyDescent="0.25">
      <c r="A584" t="s">
        <v>218</v>
      </c>
      <c r="B584">
        <v>11.425576519916142</v>
      </c>
      <c r="C584" s="1">
        <v>43630</v>
      </c>
      <c r="D584" s="6" t="s">
        <v>442</v>
      </c>
    </row>
    <row r="585" spans="1:4" x14ac:dyDescent="0.25">
      <c r="A585" t="s">
        <v>219</v>
      </c>
      <c r="B585">
        <v>14.777777777777779</v>
      </c>
      <c r="C585" s="1">
        <v>43630</v>
      </c>
      <c r="D585" s="6" t="s">
        <v>442</v>
      </c>
    </row>
    <row r="586" spans="1:4" x14ac:dyDescent="0.25">
      <c r="A586" t="s">
        <v>220</v>
      </c>
      <c r="B586">
        <v>13.461538461538455</v>
      </c>
      <c r="C586" s="1">
        <v>43630</v>
      </c>
      <c r="D586" s="6" t="s">
        <v>442</v>
      </c>
    </row>
    <row r="587" spans="1:4" x14ac:dyDescent="0.25">
      <c r="A587" t="s">
        <v>226</v>
      </c>
      <c r="B587">
        <v>12.473347547974415</v>
      </c>
      <c r="C587" s="1">
        <v>43630</v>
      </c>
      <c r="D587" s="6" t="s">
        <v>442</v>
      </c>
    </row>
    <row r="588" spans="1:4" x14ac:dyDescent="0.25">
      <c r="A588" t="s">
        <v>227</v>
      </c>
      <c r="B588">
        <v>12.035995500562434</v>
      </c>
      <c r="C588" s="1">
        <v>43630</v>
      </c>
      <c r="D588" s="6" t="s">
        <v>442</v>
      </c>
    </row>
    <row r="589" spans="1:4" x14ac:dyDescent="0.25">
      <c r="A589" t="s">
        <v>228</v>
      </c>
      <c r="B589">
        <v>9.650924024640652</v>
      </c>
      <c r="C589" s="1">
        <v>43630</v>
      </c>
      <c r="D589" s="6" t="s">
        <v>442</v>
      </c>
    </row>
    <row r="590" spans="1:4" x14ac:dyDescent="0.25">
      <c r="A590" t="s">
        <v>370</v>
      </c>
      <c r="B590">
        <v>12.004405286343609</v>
      </c>
      <c r="C590" s="1">
        <v>43630</v>
      </c>
      <c r="D590" s="6" t="s">
        <v>442</v>
      </c>
    </row>
    <row r="591" spans="1:4" x14ac:dyDescent="0.25">
      <c r="A591" t="s">
        <v>371</v>
      </c>
      <c r="B591">
        <v>8.2251082251082224</v>
      </c>
      <c r="C591" s="1">
        <v>43630</v>
      </c>
      <c r="D591" s="6" t="s">
        <v>442</v>
      </c>
    </row>
    <row r="592" spans="1:4" x14ac:dyDescent="0.25">
      <c r="A592" t="s">
        <v>372</v>
      </c>
      <c r="B592">
        <v>10.153846153846157</v>
      </c>
      <c r="C592" s="1">
        <v>43630</v>
      </c>
      <c r="D592" s="6" t="s">
        <v>442</v>
      </c>
    </row>
    <row r="593" spans="1:4" x14ac:dyDescent="0.25">
      <c r="A593" t="s">
        <v>392</v>
      </c>
      <c r="B593">
        <v>20.748299319727892</v>
      </c>
      <c r="C593" s="1">
        <v>43634</v>
      </c>
      <c r="D593" s="6" t="s">
        <v>442</v>
      </c>
    </row>
    <row r="594" spans="1:4" x14ac:dyDescent="0.25">
      <c r="A594" t="s">
        <v>393</v>
      </c>
      <c r="B594">
        <v>21.462264150943401</v>
      </c>
      <c r="C594" s="1">
        <v>43634</v>
      </c>
      <c r="D594" s="6" t="s">
        <v>442</v>
      </c>
    </row>
    <row r="595" spans="1:4" x14ac:dyDescent="0.25">
      <c r="A595" t="s">
        <v>394</v>
      </c>
      <c r="B595">
        <v>22.196261682242998</v>
      </c>
      <c r="C595" s="1">
        <v>43634</v>
      </c>
      <c r="D595" s="6" t="s">
        <v>442</v>
      </c>
    </row>
    <row r="596" spans="1:4" x14ac:dyDescent="0.25">
      <c r="A596" t="s">
        <v>395</v>
      </c>
      <c r="B596">
        <v>19.716646989374258</v>
      </c>
      <c r="C596" s="1">
        <v>43634</v>
      </c>
      <c r="D596" s="6" t="s">
        <v>442</v>
      </c>
    </row>
    <row r="597" spans="1:4" x14ac:dyDescent="0.25">
      <c r="A597" t="s">
        <v>396</v>
      </c>
      <c r="B597">
        <v>21.807228915662655</v>
      </c>
      <c r="C597" s="1">
        <v>43634</v>
      </c>
      <c r="D597" s="6" t="s">
        <v>442</v>
      </c>
    </row>
    <row r="598" spans="1:4" x14ac:dyDescent="0.25">
      <c r="A598" t="s">
        <v>397</v>
      </c>
      <c r="B598">
        <v>21.454112038140654</v>
      </c>
      <c r="C598" s="1">
        <v>43634</v>
      </c>
      <c r="D598" s="6" t="s">
        <v>442</v>
      </c>
    </row>
    <row r="599" spans="1:4" x14ac:dyDescent="0.25">
      <c r="A599" t="s">
        <v>398</v>
      </c>
      <c r="B599">
        <v>21.058823529411754</v>
      </c>
      <c r="C599" s="1">
        <v>43634</v>
      </c>
      <c r="D599" s="6" t="s">
        <v>442</v>
      </c>
    </row>
    <row r="600" spans="1:4" x14ac:dyDescent="0.25">
      <c r="A600" t="s">
        <v>399</v>
      </c>
      <c r="B600">
        <v>21.36953955135774</v>
      </c>
      <c r="C600" s="1">
        <v>43634</v>
      </c>
      <c r="D600" s="6" t="s">
        <v>442</v>
      </c>
    </row>
    <row r="601" spans="1:4" x14ac:dyDescent="0.25">
      <c r="A601" t="s">
        <v>400</v>
      </c>
      <c r="B601">
        <v>20.441347270615562</v>
      </c>
      <c r="C601" s="1">
        <v>43634</v>
      </c>
      <c r="D601" s="6" t="s">
        <v>442</v>
      </c>
    </row>
    <row r="602" spans="1:4" x14ac:dyDescent="0.25">
      <c r="A602" t="s">
        <v>401</v>
      </c>
      <c r="B602">
        <v>19.975786924939474</v>
      </c>
      <c r="C602" s="1">
        <v>43634</v>
      </c>
      <c r="D602" s="6" t="s">
        <v>442</v>
      </c>
    </row>
    <row r="603" spans="1:4" x14ac:dyDescent="0.25">
      <c r="A603" t="s">
        <v>402</v>
      </c>
      <c r="B603">
        <v>19.208381839348064</v>
      </c>
      <c r="C603" s="1">
        <v>43634</v>
      </c>
      <c r="D603" s="6" t="s">
        <v>442</v>
      </c>
    </row>
    <row r="604" spans="1:4" x14ac:dyDescent="0.25">
      <c r="A604" t="s">
        <v>403</v>
      </c>
      <c r="B604">
        <v>19.674039580908026</v>
      </c>
      <c r="C604" s="1">
        <v>43634</v>
      </c>
      <c r="D604" s="6" t="s">
        <v>442</v>
      </c>
    </row>
    <row r="605" spans="1:4" x14ac:dyDescent="0.25">
      <c r="A605" t="s">
        <v>404</v>
      </c>
      <c r="B605">
        <v>15.426105717367852</v>
      </c>
      <c r="C605" s="1">
        <v>43634</v>
      </c>
      <c r="D605" s="6" t="s">
        <v>442</v>
      </c>
    </row>
    <row r="606" spans="1:4" x14ac:dyDescent="0.25">
      <c r="A606" t="s">
        <v>405</v>
      </c>
      <c r="B606">
        <v>16.919486581096841</v>
      </c>
      <c r="C606" s="1">
        <v>43634</v>
      </c>
      <c r="D606" s="6" t="s">
        <v>442</v>
      </c>
    </row>
    <row r="607" spans="1:4" x14ac:dyDescent="0.25">
      <c r="A607" t="s">
        <v>406</v>
      </c>
      <c r="B607">
        <v>17.752808988764048</v>
      </c>
      <c r="C607" s="1">
        <v>43634</v>
      </c>
      <c r="D607" s="6" t="s">
        <v>442</v>
      </c>
    </row>
    <row r="608" spans="1:4" x14ac:dyDescent="0.25">
      <c r="A608" t="s">
        <v>407</v>
      </c>
      <c r="B608">
        <v>17.694063926940622</v>
      </c>
      <c r="C608" s="1">
        <v>43634</v>
      </c>
      <c r="D608" s="6" t="s">
        <v>442</v>
      </c>
    </row>
    <row r="609" spans="1:4" x14ac:dyDescent="0.25">
      <c r="A609" t="s">
        <v>408</v>
      </c>
      <c r="B609">
        <v>18.791946308724832</v>
      </c>
      <c r="C609" s="1">
        <v>43634</v>
      </c>
      <c r="D609" s="6" t="s">
        <v>442</v>
      </c>
    </row>
    <row r="610" spans="1:4" x14ac:dyDescent="0.25">
      <c r="A610" t="s">
        <v>409</v>
      </c>
      <c r="B610">
        <v>14.067611777535433</v>
      </c>
      <c r="C610" s="1">
        <v>43634</v>
      </c>
      <c r="D610" s="6" t="s">
        <v>442</v>
      </c>
    </row>
    <row r="611" spans="1:4" x14ac:dyDescent="0.25">
      <c r="A611" t="s">
        <v>250</v>
      </c>
      <c r="B611">
        <v>14.523281596452334</v>
      </c>
      <c r="C611" s="1">
        <v>43623</v>
      </c>
      <c r="D611" s="6" t="s">
        <v>442</v>
      </c>
    </row>
    <row r="612" spans="1:4" x14ac:dyDescent="0.25">
      <c r="A612" t="s">
        <v>251</v>
      </c>
      <c r="B612">
        <v>11.480686695278953</v>
      </c>
      <c r="C612" s="1">
        <v>43623</v>
      </c>
      <c r="D612" s="6" t="s">
        <v>442</v>
      </c>
    </row>
    <row r="613" spans="1:4" x14ac:dyDescent="0.25">
      <c r="A613" t="s">
        <v>252</v>
      </c>
      <c r="B613">
        <v>14.044350580781417</v>
      </c>
      <c r="C613" s="1">
        <v>43623</v>
      </c>
      <c r="D613" s="6" t="s">
        <v>442</v>
      </c>
    </row>
    <row r="614" spans="1:4" x14ac:dyDescent="0.25">
      <c r="A614" t="s">
        <v>254</v>
      </c>
      <c r="B614">
        <v>14.569536423841065</v>
      </c>
      <c r="C614" s="1">
        <v>43623</v>
      </c>
      <c r="D614" s="6" t="s">
        <v>442</v>
      </c>
    </row>
    <row r="615" spans="1:4" x14ac:dyDescent="0.25">
      <c r="A615" t="s">
        <v>255</v>
      </c>
      <c r="B615">
        <v>14.626218851570961</v>
      </c>
      <c r="C615" s="1">
        <v>43623</v>
      </c>
      <c r="D615" s="6" t="s">
        <v>442</v>
      </c>
    </row>
    <row r="616" spans="1:4" x14ac:dyDescent="0.25">
      <c r="A616" t="s">
        <v>256</v>
      </c>
      <c r="B616">
        <v>13.107344632768363</v>
      </c>
      <c r="C616" s="1">
        <v>43623</v>
      </c>
      <c r="D616" s="6" t="s">
        <v>442</v>
      </c>
    </row>
    <row r="617" spans="1:4" x14ac:dyDescent="0.25">
      <c r="A617" t="s">
        <v>258</v>
      </c>
      <c r="B617">
        <v>12.931995540691196</v>
      </c>
      <c r="C617" s="1">
        <v>43623</v>
      </c>
      <c r="D617" s="6" t="s">
        <v>442</v>
      </c>
    </row>
    <row r="618" spans="1:4" x14ac:dyDescent="0.25">
      <c r="A618" t="s">
        <v>259</v>
      </c>
      <c r="B618">
        <v>11.796536796536817</v>
      </c>
      <c r="C618" s="1">
        <v>43623</v>
      </c>
      <c r="D618" s="6" t="s">
        <v>442</v>
      </c>
    </row>
    <row r="619" spans="1:4" x14ac:dyDescent="0.25">
      <c r="A619" t="s">
        <v>260</v>
      </c>
      <c r="B619">
        <v>14.835787089467708</v>
      </c>
      <c r="C619" s="1">
        <v>43623</v>
      </c>
      <c r="D619" s="6" t="s">
        <v>442</v>
      </c>
    </row>
    <row r="620" spans="1:4" x14ac:dyDescent="0.25">
      <c r="A620" t="s">
        <v>358</v>
      </c>
      <c r="B620">
        <v>13.781697905181916</v>
      </c>
      <c r="C620" s="1">
        <v>43623</v>
      </c>
      <c r="D620" s="6" t="s">
        <v>442</v>
      </c>
    </row>
    <row r="621" spans="1:4" x14ac:dyDescent="0.25">
      <c r="A621" t="s">
        <v>359</v>
      </c>
      <c r="B621">
        <v>15.538290788013324</v>
      </c>
      <c r="C621" s="1">
        <v>43623</v>
      </c>
      <c r="D621" s="6" t="s">
        <v>442</v>
      </c>
    </row>
    <row r="622" spans="1:4" x14ac:dyDescent="0.25">
      <c r="A622" t="s">
        <v>360</v>
      </c>
      <c r="B622">
        <v>16.279069767441861</v>
      </c>
      <c r="C622" s="1">
        <v>43623</v>
      </c>
      <c r="D622" s="6" t="s">
        <v>442</v>
      </c>
    </row>
    <row r="623" spans="1:4" x14ac:dyDescent="0.25">
      <c r="A623" s="2" t="s">
        <v>373</v>
      </c>
      <c r="B623">
        <v>9.8913043478260896</v>
      </c>
      <c r="C623" s="1">
        <v>43675</v>
      </c>
      <c r="D623" s="6" t="s">
        <v>443</v>
      </c>
    </row>
    <row r="624" spans="1:4" x14ac:dyDescent="0.25">
      <c r="A624" s="2" t="s">
        <v>374</v>
      </c>
      <c r="B624">
        <v>10.11470281543275</v>
      </c>
      <c r="C624" s="1">
        <v>43675</v>
      </c>
      <c r="D624" s="6" t="s">
        <v>443</v>
      </c>
    </row>
    <row r="625" spans="1:4" x14ac:dyDescent="0.25">
      <c r="A625" s="2" t="s">
        <v>375</v>
      </c>
      <c r="B625">
        <v>8.4375000000000053</v>
      </c>
      <c r="C625" s="1">
        <v>43675</v>
      </c>
      <c r="D625" s="6" t="s">
        <v>443</v>
      </c>
    </row>
    <row r="626" spans="1:4" x14ac:dyDescent="0.25">
      <c r="A626" s="2" t="s">
        <v>376</v>
      </c>
      <c r="B626">
        <v>12.665198237885445</v>
      </c>
      <c r="C626" s="1">
        <v>43675</v>
      </c>
      <c r="D626" s="6" t="s">
        <v>443</v>
      </c>
    </row>
    <row r="627" spans="1:4" x14ac:dyDescent="0.25">
      <c r="A627" s="2" t="s">
        <v>377</v>
      </c>
      <c r="B627">
        <v>9.6436058700209646</v>
      </c>
      <c r="C627" s="1">
        <v>43675</v>
      </c>
      <c r="D627" s="6" t="s">
        <v>443</v>
      </c>
    </row>
    <row r="628" spans="1:4" x14ac:dyDescent="0.25">
      <c r="A628" s="2" t="s">
        <v>378</v>
      </c>
      <c r="B628">
        <v>10.958904109589032</v>
      </c>
      <c r="C628" s="1">
        <v>43675</v>
      </c>
      <c r="D628" s="6" t="s">
        <v>443</v>
      </c>
    </row>
    <row r="629" spans="1:4" x14ac:dyDescent="0.25">
      <c r="A629" s="2" t="s">
        <v>379</v>
      </c>
      <c r="B629">
        <v>14.332965821389202</v>
      </c>
      <c r="C629" s="1">
        <v>43675</v>
      </c>
      <c r="D629" s="6" t="s">
        <v>443</v>
      </c>
    </row>
    <row r="630" spans="1:4" x14ac:dyDescent="0.25">
      <c r="A630" s="2" t="s">
        <v>380</v>
      </c>
      <c r="B630">
        <v>11.371237458193976</v>
      </c>
      <c r="C630" s="1">
        <v>43675</v>
      </c>
      <c r="D630" s="6" t="s">
        <v>443</v>
      </c>
    </row>
    <row r="631" spans="1:4" x14ac:dyDescent="0.25">
      <c r="A631" s="2" t="s">
        <v>381</v>
      </c>
      <c r="B631">
        <v>15.565509518477031</v>
      </c>
      <c r="C631" s="1">
        <v>43675</v>
      </c>
      <c r="D631" s="6" t="s">
        <v>443</v>
      </c>
    </row>
    <row r="632" spans="1:4" x14ac:dyDescent="0.25">
      <c r="A632" s="2" t="s">
        <v>382</v>
      </c>
      <c r="B632">
        <v>4.0041067761806852</v>
      </c>
      <c r="C632" s="1">
        <v>43675</v>
      </c>
      <c r="D632" s="6" t="s">
        <v>443</v>
      </c>
    </row>
    <row r="633" spans="1:4" x14ac:dyDescent="0.25">
      <c r="A633" s="2" t="s">
        <v>383</v>
      </c>
      <c r="B633">
        <v>3.1007751937984351</v>
      </c>
      <c r="C633" s="1">
        <v>43675</v>
      </c>
      <c r="D633" s="6" t="s">
        <v>443</v>
      </c>
    </row>
    <row r="634" spans="1:4" x14ac:dyDescent="0.25">
      <c r="A634" s="2" t="s">
        <v>384</v>
      </c>
      <c r="B634">
        <v>2.2044088176352594</v>
      </c>
      <c r="C634" s="1">
        <v>43675</v>
      </c>
      <c r="D634" s="6" t="s">
        <v>443</v>
      </c>
    </row>
    <row r="635" spans="1:4" x14ac:dyDescent="0.25">
      <c r="A635" s="2" t="s">
        <v>385</v>
      </c>
      <c r="B635">
        <v>12.486308871851048</v>
      </c>
      <c r="C635" s="1">
        <v>43675</v>
      </c>
      <c r="D635" s="6" t="s">
        <v>443</v>
      </c>
    </row>
    <row r="636" spans="1:4" x14ac:dyDescent="0.25">
      <c r="A636" s="2" t="s">
        <v>386</v>
      </c>
      <c r="B636">
        <v>8.0889787664307455</v>
      </c>
      <c r="C636" s="1">
        <v>43675</v>
      </c>
      <c r="D636" s="6" t="s">
        <v>443</v>
      </c>
    </row>
    <row r="637" spans="1:4" x14ac:dyDescent="0.25">
      <c r="A637" s="2" t="s">
        <v>387</v>
      </c>
      <c r="B637">
        <v>18.999999999999989</v>
      </c>
      <c r="C637" s="1">
        <v>43675</v>
      </c>
      <c r="D637" s="6" t="s">
        <v>443</v>
      </c>
    </row>
    <row r="638" spans="1:4" x14ac:dyDescent="0.25">
      <c r="A638" s="2" t="s">
        <v>388</v>
      </c>
      <c r="B638">
        <v>22.274881516587662</v>
      </c>
      <c r="C638" s="1">
        <v>43675</v>
      </c>
      <c r="D638" s="6" t="s">
        <v>443</v>
      </c>
    </row>
    <row r="639" spans="1:4" x14ac:dyDescent="0.25">
      <c r="A639" s="2" t="s">
        <v>389</v>
      </c>
      <c r="B639">
        <v>18.683901292596943</v>
      </c>
      <c r="C639" s="1">
        <v>43675</v>
      </c>
      <c r="D639" s="6" t="s">
        <v>443</v>
      </c>
    </row>
    <row r="640" spans="1:4" x14ac:dyDescent="0.25">
      <c r="A640" s="2" t="s">
        <v>390</v>
      </c>
      <c r="B640">
        <v>10.370370370370376</v>
      </c>
      <c r="C640" s="1">
        <v>43675</v>
      </c>
      <c r="D640" s="6" t="s">
        <v>443</v>
      </c>
    </row>
    <row r="641" spans="1:4" x14ac:dyDescent="0.25">
      <c r="A641" s="2" t="s">
        <v>151</v>
      </c>
      <c r="B641">
        <v>3.7267080745341552</v>
      </c>
      <c r="C641" s="1">
        <v>43675</v>
      </c>
      <c r="D641" s="6" t="s">
        <v>443</v>
      </c>
    </row>
    <row r="642" spans="1:4" x14ac:dyDescent="0.25">
      <c r="A642" s="2" t="s">
        <v>152</v>
      </c>
      <c r="B642">
        <v>2.5100401606425704</v>
      </c>
      <c r="C642" s="1">
        <v>43675</v>
      </c>
      <c r="D642" s="6" t="s">
        <v>443</v>
      </c>
    </row>
    <row r="643" spans="1:4" x14ac:dyDescent="0.25">
      <c r="A643" s="2" t="s">
        <v>153</v>
      </c>
      <c r="B643">
        <v>2.724520686175576</v>
      </c>
      <c r="C643" s="1">
        <v>43675</v>
      </c>
      <c r="D643" s="6" t="s">
        <v>443</v>
      </c>
    </row>
    <row r="644" spans="1:4" x14ac:dyDescent="0.25">
      <c r="A644" s="2" t="s">
        <v>410</v>
      </c>
      <c r="B644">
        <v>7.5773745997865625</v>
      </c>
      <c r="C644" s="1">
        <v>43669</v>
      </c>
      <c r="D644" s="6" t="s">
        <v>443</v>
      </c>
    </row>
    <row r="645" spans="1:4" x14ac:dyDescent="0.25">
      <c r="A645" s="2" t="s">
        <v>411</v>
      </c>
      <c r="B645">
        <v>7.684529828109218</v>
      </c>
      <c r="C645" s="1">
        <v>43669</v>
      </c>
      <c r="D645" s="6" t="s">
        <v>443</v>
      </c>
    </row>
    <row r="646" spans="1:4" x14ac:dyDescent="0.25">
      <c r="A646" s="2" t="s">
        <v>412</v>
      </c>
      <c r="B646">
        <v>8.5245901639344392</v>
      </c>
      <c r="C646" s="1">
        <v>43669</v>
      </c>
      <c r="D646" s="6" t="s">
        <v>443</v>
      </c>
    </row>
    <row r="647" spans="1:4" x14ac:dyDescent="0.25">
      <c r="A647" s="2" t="s">
        <v>413</v>
      </c>
      <c r="B647">
        <v>3.8345105953582141</v>
      </c>
      <c r="C647" s="1">
        <v>43669</v>
      </c>
      <c r="D647" s="6" t="s">
        <v>443</v>
      </c>
    </row>
    <row r="648" spans="1:4" x14ac:dyDescent="0.25">
      <c r="A648" s="2" t="s">
        <v>414</v>
      </c>
      <c r="B648">
        <v>3.4381139489194465</v>
      </c>
      <c r="C648" s="1">
        <v>43669</v>
      </c>
      <c r="D648" s="6" t="s">
        <v>443</v>
      </c>
    </row>
    <row r="649" spans="1:4" x14ac:dyDescent="0.25">
      <c r="A649" s="2" t="s">
        <v>415</v>
      </c>
      <c r="B649">
        <v>4.4979079497907932</v>
      </c>
      <c r="C649" s="1">
        <v>43669</v>
      </c>
      <c r="D649" s="6" t="s">
        <v>443</v>
      </c>
    </row>
    <row r="650" spans="1:4" x14ac:dyDescent="0.25">
      <c r="A650" s="2" t="s">
        <v>416</v>
      </c>
      <c r="B650">
        <v>2.6845637583892556</v>
      </c>
      <c r="C650" s="1">
        <v>43669</v>
      </c>
      <c r="D650" s="6" t="s">
        <v>443</v>
      </c>
    </row>
    <row r="651" spans="1:4" x14ac:dyDescent="0.25">
      <c r="A651" s="2" t="s">
        <v>417</v>
      </c>
      <c r="B651">
        <v>4.9230769230769091</v>
      </c>
      <c r="C651" s="1">
        <v>43669</v>
      </c>
      <c r="D651" s="6" t="s">
        <v>443</v>
      </c>
    </row>
    <row r="652" spans="1:4" x14ac:dyDescent="0.25">
      <c r="A652" s="2" t="s">
        <v>418</v>
      </c>
      <c r="B652">
        <v>4.150197628458498</v>
      </c>
      <c r="C652" s="1">
        <v>43669</v>
      </c>
      <c r="D652" s="6" t="s">
        <v>443</v>
      </c>
    </row>
    <row r="653" spans="1:4" x14ac:dyDescent="0.25">
      <c r="A653" s="2" t="s">
        <v>419</v>
      </c>
      <c r="B653">
        <v>1.3972055888223609</v>
      </c>
      <c r="C653" s="1">
        <v>43669</v>
      </c>
      <c r="D653" s="6" t="s">
        <v>443</v>
      </c>
    </row>
    <row r="654" spans="1:4" x14ac:dyDescent="0.25">
      <c r="A654" s="2" t="s">
        <v>420</v>
      </c>
      <c r="B654">
        <v>1.7612524461839505</v>
      </c>
      <c r="C654" s="1">
        <v>43669</v>
      </c>
      <c r="D654" s="6" t="s">
        <v>443</v>
      </c>
    </row>
    <row r="655" spans="1:4" x14ac:dyDescent="0.25">
      <c r="A655" s="2" t="s">
        <v>421</v>
      </c>
      <c r="B655">
        <v>2.9116465863453724</v>
      </c>
      <c r="C655" s="1">
        <v>43669</v>
      </c>
      <c r="D655" s="6" t="s">
        <v>443</v>
      </c>
    </row>
    <row r="656" spans="1:4" x14ac:dyDescent="0.25">
      <c r="A656" s="2" t="s">
        <v>422</v>
      </c>
      <c r="B656">
        <v>4.7276464542651677</v>
      </c>
      <c r="C656" s="1">
        <v>43667</v>
      </c>
      <c r="D656" s="6" t="s">
        <v>443</v>
      </c>
    </row>
    <row r="657" spans="1:4" x14ac:dyDescent="0.25">
      <c r="A657" s="2" t="s">
        <v>423</v>
      </c>
      <c r="B657">
        <v>2.4061597690086622</v>
      </c>
      <c r="C657" s="1">
        <v>43667</v>
      </c>
      <c r="D657" s="6" t="s">
        <v>443</v>
      </c>
    </row>
    <row r="658" spans="1:4" x14ac:dyDescent="0.25">
      <c r="A658" s="2" t="s">
        <v>424</v>
      </c>
      <c r="B658">
        <v>3.264094955489615</v>
      </c>
      <c r="C658" s="1">
        <v>43667</v>
      </c>
      <c r="D658" s="6" t="s">
        <v>443</v>
      </c>
    </row>
    <row r="659" spans="1:4" x14ac:dyDescent="0.25">
      <c r="A659" s="2" t="s">
        <v>425</v>
      </c>
      <c r="B659">
        <v>0.57803468208092967</v>
      </c>
      <c r="C659" s="1">
        <v>43667</v>
      </c>
      <c r="D659" s="6" t="s">
        <v>443</v>
      </c>
    </row>
    <row r="660" spans="1:4" x14ac:dyDescent="0.25">
      <c r="A660" s="2" t="s">
        <v>426</v>
      </c>
      <c r="B660">
        <v>0.59171597633136575</v>
      </c>
      <c r="C660" s="1">
        <v>43667</v>
      </c>
      <c r="D660" s="6" t="s">
        <v>443</v>
      </c>
    </row>
    <row r="661" spans="1:4" x14ac:dyDescent="0.25">
      <c r="A661" s="2" t="s">
        <v>427</v>
      </c>
      <c r="B661">
        <v>0.5899705014749137</v>
      </c>
      <c r="C661" s="1">
        <v>43667</v>
      </c>
      <c r="D661" s="6" t="s">
        <v>443</v>
      </c>
    </row>
    <row r="662" spans="1:4" x14ac:dyDescent="0.25">
      <c r="A662" s="2" t="s">
        <v>428</v>
      </c>
      <c r="B662">
        <v>0.46904315196997121</v>
      </c>
      <c r="C662" s="1">
        <v>43667</v>
      </c>
      <c r="D662" s="6" t="s">
        <v>443</v>
      </c>
    </row>
    <row r="663" spans="1:4" x14ac:dyDescent="0.25">
      <c r="A663" s="2" t="s">
        <v>429</v>
      </c>
      <c r="B663">
        <v>0.28957528957528339</v>
      </c>
      <c r="C663" s="1">
        <v>43667</v>
      </c>
      <c r="D663" s="6" t="s">
        <v>443</v>
      </c>
    </row>
    <row r="664" spans="1:4" x14ac:dyDescent="0.25">
      <c r="A664" s="2" t="s">
        <v>430</v>
      </c>
      <c r="B664">
        <v>0.29296875000001116</v>
      </c>
      <c r="C664" s="1">
        <v>43667</v>
      </c>
      <c r="D664" s="6" t="s">
        <v>443</v>
      </c>
    </row>
    <row r="665" spans="1:4" x14ac:dyDescent="0.25">
      <c r="A665" s="2" t="s">
        <v>431</v>
      </c>
      <c r="B665">
        <v>5.2959501557632382</v>
      </c>
      <c r="C665" s="1">
        <v>43670</v>
      </c>
      <c r="D665" s="6" t="s">
        <v>443</v>
      </c>
    </row>
    <row r="666" spans="1:4" x14ac:dyDescent="0.25">
      <c r="A666" s="2" t="s">
        <v>432</v>
      </c>
      <c r="B666">
        <v>6.9182389937106947</v>
      </c>
      <c r="C666" s="1">
        <v>43670</v>
      </c>
      <c r="D666" s="6" t="s">
        <v>443</v>
      </c>
    </row>
    <row r="667" spans="1:4" x14ac:dyDescent="0.25">
      <c r="A667" s="2" t="s">
        <v>433</v>
      </c>
      <c r="B667">
        <v>5.4910242872228237</v>
      </c>
      <c r="C667" s="1">
        <v>43670</v>
      </c>
      <c r="D667" s="6" t="s">
        <v>443</v>
      </c>
    </row>
    <row r="668" spans="1:4" x14ac:dyDescent="0.25">
      <c r="A668" s="2" t="s">
        <v>434</v>
      </c>
      <c r="B668">
        <v>4.7468354430379662</v>
      </c>
      <c r="C668" s="1">
        <v>43670</v>
      </c>
      <c r="D668" s="6" t="s">
        <v>443</v>
      </c>
    </row>
    <row r="669" spans="1:4" x14ac:dyDescent="0.25">
      <c r="A669" s="2" t="s">
        <v>435</v>
      </c>
      <c r="B669">
        <v>15.401540154015406</v>
      </c>
      <c r="C669" s="1">
        <v>43670</v>
      </c>
      <c r="D669" s="6" t="s">
        <v>443</v>
      </c>
    </row>
    <row r="670" spans="1:4" x14ac:dyDescent="0.25">
      <c r="A670" s="2" t="s">
        <v>436</v>
      </c>
      <c r="B670">
        <v>15.22491349480967</v>
      </c>
      <c r="C670" s="1">
        <v>43670</v>
      </c>
      <c r="D670" s="6" t="s">
        <v>443</v>
      </c>
    </row>
    <row r="671" spans="1:4" x14ac:dyDescent="0.25">
      <c r="A671" s="2" t="s">
        <v>437</v>
      </c>
      <c r="B671">
        <v>12.406417112299465</v>
      </c>
      <c r="C671" s="1">
        <v>43670</v>
      </c>
      <c r="D671" s="6" t="s">
        <v>443</v>
      </c>
    </row>
    <row r="672" spans="1:4" x14ac:dyDescent="0.25">
      <c r="A672" s="2" t="s">
        <v>438</v>
      </c>
      <c r="B672">
        <v>11.015118790496755</v>
      </c>
      <c r="C672" s="1">
        <v>43670</v>
      </c>
      <c r="D672" s="6" t="s">
        <v>443</v>
      </c>
    </row>
    <row r="673" spans="1:4" x14ac:dyDescent="0.25">
      <c r="A673" s="2" t="s">
        <v>439</v>
      </c>
      <c r="B673">
        <v>12.869198312236275</v>
      </c>
      <c r="C673" s="1">
        <v>43670</v>
      </c>
      <c r="D673" s="6" t="s">
        <v>443</v>
      </c>
    </row>
    <row r="674" spans="1:4" x14ac:dyDescent="0.25">
      <c r="A674" s="2" t="s">
        <v>208</v>
      </c>
      <c r="B674">
        <v>1.744186046511625</v>
      </c>
      <c r="C674" s="1">
        <v>43668</v>
      </c>
      <c r="D674" s="6" t="s">
        <v>443</v>
      </c>
    </row>
    <row r="675" spans="1:4" x14ac:dyDescent="0.25">
      <c r="A675" s="2" t="s">
        <v>209</v>
      </c>
      <c r="B675">
        <v>1.4256619144602727</v>
      </c>
      <c r="C675" s="1">
        <v>43668</v>
      </c>
      <c r="D675" s="6" t="s">
        <v>443</v>
      </c>
    </row>
    <row r="676" spans="1:4" x14ac:dyDescent="0.25">
      <c r="A676" s="2" t="s">
        <v>210</v>
      </c>
      <c r="B676">
        <v>4.0794979079497971</v>
      </c>
      <c r="C676" s="1">
        <v>43668</v>
      </c>
      <c r="D676" s="6" t="s">
        <v>443</v>
      </c>
    </row>
    <row r="677" spans="1:4" x14ac:dyDescent="0.25">
      <c r="A677" s="2" t="s">
        <v>212</v>
      </c>
      <c r="B677">
        <v>5.4835493519441751</v>
      </c>
      <c r="C677" s="1">
        <v>43668</v>
      </c>
      <c r="D677" s="6" t="s">
        <v>443</v>
      </c>
    </row>
    <row r="678" spans="1:4" x14ac:dyDescent="0.25">
      <c r="A678" s="2" t="s">
        <v>262</v>
      </c>
      <c r="B678">
        <v>2.246093750000004</v>
      </c>
      <c r="C678" s="1">
        <v>43668</v>
      </c>
      <c r="D678" s="6" t="s">
        <v>443</v>
      </c>
    </row>
    <row r="679" spans="1:4" x14ac:dyDescent="0.25">
      <c r="A679" s="2" t="s">
        <v>213</v>
      </c>
      <c r="B679">
        <v>2.7053140096618296</v>
      </c>
      <c r="C679" s="1">
        <v>43668</v>
      </c>
      <c r="D679" s="6" t="s">
        <v>443</v>
      </c>
    </row>
    <row r="680" spans="1:4" x14ac:dyDescent="0.25">
      <c r="A680" s="2" t="s">
        <v>215</v>
      </c>
      <c r="B680">
        <v>2.2335025380710727</v>
      </c>
      <c r="C680" s="1">
        <v>43668</v>
      </c>
      <c r="D680" s="6" t="s">
        <v>443</v>
      </c>
    </row>
    <row r="681" spans="1:4" x14ac:dyDescent="0.25">
      <c r="A681" s="2" t="s">
        <v>216</v>
      </c>
      <c r="B681">
        <v>2.6948989412897131</v>
      </c>
      <c r="C681" s="1">
        <v>43668</v>
      </c>
      <c r="D681" s="6" t="s">
        <v>443</v>
      </c>
    </row>
    <row r="682" spans="1:4" x14ac:dyDescent="0.25">
      <c r="A682" s="2" t="s">
        <v>217</v>
      </c>
      <c r="B682">
        <v>3.7832310838445724</v>
      </c>
      <c r="C682" s="1">
        <v>43668</v>
      </c>
      <c r="D682" s="6" t="s">
        <v>443</v>
      </c>
    </row>
    <row r="683" spans="1:4" x14ac:dyDescent="0.25">
      <c r="A683" s="2" t="s">
        <v>361</v>
      </c>
      <c r="B683">
        <v>15.978260869565226</v>
      </c>
      <c r="C683" s="1">
        <v>43671</v>
      </c>
      <c r="D683" s="6" t="s">
        <v>443</v>
      </c>
    </row>
    <row r="684" spans="1:4" x14ac:dyDescent="0.25">
      <c r="A684" s="2" t="s">
        <v>362</v>
      </c>
      <c r="B684">
        <v>16.538882803943046</v>
      </c>
      <c r="C684" s="1">
        <v>43671</v>
      </c>
      <c r="D684" s="6" t="s">
        <v>443</v>
      </c>
    </row>
    <row r="685" spans="1:4" x14ac:dyDescent="0.25">
      <c r="A685" s="2" t="s">
        <v>363</v>
      </c>
      <c r="B685">
        <v>14.735658042744662</v>
      </c>
      <c r="C685" s="1">
        <v>43671</v>
      </c>
      <c r="D685" s="6" t="s">
        <v>443</v>
      </c>
    </row>
    <row r="686" spans="1:4" x14ac:dyDescent="0.25">
      <c r="A686" s="2" t="s">
        <v>364</v>
      </c>
      <c r="B686">
        <v>13.748657357679928</v>
      </c>
      <c r="C686" s="1">
        <v>43671</v>
      </c>
      <c r="D686" s="6" t="s">
        <v>443</v>
      </c>
    </row>
    <row r="687" spans="1:4" x14ac:dyDescent="0.25">
      <c r="A687" s="2" t="s">
        <v>365</v>
      </c>
      <c r="B687">
        <v>16.260162601626021</v>
      </c>
      <c r="C687" s="1">
        <v>43671</v>
      </c>
      <c r="D687" s="6" t="s">
        <v>443</v>
      </c>
    </row>
    <row r="688" spans="1:4" x14ac:dyDescent="0.25">
      <c r="A688" s="2" t="s">
        <v>366</v>
      </c>
      <c r="B688">
        <v>14.578587699316619</v>
      </c>
      <c r="C688" s="1">
        <v>43671</v>
      </c>
      <c r="D688" s="6" t="s">
        <v>443</v>
      </c>
    </row>
    <row r="689" spans="1:4" x14ac:dyDescent="0.25">
      <c r="A689" s="2" t="s">
        <v>367</v>
      </c>
      <c r="B689">
        <v>13.289760348583865</v>
      </c>
      <c r="C689" s="1">
        <v>43671</v>
      </c>
      <c r="D689" s="6" t="s">
        <v>443</v>
      </c>
    </row>
    <row r="690" spans="1:4" x14ac:dyDescent="0.25">
      <c r="A690" s="2" t="s">
        <v>368</v>
      </c>
      <c r="B690">
        <v>21.103117505995201</v>
      </c>
      <c r="C690" s="1">
        <v>43671</v>
      </c>
      <c r="D690" s="6" t="s">
        <v>443</v>
      </c>
    </row>
    <row r="691" spans="1:4" x14ac:dyDescent="0.25">
      <c r="A691" s="2" t="s">
        <v>369</v>
      </c>
      <c r="B691">
        <v>15.935334872979222</v>
      </c>
      <c r="C691" s="1">
        <v>43671</v>
      </c>
      <c r="D691" s="6" t="s">
        <v>443</v>
      </c>
    </row>
    <row r="692" spans="1:4" x14ac:dyDescent="0.25">
      <c r="A692" s="2" t="s">
        <v>218</v>
      </c>
      <c r="B692">
        <v>3.7185929648241127</v>
      </c>
      <c r="C692" s="1">
        <v>43672</v>
      </c>
      <c r="D692" s="6" t="s">
        <v>443</v>
      </c>
    </row>
    <row r="693" spans="1:4" x14ac:dyDescent="0.25">
      <c r="A693" s="2" t="s">
        <v>219</v>
      </c>
      <c r="B693">
        <v>10.210526315789462</v>
      </c>
      <c r="C693" s="1">
        <v>43672</v>
      </c>
      <c r="D693" s="6" t="s">
        <v>443</v>
      </c>
    </row>
    <row r="694" spans="1:4" x14ac:dyDescent="0.25">
      <c r="A694" s="2" t="s">
        <v>220</v>
      </c>
      <c r="B694">
        <v>10.775862068965518</v>
      </c>
      <c r="C694" s="1">
        <v>43672</v>
      </c>
      <c r="D694" s="6" t="s">
        <v>443</v>
      </c>
    </row>
    <row r="695" spans="1:4" x14ac:dyDescent="0.25">
      <c r="A695" s="2" t="s">
        <v>226</v>
      </c>
      <c r="B695">
        <v>2.9743589743589656</v>
      </c>
      <c r="C695" s="1">
        <v>43672</v>
      </c>
      <c r="D695" s="6" t="s">
        <v>443</v>
      </c>
    </row>
    <row r="696" spans="1:4" x14ac:dyDescent="0.25">
      <c r="A696" s="2" t="s">
        <v>227</v>
      </c>
      <c r="B696">
        <v>3.0243902439024266</v>
      </c>
      <c r="C696" s="1">
        <v>43672</v>
      </c>
      <c r="D696" s="6" t="s">
        <v>443</v>
      </c>
    </row>
    <row r="697" spans="1:4" x14ac:dyDescent="0.25">
      <c r="A697" s="2" t="s">
        <v>228</v>
      </c>
      <c r="B697">
        <v>3.1098153547133167</v>
      </c>
      <c r="C697" s="1">
        <v>43672</v>
      </c>
      <c r="D697" s="6" t="s">
        <v>443</v>
      </c>
    </row>
    <row r="698" spans="1:4" x14ac:dyDescent="0.25">
      <c r="A698" s="2" t="s">
        <v>370</v>
      </c>
      <c r="B698">
        <v>2.4615384615384457</v>
      </c>
      <c r="C698" s="1">
        <v>43672</v>
      </c>
      <c r="D698" s="6" t="s">
        <v>443</v>
      </c>
    </row>
    <row r="699" spans="1:4" x14ac:dyDescent="0.25">
      <c r="A699" s="2" t="s">
        <v>371</v>
      </c>
      <c r="B699">
        <v>2.5252525252525255</v>
      </c>
      <c r="C699" s="1">
        <v>43672</v>
      </c>
      <c r="D699" s="6" t="s">
        <v>443</v>
      </c>
    </row>
    <row r="700" spans="1:4" x14ac:dyDescent="0.25">
      <c r="A700" s="2" t="s">
        <v>372</v>
      </c>
      <c r="B700">
        <v>2.3483365949119395</v>
      </c>
      <c r="C700" s="1">
        <v>43672</v>
      </c>
      <c r="D700" s="6" t="s">
        <v>443</v>
      </c>
    </row>
    <row r="701" spans="1:4" x14ac:dyDescent="0.25">
      <c r="A701" s="2" t="s">
        <v>392</v>
      </c>
      <c r="B701">
        <v>5.5093555093555215</v>
      </c>
      <c r="C701" s="1">
        <v>43676</v>
      </c>
      <c r="D701" s="6" t="s">
        <v>443</v>
      </c>
    </row>
    <row r="702" spans="1:4" x14ac:dyDescent="0.25">
      <c r="A702" s="2" t="s">
        <v>393</v>
      </c>
      <c r="B702">
        <v>5.6544502617801147</v>
      </c>
      <c r="C702" s="1">
        <v>43676</v>
      </c>
      <c r="D702" s="6" t="s">
        <v>443</v>
      </c>
    </row>
    <row r="703" spans="1:4" x14ac:dyDescent="0.25">
      <c r="A703" s="2" t="s">
        <v>394</v>
      </c>
      <c r="B703">
        <v>4.957805907173003</v>
      </c>
      <c r="C703" s="1">
        <v>43676</v>
      </c>
      <c r="D703" s="6" t="s">
        <v>443</v>
      </c>
    </row>
    <row r="704" spans="1:4" x14ac:dyDescent="0.25">
      <c r="A704" s="2" t="s">
        <v>395</v>
      </c>
      <c r="B704">
        <v>12.305986696230594</v>
      </c>
      <c r="C704" s="1">
        <v>43676</v>
      </c>
      <c r="D704" s="6" t="s">
        <v>443</v>
      </c>
    </row>
    <row r="705" spans="1:4" x14ac:dyDescent="0.25">
      <c r="A705" s="2" t="s">
        <v>396</v>
      </c>
      <c r="B705">
        <v>14.842903575297955</v>
      </c>
      <c r="C705" s="1">
        <v>43676</v>
      </c>
      <c r="D705" s="6" t="s">
        <v>443</v>
      </c>
    </row>
    <row r="706" spans="1:4" x14ac:dyDescent="0.25">
      <c r="A706" s="2" t="s">
        <v>397</v>
      </c>
      <c r="B706">
        <v>14.300960512273209</v>
      </c>
      <c r="C706" s="1">
        <v>43676</v>
      </c>
      <c r="D706" s="6" t="s">
        <v>443</v>
      </c>
    </row>
    <row r="707" spans="1:4" x14ac:dyDescent="0.25">
      <c r="A707" s="2" t="s">
        <v>398</v>
      </c>
      <c r="B707">
        <v>17.009132420091326</v>
      </c>
      <c r="C707" s="1">
        <v>43676</v>
      </c>
      <c r="D707" s="6" t="s">
        <v>443</v>
      </c>
    </row>
    <row r="708" spans="1:4" x14ac:dyDescent="0.25">
      <c r="A708" s="2" t="s">
        <v>399</v>
      </c>
      <c r="B708">
        <v>15.841584158415836</v>
      </c>
      <c r="C708" s="1">
        <v>43676</v>
      </c>
      <c r="D708" s="6" t="s">
        <v>443</v>
      </c>
    </row>
    <row r="709" spans="1:4" x14ac:dyDescent="0.25">
      <c r="A709" s="2" t="s">
        <v>400</v>
      </c>
      <c r="B709">
        <v>23.364485981308412</v>
      </c>
      <c r="C709" s="1">
        <v>43676</v>
      </c>
      <c r="D709" s="6" t="s">
        <v>443</v>
      </c>
    </row>
    <row r="710" spans="1:4" x14ac:dyDescent="0.25">
      <c r="A710" s="2" t="s">
        <v>401</v>
      </c>
      <c r="B710">
        <v>18.235294117647047</v>
      </c>
      <c r="C710" s="1">
        <v>43676</v>
      </c>
      <c r="D710" s="6" t="s">
        <v>443</v>
      </c>
    </row>
    <row r="711" spans="1:4" x14ac:dyDescent="0.25">
      <c r="A711" s="2" t="s">
        <v>402</v>
      </c>
      <c r="B711">
        <v>12.098501070663801</v>
      </c>
      <c r="C711" s="1">
        <v>43676</v>
      </c>
      <c r="D711" s="6" t="s">
        <v>443</v>
      </c>
    </row>
    <row r="712" spans="1:4" x14ac:dyDescent="0.25">
      <c r="A712" s="2" t="s">
        <v>403</v>
      </c>
      <c r="B712">
        <v>20.118343195266284</v>
      </c>
      <c r="C712" s="1">
        <v>43676</v>
      </c>
      <c r="D712" s="6" t="s">
        <v>443</v>
      </c>
    </row>
    <row r="713" spans="1:4" x14ac:dyDescent="0.25">
      <c r="A713" s="2" t="s">
        <v>404</v>
      </c>
      <c r="B713">
        <v>3.7328094302554105</v>
      </c>
      <c r="C713" s="1">
        <v>43676</v>
      </c>
      <c r="D713" s="6" t="s">
        <v>443</v>
      </c>
    </row>
    <row r="714" spans="1:4" x14ac:dyDescent="0.25">
      <c r="A714" s="2" t="s">
        <v>405</v>
      </c>
      <c r="B714">
        <v>3.6417322834645591</v>
      </c>
      <c r="C714" s="1">
        <v>43676</v>
      </c>
      <c r="D714" s="6" t="s">
        <v>443</v>
      </c>
    </row>
    <row r="715" spans="1:4" x14ac:dyDescent="0.25">
      <c r="A715" s="2" t="s">
        <v>406</v>
      </c>
      <c r="B715">
        <v>4.9800796812749004</v>
      </c>
      <c r="C715" s="1">
        <v>43676</v>
      </c>
      <c r="D715" s="6" t="s">
        <v>443</v>
      </c>
    </row>
    <row r="716" spans="1:4" x14ac:dyDescent="0.25">
      <c r="A716" s="2" t="s">
        <v>407</v>
      </c>
      <c r="B716">
        <v>19.163763066202097</v>
      </c>
      <c r="C716" s="1">
        <v>43676</v>
      </c>
      <c r="D716" s="6" t="s">
        <v>443</v>
      </c>
    </row>
    <row r="717" spans="1:4" x14ac:dyDescent="0.25">
      <c r="A717" s="2" t="s">
        <v>408</v>
      </c>
      <c r="B717">
        <v>21.077844311377238</v>
      </c>
      <c r="C717" s="1">
        <v>43676</v>
      </c>
      <c r="D717" s="6" t="s">
        <v>443</v>
      </c>
    </row>
    <row r="718" spans="1:4" x14ac:dyDescent="0.25">
      <c r="A718" s="2" t="s">
        <v>409</v>
      </c>
      <c r="B718">
        <v>13.362068965517246</v>
      </c>
      <c r="C718" s="1">
        <v>43676</v>
      </c>
      <c r="D718" s="6" t="s">
        <v>443</v>
      </c>
    </row>
    <row r="719" spans="1:4" x14ac:dyDescent="0.25">
      <c r="A719" s="2" t="s">
        <v>250</v>
      </c>
      <c r="B719">
        <v>4.5548654244306368</v>
      </c>
      <c r="C719" s="1">
        <v>43665</v>
      </c>
      <c r="D719" s="6" t="s">
        <v>443</v>
      </c>
    </row>
    <row r="720" spans="1:4" x14ac:dyDescent="0.25">
      <c r="A720" s="2" t="s">
        <v>251</v>
      </c>
      <c r="B720">
        <v>4.7082906857727824</v>
      </c>
      <c r="C720" s="1">
        <v>43665</v>
      </c>
      <c r="D720" s="6" t="s">
        <v>443</v>
      </c>
    </row>
    <row r="721" spans="1:4" x14ac:dyDescent="0.25">
      <c r="A721" s="2" t="s">
        <v>252</v>
      </c>
      <c r="B721">
        <v>4.9494949494949525</v>
      </c>
      <c r="C721" s="1">
        <v>43665</v>
      </c>
      <c r="D721" s="6" t="s">
        <v>443</v>
      </c>
    </row>
    <row r="722" spans="1:4" x14ac:dyDescent="0.25">
      <c r="A722" s="2" t="s">
        <v>254</v>
      </c>
      <c r="B722">
        <v>4.8205128205128087</v>
      </c>
      <c r="C722" s="1">
        <v>43665</v>
      </c>
      <c r="D722" s="6" t="s">
        <v>443</v>
      </c>
    </row>
    <row r="723" spans="1:4" x14ac:dyDescent="0.25">
      <c r="A723" s="2" t="s">
        <v>255</v>
      </c>
      <c r="B723">
        <v>3.6290322580645094</v>
      </c>
      <c r="C723" s="1">
        <v>43665</v>
      </c>
      <c r="D723" s="6" t="s">
        <v>443</v>
      </c>
    </row>
    <row r="724" spans="1:4" x14ac:dyDescent="0.25">
      <c r="A724" s="2" t="s">
        <v>256</v>
      </c>
      <c r="B724">
        <v>3.9513677811550205</v>
      </c>
      <c r="C724" s="1">
        <v>43665</v>
      </c>
      <c r="D724" s="6" t="s">
        <v>443</v>
      </c>
    </row>
    <row r="725" spans="1:4" x14ac:dyDescent="0.25">
      <c r="A725" s="2" t="s">
        <v>258</v>
      </c>
      <c r="B725">
        <v>7.1800208116545221</v>
      </c>
      <c r="C725" s="1">
        <v>43665</v>
      </c>
      <c r="D725" s="6" t="s">
        <v>443</v>
      </c>
    </row>
    <row r="726" spans="1:4" x14ac:dyDescent="0.25">
      <c r="A726" s="2" t="s">
        <v>259</v>
      </c>
      <c r="B726">
        <v>6.6124109867751635</v>
      </c>
      <c r="C726" s="1">
        <v>43665</v>
      </c>
      <c r="D726" s="6" t="s">
        <v>443</v>
      </c>
    </row>
    <row r="727" spans="1:4" x14ac:dyDescent="0.25">
      <c r="A727" s="2" t="s">
        <v>260</v>
      </c>
      <c r="B727">
        <v>6.720977596741327</v>
      </c>
      <c r="C727" s="1">
        <v>43665</v>
      </c>
      <c r="D727" s="6" t="s">
        <v>443</v>
      </c>
    </row>
    <row r="728" spans="1:4" x14ac:dyDescent="0.25">
      <c r="A728" s="2" t="s">
        <v>358</v>
      </c>
      <c r="B728">
        <v>2.3493360572012305</v>
      </c>
      <c r="C728" s="1">
        <v>43665</v>
      </c>
      <c r="D728" s="6" t="s">
        <v>443</v>
      </c>
    </row>
    <row r="729" spans="1:4" x14ac:dyDescent="0.25">
      <c r="A729" s="2" t="s">
        <v>359</v>
      </c>
      <c r="B729">
        <v>2.5341130604288473</v>
      </c>
      <c r="C729" s="1">
        <v>43665</v>
      </c>
      <c r="D729" s="6" t="s">
        <v>443</v>
      </c>
    </row>
    <row r="730" spans="1:4" x14ac:dyDescent="0.25">
      <c r="A730" s="2" t="s">
        <v>360</v>
      </c>
      <c r="B730">
        <v>2.4590163934426252</v>
      </c>
      <c r="C730" s="1">
        <v>43665</v>
      </c>
      <c r="D730" s="6" t="s">
        <v>443</v>
      </c>
    </row>
    <row r="731" spans="1:4" x14ac:dyDescent="0.25">
      <c r="A731" s="2" t="s">
        <v>373</v>
      </c>
      <c r="B731">
        <v>15.434782608695652</v>
      </c>
      <c r="C731" s="1">
        <v>43717</v>
      </c>
      <c r="D731" s="6" t="s">
        <v>444</v>
      </c>
    </row>
    <row r="732" spans="1:4" x14ac:dyDescent="0.25">
      <c r="A732" s="2" t="s">
        <v>374</v>
      </c>
      <c r="B732">
        <v>14.428412874583781</v>
      </c>
      <c r="C732" s="1">
        <v>43717</v>
      </c>
      <c r="D732" s="6" t="s">
        <v>444</v>
      </c>
    </row>
    <row r="733" spans="1:4" x14ac:dyDescent="0.25">
      <c r="A733" s="2" t="s">
        <v>375</v>
      </c>
      <c r="B733">
        <v>16.355653128430301</v>
      </c>
      <c r="C733" s="1">
        <v>43717</v>
      </c>
      <c r="D733" s="6" t="s">
        <v>444</v>
      </c>
    </row>
    <row r="734" spans="1:4" x14ac:dyDescent="0.25">
      <c r="A734" s="2" t="s">
        <v>376</v>
      </c>
      <c r="B734">
        <v>8.474576271186427</v>
      </c>
      <c r="C734" s="1">
        <v>43717</v>
      </c>
      <c r="D734" s="6" t="s">
        <v>444</v>
      </c>
    </row>
    <row r="735" spans="1:4" x14ac:dyDescent="0.25">
      <c r="A735" s="2" t="s">
        <v>377</v>
      </c>
      <c r="B735">
        <v>12.258064516129037</v>
      </c>
      <c r="C735" s="1">
        <v>43717</v>
      </c>
      <c r="D735" s="6" t="s">
        <v>444</v>
      </c>
    </row>
    <row r="736" spans="1:4" x14ac:dyDescent="0.25">
      <c r="A736" s="2" t="s">
        <v>378</v>
      </c>
      <c r="B736">
        <v>11.09936575052855</v>
      </c>
      <c r="C736" s="1">
        <v>43717</v>
      </c>
      <c r="D736" s="6" t="s">
        <v>444</v>
      </c>
    </row>
    <row r="737" spans="1:4" x14ac:dyDescent="0.25">
      <c r="A737" s="2" t="s">
        <v>379</v>
      </c>
      <c r="B737">
        <v>18.686296715741772</v>
      </c>
      <c r="C737" s="1">
        <v>43717</v>
      </c>
      <c r="D737" s="6" t="s">
        <v>444</v>
      </c>
    </row>
    <row r="738" spans="1:4" x14ac:dyDescent="0.25">
      <c r="A738" s="2" t="s">
        <v>380</v>
      </c>
      <c r="B738">
        <v>19.052987598647118</v>
      </c>
      <c r="C738" s="1">
        <v>43717</v>
      </c>
      <c r="D738" s="6" t="s">
        <v>444</v>
      </c>
    </row>
    <row r="739" spans="1:4" x14ac:dyDescent="0.25">
      <c r="A739" s="2" t="s">
        <v>381</v>
      </c>
      <c r="B739">
        <v>15.503875968992254</v>
      </c>
      <c r="C739" s="1">
        <v>43717</v>
      </c>
      <c r="D739" s="6" t="s">
        <v>444</v>
      </c>
    </row>
    <row r="740" spans="1:4" x14ac:dyDescent="0.25">
      <c r="A740" s="2" t="s">
        <v>382</v>
      </c>
      <c r="B740">
        <v>4.6296296296296413</v>
      </c>
      <c r="C740" s="1">
        <v>43717</v>
      </c>
      <c r="D740" s="6" t="s">
        <v>444</v>
      </c>
    </row>
    <row r="741" spans="1:4" x14ac:dyDescent="0.25">
      <c r="A741" s="2" t="s">
        <v>383</v>
      </c>
      <c r="B741">
        <v>4.1379310344827589</v>
      </c>
      <c r="C741" s="1">
        <v>43717</v>
      </c>
      <c r="D741" s="6" t="s">
        <v>444</v>
      </c>
    </row>
    <row r="742" spans="1:4" x14ac:dyDescent="0.25">
      <c r="A742" s="2" t="s">
        <v>384</v>
      </c>
      <c r="B742">
        <v>6.307222787385566</v>
      </c>
      <c r="C742" s="1">
        <v>43717</v>
      </c>
      <c r="D742" s="6" t="s">
        <v>444</v>
      </c>
    </row>
    <row r="743" spans="1:4" x14ac:dyDescent="0.25">
      <c r="A743" s="2" t="s">
        <v>385</v>
      </c>
      <c r="B743">
        <v>31.358024691358011</v>
      </c>
      <c r="C743" s="1">
        <v>43717</v>
      </c>
      <c r="D743" s="6" t="s">
        <v>444</v>
      </c>
    </row>
    <row r="744" spans="1:4" x14ac:dyDescent="0.25">
      <c r="A744" s="2" t="s">
        <v>386</v>
      </c>
      <c r="B744">
        <v>27.756653992395432</v>
      </c>
      <c r="C744" s="1">
        <v>43717</v>
      </c>
      <c r="D744" s="6" t="s">
        <v>444</v>
      </c>
    </row>
    <row r="745" spans="1:4" x14ac:dyDescent="0.25">
      <c r="A745" s="2" t="s">
        <v>387</v>
      </c>
      <c r="B745">
        <v>17.660550458715608</v>
      </c>
      <c r="C745" s="1">
        <v>43717</v>
      </c>
      <c r="D745" s="6" t="s">
        <v>444</v>
      </c>
    </row>
    <row r="746" spans="1:4" x14ac:dyDescent="0.25">
      <c r="A746" s="2" t="s">
        <v>388</v>
      </c>
      <c r="B746">
        <v>12.418300653594759</v>
      </c>
      <c r="C746" s="1">
        <v>43717</v>
      </c>
      <c r="D746" s="6" t="s">
        <v>444</v>
      </c>
    </row>
    <row r="747" spans="1:4" x14ac:dyDescent="0.25">
      <c r="A747" s="2" t="s">
        <v>389</v>
      </c>
      <c r="B747">
        <v>10.869565217391305</v>
      </c>
      <c r="C747" s="1">
        <v>43717</v>
      </c>
      <c r="D747" s="6" t="s">
        <v>444</v>
      </c>
    </row>
    <row r="748" spans="1:4" x14ac:dyDescent="0.25">
      <c r="A748" s="2" t="s">
        <v>390</v>
      </c>
      <c r="B748">
        <v>13.586956521739133</v>
      </c>
      <c r="C748" s="1">
        <v>43717</v>
      </c>
      <c r="D748" s="6" t="s">
        <v>444</v>
      </c>
    </row>
    <row r="749" spans="1:4" x14ac:dyDescent="0.25">
      <c r="A749" s="2" t="s">
        <v>151</v>
      </c>
      <c r="B749">
        <v>6.9346733668341667</v>
      </c>
      <c r="C749" s="1">
        <v>43717</v>
      </c>
      <c r="D749" s="6" t="s">
        <v>444</v>
      </c>
    </row>
    <row r="750" spans="1:4" x14ac:dyDescent="0.25">
      <c r="A750" s="2" t="s">
        <v>152</v>
      </c>
      <c r="B750">
        <v>15.701559020044545</v>
      </c>
      <c r="C750" s="1">
        <v>43717</v>
      </c>
      <c r="D750" s="6" t="s">
        <v>444</v>
      </c>
    </row>
    <row r="751" spans="1:4" x14ac:dyDescent="0.25">
      <c r="A751" s="2" t="s">
        <v>153</v>
      </c>
      <c r="B751">
        <v>7.9958463136033373</v>
      </c>
      <c r="C751" s="1">
        <v>43717</v>
      </c>
      <c r="D751" s="6" t="s">
        <v>444</v>
      </c>
    </row>
    <row r="752" spans="1:4" x14ac:dyDescent="0.25">
      <c r="A752" s="2" t="s">
        <v>410</v>
      </c>
      <c r="B752">
        <v>4.5586808923375433</v>
      </c>
      <c r="C752" s="1">
        <v>43719</v>
      </c>
      <c r="D752" s="6" t="s">
        <v>444</v>
      </c>
    </row>
    <row r="753" spans="1:4" x14ac:dyDescent="0.25">
      <c r="A753" s="2" t="s">
        <v>411</v>
      </c>
      <c r="B753">
        <v>4.4965786901270848</v>
      </c>
      <c r="C753" s="1">
        <v>43719</v>
      </c>
      <c r="D753" s="6" t="s">
        <v>444</v>
      </c>
    </row>
    <row r="754" spans="1:4" x14ac:dyDescent="0.25">
      <c r="A754" s="2" t="s">
        <v>412</v>
      </c>
      <c r="B754">
        <v>4.9847405900305208</v>
      </c>
      <c r="C754" s="1">
        <v>43719</v>
      </c>
      <c r="D754" s="6" t="s">
        <v>444</v>
      </c>
    </row>
    <row r="755" spans="1:4" x14ac:dyDescent="0.25">
      <c r="A755" s="2" t="s">
        <v>413</v>
      </c>
      <c r="B755">
        <v>6.2761506276150598</v>
      </c>
      <c r="C755" s="1">
        <v>43719</v>
      </c>
      <c r="D755" s="6" t="s">
        <v>444</v>
      </c>
    </row>
    <row r="756" spans="1:4" x14ac:dyDescent="0.25">
      <c r="A756" s="2" t="s">
        <v>414</v>
      </c>
      <c r="B756">
        <v>4.7071129707113091</v>
      </c>
      <c r="C756" s="1">
        <v>43719</v>
      </c>
      <c r="D756" s="6" t="s">
        <v>444</v>
      </c>
    </row>
    <row r="757" spans="1:4" x14ac:dyDescent="0.25">
      <c r="A757" s="2" t="s">
        <v>415</v>
      </c>
      <c r="B757">
        <v>4.1794087665647313</v>
      </c>
      <c r="C757" s="1">
        <v>43719</v>
      </c>
      <c r="D757" s="6" t="s">
        <v>444</v>
      </c>
    </row>
    <row r="758" spans="1:4" x14ac:dyDescent="0.25">
      <c r="A758" s="2" t="s">
        <v>416</v>
      </c>
      <c r="B758">
        <v>3.8539553752535398</v>
      </c>
      <c r="C758" s="1">
        <v>43719</v>
      </c>
      <c r="D758" s="6" t="s">
        <v>444</v>
      </c>
    </row>
    <row r="759" spans="1:4" x14ac:dyDescent="0.25">
      <c r="A759" s="2" t="s">
        <v>417</v>
      </c>
      <c r="B759">
        <v>4.6632124352331727</v>
      </c>
      <c r="C759" s="1">
        <v>43719</v>
      </c>
      <c r="D759" s="6" t="s">
        <v>444</v>
      </c>
    </row>
    <row r="760" spans="1:4" x14ac:dyDescent="0.25">
      <c r="A760" s="2" t="s">
        <v>418</v>
      </c>
      <c r="B760">
        <v>4.5643153526971094</v>
      </c>
      <c r="C760" s="1">
        <v>43719</v>
      </c>
      <c r="D760" s="6" t="s">
        <v>444</v>
      </c>
    </row>
    <row r="761" spans="1:4" x14ac:dyDescent="0.25">
      <c r="A761" s="2" t="s">
        <v>419</v>
      </c>
      <c r="B761">
        <v>2.7551020408163405</v>
      </c>
      <c r="C761" s="1">
        <v>43719</v>
      </c>
      <c r="D761" s="6" t="s">
        <v>444</v>
      </c>
    </row>
    <row r="762" spans="1:4" x14ac:dyDescent="0.25">
      <c r="A762" s="2" t="s">
        <v>420</v>
      </c>
      <c r="B762">
        <v>1.4256619144602727</v>
      </c>
      <c r="C762" s="1">
        <v>43719</v>
      </c>
      <c r="D762" s="6" t="s">
        <v>444</v>
      </c>
    </row>
    <row r="763" spans="1:4" x14ac:dyDescent="0.25">
      <c r="A763" s="2" t="s">
        <v>421</v>
      </c>
      <c r="B763">
        <v>1.6144349477682802</v>
      </c>
      <c r="C763" s="1">
        <v>43719</v>
      </c>
      <c r="D763" s="6" t="s">
        <v>444</v>
      </c>
    </row>
    <row r="764" spans="1:4" x14ac:dyDescent="0.25">
      <c r="A764" s="2" t="s">
        <v>172</v>
      </c>
      <c r="D764" s="6" t="s">
        <v>444</v>
      </c>
    </row>
    <row r="765" spans="1:4" x14ac:dyDescent="0.25">
      <c r="A765" s="2" t="s">
        <v>173</v>
      </c>
      <c r="D765" s="6" t="s">
        <v>444</v>
      </c>
    </row>
    <row r="766" spans="1:4" x14ac:dyDescent="0.25">
      <c r="A766" s="2" t="s">
        <v>174</v>
      </c>
      <c r="D766" s="6" t="s">
        <v>444</v>
      </c>
    </row>
    <row r="767" spans="1:4" x14ac:dyDescent="0.25">
      <c r="A767" s="2" t="s">
        <v>176</v>
      </c>
      <c r="D767" s="6" t="s">
        <v>444</v>
      </c>
    </row>
    <row r="768" spans="1:4" x14ac:dyDescent="0.25">
      <c r="A768" s="2" t="s">
        <v>177</v>
      </c>
      <c r="D768" s="6" t="s">
        <v>444</v>
      </c>
    </row>
    <row r="769" spans="1:4" x14ac:dyDescent="0.25">
      <c r="A769" s="2" t="s">
        <v>178</v>
      </c>
      <c r="D769" s="6" t="s">
        <v>444</v>
      </c>
    </row>
    <row r="770" spans="1:4" x14ac:dyDescent="0.25">
      <c r="A770" s="2" t="s">
        <v>180</v>
      </c>
      <c r="D770" s="6" t="s">
        <v>444</v>
      </c>
    </row>
    <row r="771" spans="1:4" x14ac:dyDescent="0.25">
      <c r="A771" s="2" t="s">
        <v>181</v>
      </c>
      <c r="D771" s="6" t="s">
        <v>444</v>
      </c>
    </row>
    <row r="772" spans="1:4" x14ac:dyDescent="0.25">
      <c r="A772" s="2" t="s">
        <v>182</v>
      </c>
      <c r="D772" s="6" t="s">
        <v>444</v>
      </c>
    </row>
    <row r="773" spans="1:4" x14ac:dyDescent="0.25">
      <c r="A773" s="2" t="s">
        <v>391</v>
      </c>
      <c r="D773" s="6" t="s">
        <v>444</v>
      </c>
    </row>
    <row r="774" spans="1:4" x14ac:dyDescent="0.25">
      <c r="A774" s="2" t="s">
        <v>440</v>
      </c>
      <c r="D774" s="6" t="s">
        <v>444</v>
      </c>
    </row>
    <row r="775" spans="1:4" x14ac:dyDescent="0.25">
      <c r="A775" s="2" t="s">
        <v>441</v>
      </c>
      <c r="D775" s="6" t="s">
        <v>444</v>
      </c>
    </row>
    <row r="776" spans="1:4" x14ac:dyDescent="0.25">
      <c r="A776" s="2" t="s">
        <v>422</v>
      </c>
      <c r="B776">
        <v>12.513966480446939</v>
      </c>
      <c r="C776" s="1">
        <v>43711</v>
      </c>
      <c r="D776" s="6" t="s">
        <v>444</v>
      </c>
    </row>
    <row r="777" spans="1:4" x14ac:dyDescent="0.25">
      <c r="A777" s="2" t="s">
        <v>423</v>
      </c>
      <c r="B777">
        <v>8.091286307053954</v>
      </c>
      <c r="C777" s="1">
        <v>43711</v>
      </c>
      <c r="D777" s="6" t="s">
        <v>444</v>
      </c>
    </row>
    <row r="778" spans="1:4" x14ac:dyDescent="0.25">
      <c r="A778" s="2" t="s">
        <v>424</v>
      </c>
      <c r="B778">
        <v>8.820512820512814</v>
      </c>
      <c r="C778" s="1">
        <v>43711</v>
      </c>
      <c r="D778" s="6" t="s">
        <v>444</v>
      </c>
    </row>
    <row r="779" spans="1:4" x14ac:dyDescent="0.25">
      <c r="A779" s="2" t="s">
        <v>425</v>
      </c>
      <c r="B779">
        <v>4.0462427745664735</v>
      </c>
      <c r="C779" s="1">
        <v>43711</v>
      </c>
      <c r="D779" s="6" t="s">
        <v>444</v>
      </c>
    </row>
    <row r="780" spans="1:4" x14ac:dyDescent="0.25">
      <c r="A780" s="2" t="s">
        <v>426</v>
      </c>
      <c r="B780">
        <v>2.6104417670682709</v>
      </c>
      <c r="C780" s="1">
        <v>43711</v>
      </c>
      <c r="D780" s="6" t="s">
        <v>444</v>
      </c>
    </row>
    <row r="781" spans="1:4" x14ac:dyDescent="0.25">
      <c r="A781" s="2" t="s">
        <v>427</v>
      </c>
      <c r="B781">
        <v>3.6511156186612519</v>
      </c>
      <c r="C781" s="1">
        <v>43711</v>
      </c>
      <c r="D781" s="6" t="s">
        <v>444</v>
      </c>
    </row>
    <row r="782" spans="1:4" x14ac:dyDescent="0.25">
      <c r="A782" s="2" t="s">
        <v>428</v>
      </c>
      <c r="B782">
        <v>2.2966507177033515</v>
      </c>
      <c r="C782" s="1">
        <v>43711</v>
      </c>
      <c r="D782" s="6" t="s">
        <v>444</v>
      </c>
    </row>
    <row r="783" spans="1:4" x14ac:dyDescent="0.25">
      <c r="A783" s="2" t="s">
        <v>429</v>
      </c>
      <c r="B783">
        <v>1.8036072144288731</v>
      </c>
      <c r="C783" s="1">
        <v>43711</v>
      </c>
      <c r="D783" s="6" t="s">
        <v>444</v>
      </c>
    </row>
    <row r="784" spans="1:4" x14ac:dyDescent="0.25">
      <c r="A784" s="2" t="s">
        <v>430</v>
      </c>
      <c r="B784">
        <v>2.6476578411405272</v>
      </c>
      <c r="C784" s="1">
        <v>43711</v>
      </c>
      <c r="D784" s="6" t="s">
        <v>444</v>
      </c>
    </row>
    <row r="785" spans="1:4" x14ac:dyDescent="0.25">
      <c r="A785" s="2" t="s">
        <v>431</v>
      </c>
      <c r="B785">
        <v>7.6367389060887527</v>
      </c>
      <c r="C785" s="1">
        <v>43713</v>
      </c>
      <c r="D785" s="6" t="s">
        <v>444</v>
      </c>
    </row>
    <row r="786" spans="1:4" x14ac:dyDescent="0.25">
      <c r="A786" s="2" t="s">
        <v>432</v>
      </c>
      <c r="B786">
        <v>8.7757313109425645</v>
      </c>
      <c r="C786" s="1">
        <v>43713</v>
      </c>
      <c r="D786" s="6" t="s">
        <v>444</v>
      </c>
    </row>
    <row r="787" spans="1:4" x14ac:dyDescent="0.25">
      <c r="A787" s="2" t="s">
        <v>433</v>
      </c>
      <c r="B787">
        <v>6.9767441860465134</v>
      </c>
      <c r="C787" s="1">
        <v>43713</v>
      </c>
      <c r="D787" s="6" t="s">
        <v>444</v>
      </c>
    </row>
    <row r="788" spans="1:4" x14ac:dyDescent="0.25">
      <c r="A788" s="2" t="s">
        <v>434</v>
      </c>
      <c r="B788">
        <v>8.4422110552763812</v>
      </c>
      <c r="C788" s="1">
        <v>43713</v>
      </c>
      <c r="D788" s="6" t="s">
        <v>444</v>
      </c>
    </row>
    <row r="789" spans="1:4" x14ac:dyDescent="0.25">
      <c r="A789" s="2" t="s">
        <v>435</v>
      </c>
      <c r="B789">
        <v>8.6258776328987103</v>
      </c>
      <c r="C789" s="1">
        <v>43713</v>
      </c>
      <c r="D789" s="6" t="s">
        <v>444</v>
      </c>
    </row>
    <row r="790" spans="1:4" x14ac:dyDescent="0.25">
      <c r="A790" s="2" t="s">
        <v>436</v>
      </c>
      <c r="B790">
        <v>8.359788359788352</v>
      </c>
      <c r="C790" s="1">
        <v>43713</v>
      </c>
      <c r="D790" s="6" t="s">
        <v>444</v>
      </c>
    </row>
    <row r="791" spans="1:4" x14ac:dyDescent="0.25">
      <c r="A791" s="2" t="s">
        <v>437</v>
      </c>
      <c r="B791">
        <v>14.835164835164832</v>
      </c>
      <c r="C791" s="1">
        <v>43713</v>
      </c>
      <c r="D791" s="6" t="s">
        <v>444</v>
      </c>
    </row>
    <row r="792" spans="1:4" x14ac:dyDescent="0.25">
      <c r="A792" s="2" t="s">
        <v>438</v>
      </c>
      <c r="B792">
        <v>10.710498409331917</v>
      </c>
      <c r="C792" s="1">
        <v>43713</v>
      </c>
      <c r="D792" s="6" t="s">
        <v>444</v>
      </c>
    </row>
    <row r="793" spans="1:4" x14ac:dyDescent="0.25">
      <c r="A793" s="2" t="s">
        <v>439</v>
      </c>
      <c r="B793">
        <v>12.593383137673426</v>
      </c>
      <c r="C793" s="1">
        <v>43713</v>
      </c>
      <c r="D793" s="6" t="s">
        <v>444</v>
      </c>
    </row>
    <row r="794" spans="1:4" x14ac:dyDescent="0.25">
      <c r="A794" s="2" t="s">
        <v>208</v>
      </c>
      <c r="B794">
        <v>2.7607361963190136</v>
      </c>
      <c r="C794" s="1">
        <v>43712</v>
      </c>
      <c r="D794" s="6" t="s">
        <v>444</v>
      </c>
    </row>
    <row r="795" spans="1:4" x14ac:dyDescent="0.25">
      <c r="A795" s="2" t="s">
        <v>209</v>
      </c>
      <c r="B795">
        <v>2.081268582755194</v>
      </c>
      <c r="C795" s="1">
        <v>43712</v>
      </c>
      <c r="D795" s="6" t="s">
        <v>444</v>
      </c>
    </row>
    <row r="796" spans="1:4" x14ac:dyDescent="0.25">
      <c r="A796" s="2" t="s">
        <v>210</v>
      </c>
      <c r="B796">
        <v>2.2471910112359619</v>
      </c>
      <c r="C796" s="1">
        <v>43712</v>
      </c>
      <c r="D796" s="6" t="s">
        <v>444</v>
      </c>
    </row>
    <row r="797" spans="1:4" x14ac:dyDescent="0.25">
      <c r="A797" s="2" t="s">
        <v>212</v>
      </c>
      <c r="B797">
        <v>8.8414634146341395</v>
      </c>
      <c r="C797" s="1">
        <v>43712</v>
      </c>
      <c r="D797" s="6" t="s">
        <v>444</v>
      </c>
    </row>
    <row r="798" spans="1:4" x14ac:dyDescent="0.25">
      <c r="A798" s="2" t="s">
        <v>262</v>
      </c>
      <c r="B798">
        <v>5.3807106598984697</v>
      </c>
      <c r="C798" s="1">
        <v>43712</v>
      </c>
      <c r="D798" s="6" t="s">
        <v>444</v>
      </c>
    </row>
    <row r="799" spans="1:4" x14ac:dyDescent="0.25">
      <c r="A799" s="2" t="s">
        <v>213</v>
      </c>
      <c r="B799">
        <v>4.9281314168377683</v>
      </c>
      <c r="C799" s="1">
        <v>43712</v>
      </c>
      <c r="D799" s="6" t="s">
        <v>444</v>
      </c>
    </row>
    <row r="800" spans="1:4" x14ac:dyDescent="0.25">
      <c r="A800" s="2" t="s">
        <v>215</v>
      </c>
      <c r="B800">
        <v>1.2536162005785996</v>
      </c>
      <c r="C800" s="1">
        <v>43712</v>
      </c>
      <c r="D800" s="6" t="s">
        <v>444</v>
      </c>
    </row>
    <row r="801" spans="1:4" x14ac:dyDescent="0.25">
      <c r="A801" s="2" t="s">
        <v>216</v>
      </c>
      <c r="B801">
        <v>2.0793950850661513</v>
      </c>
      <c r="C801" s="1">
        <v>43712</v>
      </c>
      <c r="D801" s="6" t="s">
        <v>444</v>
      </c>
    </row>
    <row r="802" spans="1:4" x14ac:dyDescent="0.25">
      <c r="A802" s="2" t="s">
        <v>217</v>
      </c>
      <c r="B802">
        <v>1.9436345966958317</v>
      </c>
      <c r="C802" s="1">
        <v>43712</v>
      </c>
      <c r="D802" s="6" t="s">
        <v>444</v>
      </c>
    </row>
    <row r="803" spans="1:4" x14ac:dyDescent="0.25">
      <c r="A803" s="2" t="s">
        <v>361</v>
      </c>
      <c r="B803">
        <v>12.903225806451593</v>
      </c>
      <c r="C803" s="1">
        <v>43726</v>
      </c>
      <c r="D803" s="6" t="s">
        <v>444</v>
      </c>
    </row>
    <row r="804" spans="1:4" x14ac:dyDescent="0.25">
      <c r="A804" s="2" t="s">
        <v>362</v>
      </c>
      <c r="B804">
        <v>17.117117117117115</v>
      </c>
      <c r="C804" s="1">
        <v>43726</v>
      </c>
      <c r="D804" s="6" t="s">
        <v>444</v>
      </c>
    </row>
    <row r="805" spans="1:4" x14ac:dyDescent="0.25">
      <c r="A805" s="2" t="s">
        <v>363</v>
      </c>
      <c r="B805">
        <v>16.836158192090398</v>
      </c>
      <c r="C805" s="1">
        <v>43726</v>
      </c>
      <c r="D805" s="6" t="s">
        <v>444</v>
      </c>
    </row>
    <row r="806" spans="1:4" x14ac:dyDescent="0.25">
      <c r="A806" s="2" t="s">
        <v>364</v>
      </c>
      <c r="B806">
        <v>17.594654788418708</v>
      </c>
      <c r="C806" s="1">
        <v>43726</v>
      </c>
      <c r="D806" s="6" t="s">
        <v>444</v>
      </c>
    </row>
    <row r="807" spans="1:4" x14ac:dyDescent="0.25">
      <c r="A807" s="2" t="s">
        <v>365</v>
      </c>
      <c r="B807">
        <v>20.023419203747082</v>
      </c>
      <c r="C807" s="1">
        <v>43726</v>
      </c>
      <c r="D807" s="6" t="s">
        <v>444</v>
      </c>
    </row>
    <row r="808" spans="1:4" x14ac:dyDescent="0.25">
      <c r="A808" s="2" t="s">
        <v>366</v>
      </c>
      <c r="B808">
        <v>21.83770883054893</v>
      </c>
      <c r="C808" s="1">
        <v>43726</v>
      </c>
      <c r="D808" s="6" t="s">
        <v>444</v>
      </c>
    </row>
    <row r="809" spans="1:4" x14ac:dyDescent="0.25">
      <c r="A809" s="2" t="s">
        <v>367</v>
      </c>
      <c r="B809">
        <v>18.384074941451995</v>
      </c>
      <c r="C809" s="1">
        <v>43726</v>
      </c>
      <c r="D809" s="6" t="s">
        <v>444</v>
      </c>
    </row>
    <row r="810" spans="1:4" x14ac:dyDescent="0.25">
      <c r="A810" s="2" t="s">
        <v>368</v>
      </c>
      <c r="B810">
        <v>25</v>
      </c>
      <c r="C810" s="1">
        <v>43726</v>
      </c>
      <c r="D810" s="6" t="s">
        <v>444</v>
      </c>
    </row>
    <row r="811" spans="1:4" x14ac:dyDescent="0.25">
      <c r="A811" s="2" t="s">
        <v>369</v>
      </c>
      <c r="B811">
        <v>23.226544622425646</v>
      </c>
      <c r="C811" s="1">
        <v>43726</v>
      </c>
      <c r="D811" s="6" t="s">
        <v>444</v>
      </c>
    </row>
    <row r="812" spans="1:4" x14ac:dyDescent="0.25">
      <c r="A812" s="2" t="s">
        <v>218</v>
      </c>
      <c r="B812">
        <v>3.080082135523603</v>
      </c>
      <c r="C812" s="1">
        <v>43714</v>
      </c>
      <c r="D812" s="6" t="s">
        <v>444</v>
      </c>
    </row>
    <row r="813" spans="1:4" x14ac:dyDescent="0.25">
      <c r="A813" s="2" t="s">
        <v>219</v>
      </c>
      <c r="B813">
        <v>3.1376518218623537</v>
      </c>
      <c r="C813" s="1">
        <v>43714</v>
      </c>
      <c r="D813" s="6" t="s">
        <v>444</v>
      </c>
    </row>
    <row r="814" spans="1:4" x14ac:dyDescent="0.25">
      <c r="A814" s="2" t="s">
        <v>220</v>
      </c>
      <c r="B814">
        <v>14.759725400457654</v>
      </c>
      <c r="C814" s="1">
        <v>43714</v>
      </c>
      <c r="D814" s="6" t="s">
        <v>444</v>
      </c>
    </row>
    <row r="815" spans="1:4" x14ac:dyDescent="0.25">
      <c r="A815" s="2" t="s">
        <v>226</v>
      </c>
      <c r="B815">
        <v>5.5036344755971047</v>
      </c>
      <c r="C815" s="1">
        <v>43714</v>
      </c>
      <c r="D815" s="6" t="s">
        <v>444</v>
      </c>
    </row>
    <row r="816" spans="1:4" x14ac:dyDescent="0.25">
      <c r="A816" s="2" t="s">
        <v>227</v>
      </c>
      <c r="B816">
        <v>5.5110220440881834</v>
      </c>
      <c r="C816" s="1">
        <v>43714</v>
      </c>
      <c r="D816" s="6" t="s">
        <v>444</v>
      </c>
    </row>
    <row r="817" spans="1:4" x14ac:dyDescent="0.25">
      <c r="A817" s="2" t="s">
        <v>228</v>
      </c>
      <c r="B817">
        <v>4.6795523906409038</v>
      </c>
      <c r="C817" s="1">
        <v>43714</v>
      </c>
      <c r="D817" s="6" t="s">
        <v>444</v>
      </c>
    </row>
    <row r="818" spans="1:4" x14ac:dyDescent="0.25">
      <c r="A818" s="2" t="s">
        <v>370</v>
      </c>
      <c r="B818">
        <v>2.0874751491053765</v>
      </c>
      <c r="C818" s="1">
        <v>43714</v>
      </c>
      <c r="D818" s="6" t="s">
        <v>444</v>
      </c>
    </row>
    <row r="819" spans="1:4" x14ac:dyDescent="0.25">
      <c r="A819" s="2" t="s">
        <v>371</v>
      </c>
      <c r="B819">
        <v>1.5533980582524287</v>
      </c>
      <c r="C819" s="1">
        <v>43714</v>
      </c>
      <c r="D819" s="6" t="s">
        <v>444</v>
      </c>
    </row>
    <row r="820" spans="1:4" x14ac:dyDescent="0.25">
      <c r="A820" s="2" t="s">
        <v>372</v>
      </c>
      <c r="B820">
        <v>1.6441005802707922</v>
      </c>
      <c r="C820" s="1">
        <v>43714</v>
      </c>
      <c r="D820" s="6" t="s">
        <v>444</v>
      </c>
    </row>
    <row r="821" spans="1:4" x14ac:dyDescent="0.25">
      <c r="A821" s="2" t="s">
        <v>392</v>
      </c>
      <c r="B821">
        <v>3.9354187689202882</v>
      </c>
      <c r="C821" s="1">
        <v>43719</v>
      </c>
      <c r="D821" s="6" t="s">
        <v>444</v>
      </c>
    </row>
    <row r="822" spans="1:4" x14ac:dyDescent="0.25">
      <c r="A822" s="2" t="s">
        <v>393</v>
      </c>
      <c r="B822">
        <v>4.2253521126760551</v>
      </c>
      <c r="C822" s="1">
        <v>43719</v>
      </c>
      <c r="D822" s="6" t="s">
        <v>444</v>
      </c>
    </row>
    <row r="823" spans="1:4" x14ac:dyDescent="0.25">
      <c r="A823" s="2" t="s">
        <v>394</v>
      </c>
      <c r="B823">
        <v>3.8622129436325601</v>
      </c>
      <c r="C823" s="1">
        <v>43719</v>
      </c>
      <c r="D823" s="6" t="s">
        <v>444</v>
      </c>
    </row>
    <row r="824" spans="1:4" x14ac:dyDescent="0.25">
      <c r="A824" s="2" t="s">
        <v>395</v>
      </c>
      <c r="B824">
        <v>17.772778402699664</v>
      </c>
      <c r="C824" s="1">
        <v>43719</v>
      </c>
      <c r="D824" s="6" t="s">
        <v>444</v>
      </c>
    </row>
    <row r="825" spans="1:4" x14ac:dyDescent="0.25">
      <c r="A825" s="2" t="s">
        <v>396</v>
      </c>
      <c r="B825">
        <v>14.869466515323504</v>
      </c>
      <c r="C825" s="1">
        <v>43719</v>
      </c>
      <c r="D825" s="6" t="s">
        <v>444</v>
      </c>
    </row>
    <row r="826" spans="1:4" x14ac:dyDescent="0.25">
      <c r="A826" s="2" t="s">
        <v>397</v>
      </c>
      <c r="B826">
        <v>18.140068886337541</v>
      </c>
      <c r="C826" s="1">
        <v>43719</v>
      </c>
      <c r="D826" s="6" t="s">
        <v>444</v>
      </c>
    </row>
    <row r="827" spans="1:4" x14ac:dyDescent="0.25">
      <c r="A827" s="2" t="s">
        <v>398</v>
      </c>
      <c r="B827">
        <v>6.808943089430894</v>
      </c>
      <c r="C827" s="1">
        <v>43719</v>
      </c>
      <c r="D827" s="6" t="s">
        <v>444</v>
      </c>
    </row>
    <row r="828" spans="1:4" x14ac:dyDescent="0.25">
      <c r="A828" s="2" t="s">
        <v>399</v>
      </c>
      <c r="B828">
        <v>8.9583333333333268</v>
      </c>
      <c r="C828" s="1">
        <v>43719</v>
      </c>
      <c r="D828" s="6" t="s">
        <v>444</v>
      </c>
    </row>
    <row r="829" spans="1:4" x14ac:dyDescent="0.25">
      <c r="A829" s="2" t="s">
        <v>400</v>
      </c>
      <c r="B829">
        <v>12.127894156560103</v>
      </c>
      <c r="C829" s="1">
        <v>43719</v>
      </c>
      <c r="D829" s="6" t="s">
        <v>444</v>
      </c>
    </row>
    <row r="830" spans="1:4" x14ac:dyDescent="0.25">
      <c r="A830" s="2" t="s">
        <v>401</v>
      </c>
      <c r="B830">
        <v>6.5400843881856643</v>
      </c>
      <c r="C830" s="1">
        <v>43719</v>
      </c>
      <c r="D830" s="6" t="s">
        <v>444</v>
      </c>
    </row>
    <row r="831" spans="1:4" x14ac:dyDescent="0.25">
      <c r="A831" s="2" t="s">
        <v>402</v>
      </c>
      <c r="B831">
        <v>10.19736842105263</v>
      </c>
      <c r="C831" s="1">
        <v>43719</v>
      </c>
      <c r="D831" s="6" t="s">
        <v>444</v>
      </c>
    </row>
    <row r="832" spans="1:4" x14ac:dyDescent="0.25">
      <c r="A832" s="2" t="s">
        <v>403</v>
      </c>
      <c r="B832">
        <v>11.86790505675955</v>
      </c>
      <c r="C832" s="1">
        <v>43719</v>
      </c>
      <c r="D832" s="6" t="s">
        <v>444</v>
      </c>
    </row>
    <row r="833" spans="1:4" x14ac:dyDescent="0.25">
      <c r="A833" s="2" t="s">
        <v>404</v>
      </c>
      <c r="B833">
        <v>3.9832285115304069</v>
      </c>
      <c r="C833" s="1">
        <v>43719</v>
      </c>
      <c r="D833" s="6" t="s">
        <v>444</v>
      </c>
    </row>
    <row r="834" spans="1:4" x14ac:dyDescent="0.25">
      <c r="A834" s="2" t="s">
        <v>405</v>
      </c>
      <c r="B834">
        <v>4.0918163672654702</v>
      </c>
      <c r="C834" s="1">
        <v>43719</v>
      </c>
      <c r="D834" s="6" t="s">
        <v>444</v>
      </c>
    </row>
    <row r="835" spans="1:4" x14ac:dyDescent="0.25">
      <c r="A835" s="2" t="s">
        <v>406</v>
      </c>
      <c r="B835">
        <v>4.6231155778894379</v>
      </c>
      <c r="C835" s="1">
        <v>43719</v>
      </c>
      <c r="D835" s="6" t="s">
        <v>444</v>
      </c>
    </row>
    <row r="836" spans="1:4" x14ac:dyDescent="0.25">
      <c r="A836" s="2" t="s">
        <v>407</v>
      </c>
      <c r="B836">
        <v>8.4102564102564124</v>
      </c>
      <c r="C836" s="1">
        <v>43719</v>
      </c>
      <c r="D836" s="6" t="s">
        <v>444</v>
      </c>
    </row>
    <row r="837" spans="1:4" x14ac:dyDescent="0.25">
      <c r="A837" s="2" t="s">
        <v>408</v>
      </c>
      <c r="B837">
        <v>10.462555066079288</v>
      </c>
      <c r="C837" s="1">
        <v>43719</v>
      </c>
      <c r="D837" s="6" t="s">
        <v>444</v>
      </c>
    </row>
    <row r="838" spans="1:4" x14ac:dyDescent="0.25">
      <c r="A838" s="2" t="s">
        <v>409</v>
      </c>
      <c r="B838">
        <v>8.6225026288117803</v>
      </c>
      <c r="C838" s="1">
        <v>43719</v>
      </c>
      <c r="D838" s="6" t="s">
        <v>444</v>
      </c>
    </row>
    <row r="839" spans="1:4" x14ac:dyDescent="0.25">
      <c r="A839" s="2" t="s">
        <v>250</v>
      </c>
      <c r="B839">
        <v>7.7494692144373527</v>
      </c>
      <c r="C839" s="1">
        <v>43706</v>
      </c>
      <c r="D839" s="6" t="s">
        <v>444</v>
      </c>
    </row>
    <row r="840" spans="1:4" x14ac:dyDescent="0.25">
      <c r="A840" s="2" t="s">
        <v>251</v>
      </c>
      <c r="B840">
        <v>4.9638055842812872</v>
      </c>
      <c r="C840" s="1">
        <v>43706</v>
      </c>
      <c r="D840" s="6" t="s">
        <v>444</v>
      </c>
    </row>
    <row r="841" spans="1:4" x14ac:dyDescent="0.25">
      <c r="A841" s="2" t="s">
        <v>252</v>
      </c>
      <c r="B841">
        <v>10.410094637223958</v>
      </c>
      <c r="C841" s="1">
        <v>43706</v>
      </c>
      <c r="D841" s="6" t="s">
        <v>444</v>
      </c>
    </row>
    <row r="842" spans="1:4" x14ac:dyDescent="0.25">
      <c r="A842" s="2" t="s">
        <v>254</v>
      </c>
      <c r="B842">
        <v>18.212669683257911</v>
      </c>
      <c r="C842" s="1">
        <v>43706</v>
      </c>
      <c r="D842" s="6" t="s">
        <v>444</v>
      </c>
    </row>
    <row r="843" spans="1:4" x14ac:dyDescent="0.25">
      <c r="A843" s="2" t="s">
        <v>255</v>
      </c>
      <c r="B843">
        <v>13.71055495103373</v>
      </c>
      <c r="C843" s="1">
        <v>43706</v>
      </c>
      <c r="D843" s="6" t="s">
        <v>444</v>
      </c>
    </row>
    <row r="844" spans="1:4" x14ac:dyDescent="0.25">
      <c r="A844" s="2" t="s">
        <v>256</v>
      </c>
      <c r="B844">
        <v>18.181818181818166</v>
      </c>
      <c r="C844" s="1">
        <v>43706</v>
      </c>
      <c r="D844" s="6" t="s">
        <v>444</v>
      </c>
    </row>
    <row r="845" spans="1:4" x14ac:dyDescent="0.25">
      <c r="A845" s="2" t="s">
        <v>258</v>
      </c>
      <c r="B845">
        <v>12.565997888067578</v>
      </c>
      <c r="C845" s="1">
        <v>43706</v>
      </c>
      <c r="D845" s="6" t="s">
        <v>444</v>
      </c>
    </row>
    <row r="846" spans="1:4" x14ac:dyDescent="0.25">
      <c r="A846" s="2" t="s">
        <v>259</v>
      </c>
      <c r="B846">
        <v>10.574948665297756</v>
      </c>
      <c r="C846" s="1">
        <v>43706</v>
      </c>
      <c r="D846" s="6" t="s">
        <v>444</v>
      </c>
    </row>
    <row r="847" spans="1:4" x14ac:dyDescent="0.25">
      <c r="A847" s="2" t="s">
        <v>260</v>
      </c>
      <c r="B847">
        <v>11.623036649214653</v>
      </c>
      <c r="C847" s="1">
        <v>43706</v>
      </c>
      <c r="D847" s="6" t="s">
        <v>444</v>
      </c>
    </row>
    <row r="848" spans="1:4" x14ac:dyDescent="0.25">
      <c r="A848" s="2" t="s">
        <v>358</v>
      </c>
      <c r="B848">
        <v>8.0042689434365002</v>
      </c>
      <c r="C848" s="1">
        <v>43706</v>
      </c>
      <c r="D848" s="6" t="s">
        <v>444</v>
      </c>
    </row>
    <row r="849" spans="1:4" x14ac:dyDescent="0.25">
      <c r="A849" s="2" t="s">
        <v>359</v>
      </c>
      <c r="B849">
        <v>11.466372657111346</v>
      </c>
      <c r="C849" s="1">
        <v>43706</v>
      </c>
      <c r="D849" s="6" t="s">
        <v>444</v>
      </c>
    </row>
    <row r="850" spans="1:4" x14ac:dyDescent="0.25">
      <c r="A850" s="2" t="s">
        <v>360</v>
      </c>
      <c r="B850">
        <v>12.182203389830514</v>
      </c>
      <c r="C850" s="1">
        <v>43706</v>
      </c>
      <c r="D850" s="6" t="s">
        <v>444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38"/>
  <sheetViews>
    <sheetView workbookViewId="0">
      <pane xSplit="1" ySplit="1" topLeftCell="B102" activePane="bottomRight" state="frozen"/>
      <selection pane="topRight" activeCell="B1" sqref="B1"/>
      <selection pane="bottomLeft" activeCell="A2" sqref="A2"/>
      <selection pane="bottomRight" activeCell="A120" sqref="A120"/>
    </sheetView>
  </sheetViews>
  <sheetFormatPr defaultColWidth="11" defaultRowHeight="15.75" x14ac:dyDescent="0.25"/>
  <sheetData>
    <row r="1" spans="1:3" x14ac:dyDescent="0.25">
      <c r="A1" t="s">
        <v>4</v>
      </c>
      <c r="B1" t="s">
        <v>35</v>
      </c>
      <c r="C1" t="s">
        <v>6</v>
      </c>
    </row>
    <row r="2" spans="1:3" x14ac:dyDescent="0.25">
      <c r="A2" t="s">
        <v>7</v>
      </c>
      <c r="B2">
        <v>258.31329999999986</v>
      </c>
      <c r="C2" s="1">
        <v>42886</v>
      </c>
    </row>
    <row r="3" spans="1:3" x14ac:dyDescent="0.25">
      <c r="A3" t="s">
        <v>8</v>
      </c>
      <c r="B3">
        <v>193.19230000000005</v>
      </c>
      <c r="C3" s="1">
        <v>42886</v>
      </c>
    </row>
    <row r="4" spans="1:3" x14ac:dyDescent="0.25">
      <c r="A4" t="s">
        <v>9</v>
      </c>
      <c r="B4">
        <v>97.681500000000085</v>
      </c>
      <c r="C4" s="1">
        <v>42886</v>
      </c>
    </row>
    <row r="5" spans="1:3" x14ac:dyDescent="0.25">
      <c r="A5" t="s">
        <v>10</v>
      </c>
      <c r="B5">
        <v>147.60760000000002</v>
      </c>
      <c r="C5" s="1">
        <v>42886</v>
      </c>
    </row>
    <row r="6" spans="1:3" x14ac:dyDescent="0.25">
      <c r="A6" t="s">
        <v>11</v>
      </c>
      <c r="B6">
        <v>280.02030000000002</v>
      </c>
      <c r="C6" s="1">
        <v>42909</v>
      </c>
    </row>
    <row r="7" spans="1:3" x14ac:dyDescent="0.25">
      <c r="A7" t="s">
        <v>12</v>
      </c>
      <c r="B7">
        <v>444.99350000000015</v>
      </c>
      <c r="C7" s="1">
        <v>42909</v>
      </c>
    </row>
    <row r="8" spans="1:3" x14ac:dyDescent="0.25">
      <c r="A8" t="s">
        <v>13</v>
      </c>
      <c r="B8">
        <v>316.92220000000003</v>
      </c>
      <c r="C8" s="1">
        <v>42909</v>
      </c>
    </row>
    <row r="9" spans="1:3" x14ac:dyDescent="0.25">
      <c r="A9" t="s">
        <v>14</v>
      </c>
      <c r="B9">
        <v>23.87770000000026</v>
      </c>
      <c r="C9" s="1">
        <v>42909</v>
      </c>
    </row>
    <row r="10" spans="1:3" x14ac:dyDescent="0.25">
      <c r="A10" t="s">
        <v>15</v>
      </c>
      <c r="B10">
        <v>21.707000000000019</v>
      </c>
      <c r="C10" s="1">
        <v>42909</v>
      </c>
    </row>
    <row r="11" spans="1:3" x14ac:dyDescent="0.25">
      <c r="A11" t="s">
        <v>16</v>
      </c>
      <c r="B11">
        <v>21.707000000000019</v>
      </c>
      <c r="C11" s="1">
        <v>42909</v>
      </c>
    </row>
    <row r="12" spans="1:3" x14ac:dyDescent="0.25">
      <c r="A12" t="s">
        <v>17</v>
      </c>
      <c r="B12">
        <v>15.194900000000015</v>
      </c>
      <c r="C12" s="1">
        <v>42909</v>
      </c>
    </row>
    <row r="13" spans="1:3" x14ac:dyDescent="0.25">
      <c r="A13" t="s">
        <v>18</v>
      </c>
      <c r="B13">
        <v>8.6828000000000074</v>
      </c>
      <c r="C13" s="1">
        <v>42909</v>
      </c>
    </row>
    <row r="14" spans="1:3" x14ac:dyDescent="0.25">
      <c r="A14" t="s">
        <v>19</v>
      </c>
      <c r="B14">
        <v>271.33750000000003</v>
      </c>
      <c r="C14" s="1">
        <v>42909</v>
      </c>
    </row>
    <row r="15" spans="1:3" x14ac:dyDescent="0.25">
      <c r="A15" t="s">
        <v>20</v>
      </c>
      <c r="B15">
        <v>125.90059999999988</v>
      </c>
      <c r="C15" s="1">
        <v>42909</v>
      </c>
    </row>
    <row r="16" spans="1:3" x14ac:dyDescent="0.25">
      <c r="A16" t="s">
        <v>21</v>
      </c>
      <c r="B16">
        <v>258.31329999999997</v>
      </c>
      <c r="C16" s="1">
        <v>42909</v>
      </c>
    </row>
    <row r="17" spans="1:3" x14ac:dyDescent="0.25">
      <c r="A17" t="s">
        <v>22</v>
      </c>
      <c r="B17">
        <v>221.41139999999993</v>
      </c>
      <c r="C17" s="1">
        <v>42909</v>
      </c>
    </row>
    <row r="18" spans="1:3" x14ac:dyDescent="0.25">
      <c r="A18" t="s">
        <v>0</v>
      </c>
      <c r="B18">
        <v>266.97114942528742</v>
      </c>
      <c r="C18" s="1">
        <v>42912</v>
      </c>
    </row>
    <row r="19" spans="1:3" x14ac:dyDescent="0.25">
      <c r="A19" t="s">
        <v>1</v>
      </c>
      <c r="B19">
        <v>288.44887387387377</v>
      </c>
      <c r="C19" s="1">
        <v>42912</v>
      </c>
    </row>
    <row r="20" spans="1:3" x14ac:dyDescent="0.25">
      <c r="A20" t="s">
        <v>2</v>
      </c>
      <c r="B20">
        <v>154.11970000000014</v>
      </c>
      <c r="C20" s="1">
        <v>42912</v>
      </c>
    </row>
    <row r="21" spans="1:3" x14ac:dyDescent="0.25">
      <c r="A21" t="s">
        <v>3</v>
      </c>
      <c r="B21">
        <v>182.33879999999991</v>
      </c>
      <c r="C21" s="1">
        <v>42912</v>
      </c>
    </row>
    <row r="22" spans="1:3" x14ac:dyDescent="0.25">
      <c r="A22" t="s">
        <v>11</v>
      </c>
      <c r="B22">
        <v>314.75150000000008</v>
      </c>
      <c r="C22" s="1">
        <v>42977</v>
      </c>
    </row>
    <row r="23" spans="1:3" x14ac:dyDescent="0.25">
      <c r="A23" t="s">
        <v>12</v>
      </c>
      <c r="B23">
        <v>538.33359999999971</v>
      </c>
      <c r="C23" s="1">
        <v>42977</v>
      </c>
    </row>
    <row r="24" spans="1:3" x14ac:dyDescent="0.25">
      <c r="A24" t="s">
        <v>13</v>
      </c>
      <c r="B24">
        <v>342.97060000000005</v>
      </c>
      <c r="C24" s="1">
        <v>42983</v>
      </c>
    </row>
    <row r="25" spans="1:3" x14ac:dyDescent="0.25">
      <c r="A25" t="s">
        <v>14</v>
      </c>
      <c r="B25">
        <v>240.9477000000002</v>
      </c>
      <c r="C25" s="1">
        <v>42983</v>
      </c>
    </row>
    <row r="26" spans="1:3" x14ac:dyDescent="0.25">
      <c r="A26" t="s">
        <v>15</v>
      </c>
      <c r="B26">
        <v>2.1707000000000019</v>
      </c>
      <c r="C26" s="1">
        <v>42977</v>
      </c>
    </row>
    <row r="27" spans="1:3" x14ac:dyDescent="0.25">
      <c r="A27" t="s">
        <v>16</v>
      </c>
      <c r="B27">
        <v>67.291699999999935</v>
      </c>
      <c r="C27" s="1">
        <v>42977</v>
      </c>
    </row>
    <row r="28" spans="1:3" x14ac:dyDescent="0.25">
      <c r="A28" t="s">
        <v>17</v>
      </c>
      <c r="B28">
        <v>275.67889999999989</v>
      </c>
      <c r="C28" s="1">
        <v>42983</v>
      </c>
    </row>
    <row r="29" spans="1:3" x14ac:dyDescent="0.25">
      <c r="A29" t="s">
        <v>18</v>
      </c>
      <c r="B29">
        <v>128.07129999999987</v>
      </c>
      <c r="C29" s="1">
        <v>42983</v>
      </c>
    </row>
    <row r="30" spans="1:3" x14ac:dyDescent="0.25">
      <c r="A30" t="s">
        <v>19</v>
      </c>
      <c r="B30">
        <v>266.99610000000001</v>
      </c>
      <c r="C30" s="1">
        <v>42977</v>
      </c>
    </row>
    <row r="31" spans="1:3" x14ac:dyDescent="0.25">
      <c r="A31" t="s">
        <v>20</v>
      </c>
      <c r="B31">
        <v>418.94509999999985</v>
      </c>
      <c r="C31" s="1">
        <v>42977</v>
      </c>
    </row>
    <row r="32" spans="1:3" x14ac:dyDescent="0.25">
      <c r="A32" t="s">
        <v>21</v>
      </c>
      <c r="B32">
        <v>160.63180000000003</v>
      </c>
      <c r="C32" s="1">
        <v>42983</v>
      </c>
    </row>
    <row r="33" spans="1:3" x14ac:dyDescent="0.25">
      <c r="A33" t="s">
        <v>22</v>
      </c>
      <c r="B33">
        <v>75.974499999999821</v>
      </c>
      <c r="C33" s="1">
        <v>42983</v>
      </c>
    </row>
    <row r="34" spans="1:3" x14ac:dyDescent="0.25">
      <c r="A34" t="s">
        <v>0</v>
      </c>
      <c r="B34">
        <v>169.31459999999993</v>
      </c>
      <c r="C34" s="1">
        <v>42983</v>
      </c>
    </row>
    <row r="35" spans="1:3" x14ac:dyDescent="0.25">
      <c r="A35" t="s">
        <v>1</v>
      </c>
      <c r="B35">
        <v>260.48399999999998</v>
      </c>
      <c r="C35" s="1">
        <v>42983</v>
      </c>
    </row>
    <row r="36" spans="1:3" x14ac:dyDescent="0.25">
      <c r="A36" t="s">
        <v>2</v>
      </c>
      <c r="B36">
        <v>177.99740000000006</v>
      </c>
      <c r="C36" s="1">
        <v>42983</v>
      </c>
    </row>
    <row r="37" spans="1:3" x14ac:dyDescent="0.25">
      <c r="A37" t="s">
        <v>3</v>
      </c>
      <c r="B37">
        <v>195.36300000000006</v>
      </c>
      <c r="C37" s="1">
        <v>42983</v>
      </c>
    </row>
    <row r="38" spans="1:3" x14ac:dyDescent="0.25">
      <c r="A38" t="s">
        <v>7</v>
      </c>
      <c r="B38">
        <v>386.38459999999998</v>
      </c>
      <c r="C38" s="1">
        <v>42977</v>
      </c>
    </row>
    <row r="39" spans="1:3" x14ac:dyDescent="0.25">
      <c r="A39" t="s">
        <v>8</v>
      </c>
      <c r="B39">
        <v>186.68020000000004</v>
      </c>
      <c r="C39" s="1">
        <v>42977</v>
      </c>
    </row>
    <row r="40" spans="1:3" x14ac:dyDescent="0.25">
      <c r="A40" t="s">
        <v>9</v>
      </c>
      <c r="B40">
        <v>458.01769999999993</v>
      </c>
      <c r="C40" s="1">
        <v>42977</v>
      </c>
    </row>
    <row r="41" spans="1:3" x14ac:dyDescent="0.25">
      <c r="A41" t="s">
        <v>10</v>
      </c>
      <c r="B41">
        <v>421.11579999999987</v>
      </c>
      <c r="C41" s="1">
        <v>42977</v>
      </c>
    </row>
    <row r="42" spans="1:3" x14ac:dyDescent="0.25">
      <c r="A42" t="s">
        <v>11</v>
      </c>
      <c r="B42">
        <v>219.24069999999995</v>
      </c>
      <c r="C42" s="1">
        <v>43028</v>
      </c>
    </row>
    <row r="43" spans="1:3" x14ac:dyDescent="0.25">
      <c r="A43" t="s">
        <v>12</v>
      </c>
      <c r="B43">
        <v>325.60500000000008</v>
      </c>
      <c r="C43" s="1">
        <v>43028</v>
      </c>
    </row>
    <row r="44" spans="1:3" x14ac:dyDescent="0.25">
      <c r="A44" t="s">
        <v>13</v>
      </c>
      <c r="B44">
        <v>247.45979999999997</v>
      </c>
      <c r="C44" s="1">
        <v>43028</v>
      </c>
    </row>
    <row r="45" spans="1:3" x14ac:dyDescent="0.25">
      <c r="A45" t="s">
        <v>14</v>
      </c>
      <c r="B45">
        <v>245.28909999999999</v>
      </c>
      <c r="C45" s="1">
        <v>43028</v>
      </c>
    </row>
    <row r="46" spans="1:3" x14ac:dyDescent="0.25">
      <c r="A46" t="s">
        <v>15</v>
      </c>
      <c r="B46">
        <v>0</v>
      </c>
      <c r="C46" s="1">
        <v>43028</v>
      </c>
    </row>
    <row r="47" spans="1:3" x14ac:dyDescent="0.25">
      <c r="A47" t="s">
        <v>16</v>
      </c>
      <c r="B47">
        <v>52.096800000000044</v>
      </c>
      <c r="C47" s="1">
        <v>43028</v>
      </c>
    </row>
    <row r="48" spans="1:3" x14ac:dyDescent="0.25">
      <c r="A48" t="s">
        <v>17</v>
      </c>
      <c r="B48">
        <v>6.5121000000001263</v>
      </c>
      <c r="C48" s="1">
        <v>43028</v>
      </c>
    </row>
    <row r="49" spans="1:3" x14ac:dyDescent="0.25">
      <c r="A49" t="s">
        <v>18</v>
      </c>
      <c r="B49">
        <v>154.11970000000008</v>
      </c>
      <c r="C49" s="1">
        <v>43028</v>
      </c>
    </row>
    <row r="50" spans="1:3" x14ac:dyDescent="0.25">
      <c r="A50" t="s">
        <v>19</v>
      </c>
      <c r="B50">
        <v>188.85090000000005</v>
      </c>
      <c r="C50" s="1">
        <v>43028</v>
      </c>
    </row>
    <row r="51" spans="1:3" x14ac:dyDescent="0.25">
      <c r="A51" t="s">
        <v>20</v>
      </c>
      <c r="B51">
        <v>271.33750000000003</v>
      </c>
      <c r="C51" s="1">
        <v>43028</v>
      </c>
    </row>
    <row r="52" spans="1:3" x14ac:dyDescent="0.25">
      <c r="A52" t="s">
        <v>21</v>
      </c>
      <c r="B52">
        <v>125.9006</v>
      </c>
      <c r="C52" s="1">
        <v>43028</v>
      </c>
    </row>
    <row r="53" spans="1:3" x14ac:dyDescent="0.25">
      <c r="A53" t="s">
        <v>22</v>
      </c>
      <c r="B53">
        <v>286.53240000000017</v>
      </c>
      <c r="C53" s="1">
        <v>43028</v>
      </c>
    </row>
    <row r="54" spans="1:3" x14ac:dyDescent="0.25">
      <c r="A54" t="s">
        <v>0</v>
      </c>
      <c r="B54">
        <v>139.72321839080459</v>
      </c>
      <c r="C54" s="1">
        <v>43028</v>
      </c>
    </row>
    <row r="55" spans="1:3" x14ac:dyDescent="0.25">
      <c r="A55" t="s">
        <v>1</v>
      </c>
      <c r="B55">
        <v>161.33581081081081</v>
      </c>
      <c r="C55" s="1">
        <v>43028</v>
      </c>
    </row>
    <row r="56" spans="1:3" x14ac:dyDescent="0.25">
      <c r="A56" t="s">
        <v>2</v>
      </c>
      <c r="B56">
        <v>288.70310000000001</v>
      </c>
      <c r="C56" s="1">
        <v>43028</v>
      </c>
    </row>
    <row r="57" spans="1:3" x14ac:dyDescent="0.25">
      <c r="A57" t="s">
        <v>3</v>
      </c>
      <c r="B57">
        <v>167.14390000000003</v>
      </c>
      <c r="C57" s="1">
        <v>43028</v>
      </c>
    </row>
    <row r="58" spans="1:3" x14ac:dyDescent="0.25">
      <c r="A58" t="s">
        <v>7</v>
      </c>
      <c r="B58">
        <v>427.62790000000007</v>
      </c>
      <c r="C58" s="1">
        <v>43027</v>
      </c>
    </row>
    <row r="59" spans="1:3" x14ac:dyDescent="0.25">
      <c r="A59" t="s">
        <v>8</v>
      </c>
      <c r="B59">
        <v>275.6789</v>
      </c>
      <c r="C59" s="1">
        <v>43027</v>
      </c>
    </row>
    <row r="60" spans="1:3" x14ac:dyDescent="0.25">
      <c r="A60" t="s">
        <v>9</v>
      </c>
      <c r="B60">
        <v>247.45979999999997</v>
      </c>
      <c r="C60" s="1">
        <v>43027</v>
      </c>
    </row>
    <row r="61" spans="1:3" x14ac:dyDescent="0.25">
      <c r="A61" t="s">
        <v>10</v>
      </c>
      <c r="B61">
        <v>286.5324</v>
      </c>
      <c r="C61" s="1">
        <v>43027</v>
      </c>
    </row>
    <row r="62" spans="1:3" x14ac:dyDescent="0.25">
      <c r="A62" s="8" t="s">
        <v>106</v>
      </c>
      <c r="B62" s="9">
        <v>151.94900000000001</v>
      </c>
      <c r="C62" s="1">
        <v>42880</v>
      </c>
    </row>
    <row r="63" spans="1:3" x14ac:dyDescent="0.25">
      <c r="A63" s="8" t="s">
        <v>107</v>
      </c>
      <c r="B63" s="9">
        <v>230.09419999999997</v>
      </c>
      <c r="C63" s="1">
        <v>42880</v>
      </c>
    </row>
    <row r="64" spans="1:3" x14ac:dyDescent="0.25">
      <c r="A64" s="8" t="s">
        <v>108</v>
      </c>
      <c r="B64" s="9">
        <v>323.43429999999984</v>
      </c>
      <c r="C64" s="1">
        <v>42880</v>
      </c>
    </row>
    <row r="65" spans="1:3" x14ac:dyDescent="0.25">
      <c r="A65" s="8" t="s">
        <v>109</v>
      </c>
      <c r="B65" s="9">
        <v>523.13869999999974</v>
      </c>
      <c r="C65" s="1">
        <v>42880</v>
      </c>
    </row>
    <row r="66" spans="1:3" x14ac:dyDescent="0.25">
      <c r="A66" s="8" t="s">
        <v>110</v>
      </c>
      <c r="B66" s="9">
        <v>130.24199999999999</v>
      </c>
      <c r="C66" s="1">
        <v>42880</v>
      </c>
    </row>
    <row r="67" spans="1:3" x14ac:dyDescent="0.25">
      <c r="A67" s="8" t="s">
        <v>111</v>
      </c>
      <c r="B67" s="9">
        <v>345.1413</v>
      </c>
      <c r="C67" s="1">
        <v>42880</v>
      </c>
    </row>
    <row r="68" spans="1:3" x14ac:dyDescent="0.25">
      <c r="A68" s="8" t="s">
        <v>106</v>
      </c>
      <c r="B68" s="9">
        <v>388.55529999999982</v>
      </c>
      <c r="C68" s="1">
        <v>42916</v>
      </c>
    </row>
    <row r="69" spans="1:3" x14ac:dyDescent="0.25">
      <c r="A69" s="8" t="s">
        <v>107</v>
      </c>
      <c r="B69" s="9">
        <v>310.41009999999977</v>
      </c>
      <c r="C69" s="1">
        <v>42916</v>
      </c>
    </row>
    <row r="70" spans="1:3" x14ac:dyDescent="0.25">
      <c r="A70" s="8" t="s">
        <v>108</v>
      </c>
      <c r="B70" s="9">
        <v>327.77570000000003</v>
      </c>
      <c r="C70" s="1">
        <v>42916</v>
      </c>
    </row>
    <row r="71" spans="1:3" x14ac:dyDescent="0.25">
      <c r="A71" s="8" t="s">
        <v>109</v>
      </c>
      <c r="B71" s="9">
        <v>67.291699999999821</v>
      </c>
      <c r="C71" s="1">
        <v>42916</v>
      </c>
    </row>
    <row r="72" spans="1:3" x14ac:dyDescent="0.25">
      <c r="A72" s="8" t="s">
        <v>110</v>
      </c>
      <c r="B72" s="9">
        <v>329.94639999999981</v>
      </c>
      <c r="C72" s="1">
        <v>42916</v>
      </c>
    </row>
    <row r="73" spans="1:3" x14ac:dyDescent="0.25">
      <c r="A73" s="8" t="s">
        <v>111</v>
      </c>
      <c r="B73" s="9">
        <v>403.75020000000012</v>
      </c>
      <c r="C73" s="1">
        <v>42916</v>
      </c>
    </row>
    <row r="74" spans="1:3" x14ac:dyDescent="0.25">
      <c r="A74" s="8" t="s">
        <v>106</v>
      </c>
      <c r="B74" s="9">
        <v>386.38459999999986</v>
      </c>
      <c r="C74" s="1">
        <v>42943</v>
      </c>
    </row>
    <row r="75" spans="1:3" x14ac:dyDescent="0.25">
      <c r="A75" s="8" t="s">
        <v>107</v>
      </c>
      <c r="B75" s="9">
        <v>1046.2774000000002</v>
      </c>
      <c r="C75" s="1">
        <v>42943</v>
      </c>
    </row>
    <row r="76" spans="1:3" x14ac:dyDescent="0.25">
      <c r="A76" s="8" t="s">
        <v>108</v>
      </c>
      <c r="B76" s="9">
        <v>781.45200000000023</v>
      </c>
      <c r="C76" s="1">
        <v>42943</v>
      </c>
    </row>
    <row r="77" spans="1:3" x14ac:dyDescent="0.25">
      <c r="A77" s="8" t="s">
        <v>109</v>
      </c>
      <c r="B77" s="9">
        <v>664.2342000000001</v>
      </c>
      <c r="C77" s="1">
        <v>42943</v>
      </c>
    </row>
    <row r="78" spans="1:3" x14ac:dyDescent="0.25">
      <c r="A78" s="8" t="s">
        <v>110</v>
      </c>
      <c r="B78" s="9">
        <v>438.48139999999989</v>
      </c>
      <c r="C78" s="1">
        <v>42943</v>
      </c>
    </row>
    <row r="79" spans="1:3" x14ac:dyDescent="0.25">
      <c r="A79" s="8" t="s">
        <v>111</v>
      </c>
      <c r="B79" s="9">
        <v>603.45460000000003</v>
      </c>
      <c r="C79" s="1">
        <v>42943</v>
      </c>
    </row>
    <row r="80" spans="1:3" x14ac:dyDescent="0.25">
      <c r="A80" s="8" t="s">
        <v>106</v>
      </c>
      <c r="B80" s="9">
        <v>1039.7652999999996</v>
      </c>
      <c r="C80" s="1">
        <v>42972</v>
      </c>
    </row>
    <row r="81" spans="1:3" x14ac:dyDescent="0.25">
      <c r="A81" s="8" t="s">
        <v>107</v>
      </c>
      <c r="B81" s="9">
        <v>527.48009999999999</v>
      </c>
      <c r="C81" s="1">
        <v>42972</v>
      </c>
    </row>
    <row r="82" spans="1:3" x14ac:dyDescent="0.25">
      <c r="A82" s="8" t="s">
        <v>108</v>
      </c>
      <c r="B82" s="9">
        <v>636.01510000000007</v>
      </c>
      <c r="C82" s="1">
        <v>42972</v>
      </c>
    </row>
    <row r="83" spans="1:3" x14ac:dyDescent="0.25">
      <c r="A83" s="8" t="s">
        <v>109</v>
      </c>
      <c r="B83" s="9">
        <v>141.09549999999987</v>
      </c>
      <c r="C83" s="1">
        <v>42972</v>
      </c>
    </row>
    <row r="84" spans="1:3" x14ac:dyDescent="0.25">
      <c r="A84" s="8" t="s">
        <v>110</v>
      </c>
      <c r="B84" s="9">
        <v>418.94509999999985</v>
      </c>
      <c r="C84" s="1">
        <v>42972</v>
      </c>
    </row>
    <row r="85" spans="1:3" x14ac:dyDescent="0.25">
      <c r="A85" s="8" t="s">
        <v>111</v>
      </c>
      <c r="B85" s="9">
        <v>427.6278999999999</v>
      </c>
      <c r="C85" s="1">
        <v>42972</v>
      </c>
    </row>
    <row r="86" spans="1:3" x14ac:dyDescent="0.25">
      <c r="A86" s="8" t="s">
        <v>112</v>
      </c>
      <c r="B86" s="9">
        <v>447.16419999999994</v>
      </c>
      <c r="C86" s="1">
        <v>42972</v>
      </c>
    </row>
    <row r="87" spans="1:3" x14ac:dyDescent="0.25">
      <c r="A87" s="8" t="s">
        <v>113</v>
      </c>
      <c r="B87" s="9">
        <v>916.03539999999987</v>
      </c>
      <c r="C87" s="1">
        <v>42972</v>
      </c>
    </row>
    <row r="88" spans="1:3" x14ac:dyDescent="0.25">
      <c r="A88" s="8" t="s">
        <v>114</v>
      </c>
      <c r="B88" s="9">
        <v>527.48009999999999</v>
      </c>
      <c r="C88" s="1">
        <v>42972</v>
      </c>
    </row>
    <row r="89" spans="1:3" x14ac:dyDescent="0.25">
      <c r="A89" s="8" t="s">
        <v>115</v>
      </c>
      <c r="B89" s="9">
        <v>883.47490000000005</v>
      </c>
      <c r="C89" s="1">
        <v>42972</v>
      </c>
    </row>
    <row r="90" spans="1:3" x14ac:dyDescent="0.25">
      <c r="A90" s="8" t="s">
        <v>106</v>
      </c>
      <c r="B90" s="9">
        <v>1562.9039999999998</v>
      </c>
      <c r="C90" s="1">
        <v>43011</v>
      </c>
    </row>
    <row r="91" spans="1:3" x14ac:dyDescent="0.25">
      <c r="A91" s="8" t="s">
        <v>107</v>
      </c>
      <c r="B91" s="9">
        <v>193.19229999999993</v>
      </c>
      <c r="C91" s="1">
        <v>43011</v>
      </c>
    </row>
    <row r="92" spans="1:3" x14ac:dyDescent="0.25">
      <c r="A92" s="8" t="s">
        <v>108</v>
      </c>
      <c r="B92" s="9">
        <v>588.25970000000007</v>
      </c>
      <c r="C92" s="1">
        <v>43011</v>
      </c>
    </row>
    <row r="93" spans="1:3" x14ac:dyDescent="0.25">
      <c r="A93" s="8" t="s">
        <v>109</v>
      </c>
      <c r="B93" s="9">
        <v>625.16160000000002</v>
      </c>
      <c r="C93" s="1">
        <v>43011</v>
      </c>
    </row>
    <row r="94" spans="1:3" x14ac:dyDescent="0.25">
      <c r="A94" s="8" t="s">
        <v>110</v>
      </c>
      <c r="B94" s="9">
        <v>677.25840000000017</v>
      </c>
      <c r="C94" s="1">
        <v>43011</v>
      </c>
    </row>
    <row r="95" spans="1:3" x14ac:dyDescent="0.25">
      <c r="A95" s="8" t="s">
        <v>111</v>
      </c>
      <c r="B95" s="9">
        <v>199.70439999999991</v>
      </c>
      <c r="C95" s="1">
        <v>43011</v>
      </c>
    </row>
    <row r="96" spans="1:3" x14ac:dyDescent="0.25">
      <c r="A96" s="8" t="s">
        <v>112</v>
      </c>
      <c r="B96" s="9">
        <v>477.55399999999997</v>
      </c>
      <c r="C96" s="1">
        <v>43011</v>
      </c>
    </row>
    <row r="97" spans="1:3" x14ac:dyDescent="0.25">
      <c r="A97" s="8" t="s">
        <v>113</v>
      </c>
      <c r="B97" s="9">
        <v>342.97059999999982</v>
      </c>
      <c r="C97" s="1">
        <v>43011</v>
      </c>
    </row>
    <row r="98" spans="1:3" x14ac:dyDescent="0.25">
      <c r="A98" s="8" t="s">
        <v>114</v>
      </c>
      <c r="B98" s="9">
        <v>664.2342000000001</v>
      </c>
      <c r="C98" s="1">
        <v>43011</v>
      </c>
    </row>
    <row r="99" spans="1:3" x14ac:dyDescent="0.25">
      <c r="A99" s="8" t="s">
        <v>115</v>
      </c>
      <c r="B99" s="9">
        <v>538.33359999999993</v>
      </c>
      <c r="C99" s="1">
        <v>43011</v>
      </c>
    </row>
    <row r="100" spans="1:3" x14ac:dyDescent="0.25">
      <c r="A100" s="8" t="s">
        <v>106</v>
      </c>
      <c r="B100" s="9">
        <v>360.33619999999985</v>
      </c>
      <c r="C100" s="1">
        <v>43038</v>
      </c>
    </row>
    <row r="101" spans="1:3" x14ac:dyDescent="0.25">
      <c r="A101" s="8" t="s">
        <v>107</v>
      </c>
      <c r="B101" s="9">
        <v>143.26619999999988</v>
      </c>
      <c r="C101" s="1">
        <v>43038</v>
      </c>
    </row>
    <row r="102" spans="1:3" x14ac:dyDescent="0.25">
      <c r="A102" s="8" t="s">
        <v>108</v>
      </c>
      <c r="B102" s="9">
        <v>97.681500000000085</v>
      </c>
      <c r="C102" s="1">
        <v>43038</v>
      </c>
    </row>
    <row r="103" spans="1:3" x14ac:dyDescent="0.25">
      <c r="A103" s="8" t="s">
        <v>109</v>
      </c>
      <c r="B103" s="9">
        <v>638.18580000000009</v>
      </c>
      <c r="C103" s="1">
        <v>43038</v>
      </c>
    </row>
    <row r="104" spans="1:3" x14ac:dyDescent="0.25">
      <c r="A104" s="8" t="s">
        <v>110</v>
      </c>
      <c r="B104" s="9">
        <v>173.65600000000015</v>
      </c>
      <c r="C104" s="1">
        <v>43038</v>
      </c>
    </row>
    <row r="105" spans="1:3" x14ac:dyDescent="0.25">
      <c r="A105" s="8" t="s">
        <v>111</v>
      </c>
      <c r="B105" s="9">
        <v>371.18969999999985</v>
      </c>
      <c r="C105" s="1">
        <v>43038</v>
      </c>
    </row>
    <row r="106" spans="1:3" x14ac:dyDescent="0.25">
      <c r="A106" s="8" t="s">
        <v>112</v>
      </c>
      <c r="B106" s="9">
        <v>264.8254</v>
      </c>
      <c r="C106" s="1">
        <v>43038</v>
      </c>
    </row>
    <row r="107" spans="1:3" x14ac:dyDescent="0.25">
      <c r="A107" s="8" t="s">
        <v>113</v>
      </c>
      <c r="B107" s="9">
        <v>191.02160000000015</v>
      </c>
      <c r="C107" s="1">
        <v>43038</v>
      </c>
    </row>
    <row r="108" spans="1:3" x14ac:dyDescent="0.25">
      <c r="A108" s="8" t="s">
        <v>114</v>
      </c>
      <c r="B108" s="9">
        <v>392.89670000000012</v>
      </c>
      <c r="C108" s="1">
        <v>43038</v>
      </c>
    </row>
    <row r="109" spans="1:3" x14ac:dyDescent="0.25">
      <c r="A109" s="8" t="s">
        <v>115</v>
      </c>
      <c r="B109" s="9">
        <v>475.38330000000019</v>
      </c>
      <c r="C109" s="1">
        <v>43038</v>
      </c>
    </row>
    <row r="110" spans="1:3" x14ac:dyDescent="0.25">
      <c r="A110" s="8" t="s">
        <v>106</v>
      </c>
      <c r="B110" s="9">
        <v>466.70049999999998</v>
      </c>
      <c r="C110" s="1">
        <v>43091</v>
      </c>
    </row>
    <row r="111" spans="1:3" x14ac:dyDescent="0.25">
      <c r="A111" s="8" t="s">
        <v>107</v>
      </c>
      <c r="B111" s="9">
        <v>822.69529999999975</v>
      </c>
      <c r="C111" s="1">
        <v>43091</v>
      </c>
    </row>
    <row r="112" spans="1:3" x14ac:dyDescent="0.25">
      <c r="A112" s="8" t="s">
        <v>108</v>
      </c>
      <c r="B112" s="9">
        <v>722.84309999999994</v>
      </c>
      <c r="C112" s="1">
        <v>43091</v>
      </c>
    </row>
    <row r="113" spans="1:3" x14ac:dyDescent="0.25">
      <c r="A113" s="8" t="s">
        <v>109</v>
      </c>
      <c r="B113" s="9">
        <v>523.1387000000002</v>
      </c>
      <c r="C113" s="1">
        <v>43091</v>
      </c>
    </row>
    <row r="114" spans="1:3" x14ac:dyDescent="0.25">
      <c r="A114" s="8" t="s">
        <v>110</v>
      </c>
      <c r="B114" s="9">
        <v>199.70440000000019</v>
      </c>
      <c r="C114" s="1">
        <v>43091</v>
      </c>
    </row>
    <row r="115" spans="1:3" x14ac:dyDescent="0.25">
      <c r="A115" s="8" t="s">
        <v>111</v>
      </c>
      <c r="B115" s="9">
        <v>421.11579999999981</v>
      </c>
      <c r="C115" s="1">
        <v>43091</v>
      </c>
    </row>
    <row r="116" spans="1:3" x14ac:dyDescent="0.25">
      <c r="A116" s="8" t="s">
        <v>112</v>
      </c>
      <c r="B116" s="9">
        <v>790.1347999999997</v>
      </c>
      <c r="C116" s="1">
        <v>43091</v>
      </c>
    </row>
    <row r="117" spans="1:3" x14ac:dyDescent="0.25">
      <c r="A117" s="8" t="s">
        <v>113</v>
      </c>
      <c r="B117" s="9">
        <v>429.79860000000014</v>
      </c>
      <c r="C117" s="1">
        <v>43091</v>
      </c>
    </row>
    <row r="118" spans="1:3" x14ac:dyDescent="0.25">
      <c r="A118" s="8" t="s">
        <v>114</v>
      </c>
      <c r="B118" s="9">
        <v>733.69660000000022</v>
      </c>
      <c r="C118" s="1">
        <v>43091</v>
      </c>
    </row>
    <row r="119" spans="1:3" x14ac:dyDescent="0.25">
      <c r="A119" s="8" t="s">
        <v>115</v>
      </c>
      <c r="B119" s="9">
        <v>327.77570000000003</v>
      </c>
      <c r="C119" s="1">
        <v>43091</v>
      </c>
    </row>
    <row r="120" spans="1:3" x14ac:dyDescent="0.25">
      <c r="A120" t="s">
        <v>135</v>
      </c>
      <c r="B120">
        <v>19.960459770114824</v>
      </c>
      <c r="C120" s="1">
        <v>43255</v>
      </c>
    </row>
    <row r="121" spans="1:3" x14ac:dyDescent="0.25">
      <c r="A121" t="s">
        <v>136</v>
      </c>
      <c r="B121">
        <v>361.78333333333325</v>
      </c>
      <c r="C121" s="1">
        <v>43255</v>
      </c>
    </row>
    <row r="122" spans="1:3" x14ac:dyDescent="0.25">
      <c r="A122" t="s">
        <v>137</v>
      </c>
      <c r="B122">
        <v>308.23939999999993</v>
      </c>
      <c r="C122" s="1">
        <v>43255</v>
      </c>
    </row>
    <row r="123" spans="1:3" x14ac:dyDescent="0.25">
      <c r="A123" t="s">
        <v>138</v>
      </c>
      <c r="B123">
        <v>86.828000000000074</v>
      </c>
      <c r="C123" s="1">
        <v>43255</v>
      </c>
    </row>
    <row r="124" spans="1:3" x14ac:dyDescent="0.25">
      <c r="A124" t="s">
        <v>139</v>
      </c>
      <c r="B124">
        <v>533.94229885057462</v>
      </c>
      <c r="C124" s="1">
        <v>43255</v>
      </c>
    </row>
    <row r="125" spans="1:3" x14ac:dyDescent="0.25">
      <c r="A125" t="s">
        <v>140</v>
      </c>
      <c r="B125">
        <v>190.66959459459449</v>
      </c>
      <c r="C125" s="1">
        <v>43255</v>
      </c>
    </row>
    <row r="126" spans="1:3" x14ac:dyDescent="0.25">
      <c r="A126" t="s">
        <v>141</v>
      </c>
      <c r="B126">
        <v>306.06870000000004</v>
      </c>
      <c r="C126" s="1">
        <v>43255</v>
      </c>
    </row>
    <row r="127" spans="1:3" x14ac:dyDescent="0.25">
      <c r="A127" t="s">
        <v>142</v>
      </c>
      <c r="B127">
        <v>282.19099999999975</v>
      </c>
      <c r="C127" s="1">
        <v>43255</v>
      </c>
    </row>
    <row r="128" spans="1:3" x14ac:dyDescent="0.25">
      <c r="A128" t="s">
        <v>143</v>
      </c>
      <c r="B128">
        <v>169.66390804597688</v>
      </c>
      <c r="C128" s="1">
        <v>43255</v>
      </c>
    </row>
    <row r="129" spans="1:3" x14ac:dyDescent="0.25">
      <c r="A129" t="s">
        <v>144</v>
      </c>
      <c r="B129">
        <v>190.66959459459449</v>
      </c>
      <c r="C129" s="1">
        <v>43255</v>
      </c>
    </row>
    <row r="130" spans="1:3" x14ac:dyDescent="0.25">
      <c r="A130" t="s">
        <v>145</v>
      </c>
      <c r="B130">
        <v>323.43430000000006</v>
      </c>
      <c r="C130" s="1">
        <v>43255</v>
      </c>
    </row>
    <row r="131" spans="1:3" x14ac:dyDescent="0.25">
      <c r="A131" t="s">
        <v>146</v>
      </c>
      <c r="B131">
        <v>80.315899999999829</v>
      </c>
      <c r="C131" s="1">
        <v>43255</v>
      </c>
    </row>
    <row r="132" spans="1:3" x14ac:dyDescent="0.25">
      <c r="A132" t="s">
        <v>147</v>
      </c>
      <c r="B132">
        <v>306.89206896551724</v>
      </c>
      <c r="C132" s="1">
        <v>43255</v>
      </c>
    </row>
    <row r="133" spans="1:3" x14ac:dyDescent="0.25">
      <c r="A133" t="s">
        <v>148</v>
      </c>
      <c r="B133">
        <v>320.22713963963963</v>
      </c>
      <c r="C133" s="1">
        <v>43255</v>
      </c>
    </row>
    <row r="134" spans="1:3" x14ac:dyDescent="0.25">
      <c r="A134" t="s">
        <v>149</v>
      </c>
      <c r="B134">
        <v>375.53109999999981</v>
      </c>
      <c r="C134" s="1">
        <v>43255</v>
      </c>
    </row>
    <row r="135" spans="1:3" x14ac:dyDescent="0.25">
      <c r="A135" t="s">
        <v>150</v>
      </c>
      <c r="B135">
        <v>436.31069999999994</v>
      </c>
      <c r="C135" s="1">
        <v>43255</v>
      </c>
    </row>
    <row r="136" spans="1:3" x14ac:dyDescent="0.25">
      <c r="A136" t="s">
        <v>151</v>
      </c>
      <c r="B136">
        <v>107.28747126436764</v>
      </c>
      <c r="C136" s="1">
        <v>43255</v>
      </c>
    </row>
    <row r="137" spans="1:3" x14ac:dyDescent="0.25">
      <c r="A137" t="s">
        <v>152</v>
      </c>
      <c r="B137">
        <v>70.88997747747753</v>
      </c>
      <c r="C137" s="1">
        <v>43255</v>
      </c>
    </row>
    <row r="138" spans="1:3" x14ac:dyDescent="0.25">
      <c r="A138" t="s">
        <v>153</v>
      </c>
      <c r="B138">
        <v>112.87639999999998</v>
      </c>
      <c r="C138" s="1">
        <v>43255</v>
      </c>
    </row>
    <row r="139" spans="1:3" x14ac:dyDescent="0.25">
      <c r="A139" t="s">
        <v>154</v>
      </c>
      <c r="B139">
        <v>36.901900000000033</v>
      </c>
      <c r="C139" s="1">
        <v>43255</v>
      </c>
    </row>
    <row r="140" spans="1:3" x14ac:dyDescent="0.25">
      <c r="A140" t="s">
        <v>155</v>
      </c>
      <c r="B140">
        <v>511.4867816091953</v>
      </c>
      <c r="C140" s="1">
        <v>43255</v>
      </c>
    </row>
    <row r="141" spans="1:3" x14ac:dyDescent="0.25">
      <c r="A141" t="s">
        <v>156</v>
      </c>
      <c r="B141">
        <v>410.67297297297301</v>
      </c>
      <c r="C141" s="1">
        <v>43255</v>
      </c>
    </row>
    <row r="142" spans="1:3" x14ac:dyDescent="0.25">
      <c r="A142" t="s">
        <v>157</v>
      </c>
      <c r="B142">
        <v>284.36169999999998</v>
      </c>
      <c r="C142" s="1">
        <v>43255</v>
      </c>
    </row>
    <row r="143" spans="1:3" x14ac:dyDescent="0.25">
      <c r="A143" t="s">
        <v>158</v>
      </c>
      <c r="B143">
        <v>199.70440000000019</v>
      </c>
      <c r="C143" s="1">
        <v>43255</v>
      </c>
    </row>
    <row r="144" spans="1:3" x14ac:dyDescent="0.25">
      <c r="A144" t="s">
        <v>160</v>
      </c>
      <c r="B144">
        <v>323.43430000000006</v>
      </c>
      <c r="C144" s="1">
        <v>43256</v>
      </c>
    </row>
    <row r="145" spans="1:3" x14ac:dyDescent="0.25">
      <c r="A145" t="s">
        <v>161</v>
      </c>
      <c r="B145">
        <v>225.75279999999995</v>
      </c>
      <c r="C145" s="1">
        <v>43256</v>
      </c>
    </row>
    <row r="146" spans="1:3" x14ac:dyDescent="0.25">
      <c r="A146" t="s">
        <v>162</v>
      </c>
      <c r="B146">
        <v>154.11970000000002</v>
      </c>
      <c r="C146" s="1">
        <v>43256</v>
      </c>
    </row>
    <row r="147" spans="1:3" x14ac:dyDescent="0.25">
      <c r="A147" t="s">
        <v>163</v>
      </c>
      <c r="B147">
        <v>323.43429999999984</v>
      </c>
      <c r="C147" s="1">
        <v>43256</v>
      </c>
    </row>
    <row r="148" spans="1:3" x14ac:dyDescent="0.25">
      <c r="A148" t="s">
        <v>164</v>
      </c>
      <c r="B148">
        <v>592.60109999999997</v>
      </c>
      <c r="C148" s="1">
        <v>43256</v>
      </c>
    </row>
    <row r="149" spans="1:3" x14ac:dyDescent="0.25">
      <c r="A149" t="s">
        <v>165</v>
      </c>
      <c r="B149">
        <v>182.33879999999991</v>
      </c>
      <c r="C149" s="1">
        <v>43256</v>
      </c>
    </row>
    <row r="150" spans="1:3" x14ac:dyDescent="0.25">
      <c r="A150" t="s">
        <v>166</v>
      </c>
      <c r="B150">
        <v>583.91830000000004</v>
      </c>
      <c r="C150" s="1">
        <v>43256</v>
      </c>
    </row>
    <row r="151" spans="1:3" x14ac:dyDescent="0.25">
      <c r="A151" t="s">
        <v>167</v>
      </c>
      <c r="B151">
        <v>490.57819999999998</v>
      </c>
      <c r="C151" s="1">
        <v>43256</v>
      </c>
    </row>
    <row r="152" spans="1:3" x14ac:dyDescent="0.25">
      <c r="A152" t="s">
        <v>168</v>
      </c>
      <c r="B152">
        <v>104.19359999999998</v>
      </c>
      <c r="C152" s="1">
        <v>43256</v>
      </c>
    </row>
    <row r="153" spans="1:3" x14ac:dyDescent="0.25">
      <c r="A153" t="s">
        <v>169</v>
      </c>
      <c r="B153">
        <v>1248.1524999999999</v>
      </c>
      <c r="C153" s="1">
        <v>43256</v>
      </c>
    </row>
    <row r="154" spans="1:3" x14ac:dyDescent="0.25">
      <c r="A154" t="s">
        <v>170</v>
      </c>
      <c r="B154">
        <v>160.63180000000003</v>
      </c>
      <c r="C154" s="1">
        <v>43256</v>
      </c>
    </row>
    <row r="155" spans="1:3" x14ac:dyDescent="0.25">
      <c r="A155" t="s">
        <v>171</v>
      </c>
      <c r="B155">
        <v>123.72990000000011</v>
      </c>
      <c r="C155" s="1">
        <v>43256</v>
      </c>
    </row>
    <row r="156" spans="1:3" x14ac:dyDescent="0.25">
      <c r="A156" t="s">
        <v>172</v>
      </c>
      <c r="B156">
        <v>460.18839999999977</v>
      </c>
      <c r="C156" s="1">
        <v>43256</v>
      </c>
    </row>
    <row r="157" spans="1:3" x14ac:dyDescent="0.25">
      <c r="A157" t="s">
        <v>173</v>
      </c>
      <c r="B157">
        <v>160.63179999999988</v>
      </c>
      <c r="C157" s="1">
        <v>43256</v>
      </c>
    </row>
    <row r="158" spans="1:3" x14ac:dyDescent="0.25">
      <c r="A158" t="s">
        <v>174</v>
      </c>
      <c r="B158">
        <v>382.04319999999996</v>
      </c>
      <c r="C158" s="1">
        <v>43256</v>
      </c>
    </row>
    <row r="159" spans="1:3" x14ac:dyDescent="0.25">
      <c r="A159" t="s">
        <v>175</v>
      </c>
      <c r="B159">
        <v>319.09289999999999</v>
      </c>
      <c r="C159" s="1">
        <v>43256</v>
      </c>
    </row>
    <row r="160" spans="1:3" x14ac:dyDescent="0.25">
      <c r="A160" t="s">
        <v>176</v>
      </c>
      <c r="B160">
        <v>575.23549999999989</v>
      </c>
      <c r="C160" s="1">
        <v>43256</v>
      </c>
    </row>
    <row r="161" spans="1:3" x14ac:dyDescent="0.25">
      <c r="A161" t="s">
        <v>177</v>
      </c>
      <c r="B161">
        <v>112.87639999999998</v>
      </c>
      <c r="C161" s="1">
        <v>43256</v>
      </c>
    </row>
    <row r="162" spans="1:3" x14ac:dyDescent="0.25">
      <c r="A162" t="s">
        <v>178</v>
      </c>
      <c r="B162">
        <v>375.53109999999998</v>
      </c>
      <c r="C162" s="1">
        <v>43256</v>
      </c>
    </row>
    <row r="163" spans="1:3" x14ac:dyDescent="0.25">
      <c r="A163" t="s">
        <v>179</v>
      </c>
      <c r="B163">
        <v>514.45590000000016</v>
      </c>
      <c r="C163" s="1">
        <v>43256</v>
      </c>
    </row>
    <row r="164" spans="1:3" x14ac:dyDescent="0.25">
      <c r="A164" t="s">
        <v>180</v>
      </c>
      <c r="B164">
        <v>349.48269999999991</v>
      </c>
      <c r="C164" s="1">
        <v>43256</v>
      </c>
    </row>
    <row r="165" spans="1:3" x14ac:dyDescent="0.25">
      <c r="A165" t="s">
        <v>181</v>
      </c>
      <c r="B165">
        <v>54.267500000000048</v>
      </c>
      <c r="C165" s="1">
        <v>43256</v>
      </c>
    </row>
    <row r="166" spans="1:3" x14ac:dyDescent="0.25">
      <c r="A166" t="s">
        <v>182</v>
      </c>
      <c r="B166">
        <v>410.26229999999998</v>
      </c>
      <c r="C166" s="1">
        <v>43256</v>
      </c>
    </row>
    <row r="167" spans="1:3" x14ac:dyDescent="0.25">
      <c r="A167" t="s">
        <v>183</v>
      </c>
      <c r="B167">
        <v>306.06869999999992</v>
      </c>
      <c r="C167" s="1">
        <v>43256</v>
      </c>
    </row>
    <row r="168" spans="1:3" x14ac:dyDescent="0.25">
      <c r="A168" t="s">
        <v>184</v>
      </c>
      <c r="B168">
        <v>553.52849999999978</v>
      </c>
      <c r="C168" s="1">
        <v>43257</v>
      </c>
    </row>
    <row r="169" spans="1:3" x14ac:dyDescent="0.25">
      <c r="A169" t="s">
        <v>185</v>
      </c>
      <c r="B169">
        <v>570.89409999999998</v>
      </c>
      <c r="C169" s="1">
        <v>43257</v>
      </c>
    </row>
    <row r="170" spans="1:3" x14ac:dyDescent="0.25">
      <c r="A170" t="s">
        <v>186</v>
      </c>
      <c r="B170">
        <v>831.37810000000002</v>
      </c>
      <c r="C170" s="1">
        <v>43257</v>
      </c>
    </row>
    <row r="171" spans="1:3" x14ac:dyDescent="0.25">
      <c r="A171" t="s">
        <v>187</v>
      </c>
      <c r="B171">
        <v>449.33489999999989</v>
      </c>
      <c r="C171" s="1">
        <v>43257</v>
      </c>
    </row>
    <row r="172" spans="1:3" x14ac:dyDescent="0.25">
      <c r="A172" t="s">
        <v>188</v>
      </c>
      <c r="B172">
        <v>336.45850000000007</v>
      </c>
      <c r="C172" s="1">
        <v>43257</v>
      </c>
    </row>
    <row r="173" spans="1:3" x14ac:dyDescent="0.25">
      <c r="A173" t="s">
        <v>189</v>
      </c>
      <c r="B173">
        <v>388.55530000000016</v>
      </c>
      <c r="C173" s="1">
        <v>43257</v>
      </c>
    </row>
    <row r="174" spans="1:3" x14ac:dyDescent="0.25">
      <c r="A174" t="s">
        <v>190</v>
      </c>
      <c r="B174">
        <v>310.41009999999977</v>
      </c>
      <c r="C174" s="1">
        <v>43257</v>
      </c>
    </row>
    <row r="175" spans="1:3" x14ac:dyDescent="0.25">
      <c r="A175" t="s">
        <v>191</v>
      </c>
      <c r="B175">
        <v>184.50949999999995</v>
      </c>
      <c r="C175" s="1">
        <v>43257</v>
      </c>
    </row>
    <row r="176" spans="1:3" x14ac:dyDescent="0.25">
      <c r="A176" t="s">
        <v>192</v>
      </c>
      <c r="B176">
        <v>191.02159999999995</v>
      </c>
      <c r="C176" s="1">
        <v>43257</v>
      </c>
    </row>
    <row r="177" spans="1:3" x14ac:dyDescent="0.25">
      <c r="A177" t="s">
        <v>193</v>
      </c>
      <c r="B177">
        <v>397.23810000000003</v>
      </c>
      <c r="C177" s="1">
        <v>43257</v>
      </c>
    </row>
    <row r="178" spans="1:3" x14ac:dyDescent="0.25">
      <c r="A178" t="s">
        <v>194</v>
      </c>
      <c r="B178">
        <v>360.33619999999991</v>
      </c>
      <c r="C178" s="1">
        <v>43257</v>
      </c>
    </row>
    <row r="179" spans="1:3" x14ac:dyDescent="0.25">
      <c r="A179" t="s">
        <v>195</v>
      </c>
      <c r="B179">
        <v>314.75149999999979</v>
      </c>
      <c r="C179" s="1">
        <v>43257</v>
      </c>
    </row>
    <row r="180" spans="1:3" x14ac:dyDescent="0.25">
      <c r="A180" t="s">
        <v>196</v>
      </c>
      <c r="B180">
        <v>883.47490000000005</v>
      </c>
      <c r="C180" s="10">
        <v>43258</v>
      </c>
    </row>
    <row r="181" spans="1:3" x14ac:dyDescent="0.25">
      <c r="A181" t="s">
        <v>197</v>
      </c>
      <c r="B181">
        <v>562.21129999999994</v>
      </c>
      <c r="C181" s="10">
        <v>43258</v>
      </c>
    </row>
    <row r="182" spans="1:3" x14ac:dyDescent="0.25">
      <c r="A182" t="s">
        <v>198</v>
      </c>
      <c r="B182">
        <v>1033.2531999999999</v>
      </c>
      <c r="C182" s="10">
        <v>43258</v>
      </c>
    </row>
    <row r="183" spans="1:3" x14ac:dyDescent="0.25">
      <c r="A183" t="s">
        <v>199</v>
      </c>
      <c r="B183">
        <v>258.31330000000025</v>
      </c>
      <c r="C183" s="10">
        <v>43258</v>
      </c>
    </row>
    <row r="184" spans="1:3" x14ac:dyDescent="0.25">
      <c r="A184" t="s">
        <v>200</v>
      </c>
      <c r="B184">
        <v>115.04709999999999</v>
      </c>
      <c r="C184" s="10">
        <v>43258</v>
      </c>
    </row>
    <row r="185" spans="1:3" x14ac:dyDescent="0.25">
      <c r="A185" t="s">
        <v>201</v>
      </c>
      <c r="B185">
        <v>275.6789</v>
      </c>
      <c r="C185" s="10">
        <v>43258</v>
      </c>
    </row>
    <row r="186" spans="1:3" x14ac:dyDescent="0.25">
      <c r="A186" t="s">
        <v>202</v>
      </c>
      <c r="B186">
        <v>162.80250000000015</v>
      </c>
      <c r="C186" s="10">
        <v>43258</v>
      </c>
    </row>
    <row r="187" spans="1:3" x14ac:dyDescent="0.25">
      <c r="A187" t="s">
        <v>203</v>
      </c>
      <c r="B187">
        <v>386.38459999999986</v>
      </c>
      <c r="C187" s="10">
        <v>43258</v>
      </c>
    </row>
    <row r="188" spans="1:3" x14ac:dyDescent="0.25">
      <c r="A188" t="s">
        <v>204</v>
      </c>
      <c r="B188">
        <v>219.24069999999995</v>
      </c>
      <c r="C188" s="10">
        <v>43258</v>
      </c>
    </row>
    <row r="189" spans="1:3" x14ac:dyDescent="0.25">
      <c r="A189" t="s">
        <v>205</v>
      </c>
      <c r="B189">
        <v>164.97320000000016</v>
      </c>
      <c r="C189" s="10">
        <v>43258</v>
      </c>
    </row>
    <row r="190" spans="1:3" x14ac:dyDescent="0.25">
      <c r="A190" t="s">
        <v>206</v>
      </c>
      <c r="B190">
        <v>518.79730000000029</v>
      </c>
      <c r="C190" s="10">
        <v>43258</v>
      </c>
    </row>
    <row r="191" spans="1:3" x14ac:dyDescent="0.25">
      <c r="A191" t="s">
        <v>207</v>
      </c>
      <c r="B191">
        <v>80.315899999999829</v>
      </c>
      <c r="C191" s="10">
        <v>43258</v>
      </c>
    </row>
    <row r="192" spans="1:3" x14ac:dyDescent="0.25">
      <c r="A192" t="s">
        <v>208</v>
      </c>
      <c r="B192">
        <v>948.59589999999992</v>
      </c>
      <c r="C192" s="10">
        <v>43259</v>
      </c>
    </row>
    <row r="193" spans="1:3" x14ac:dyDescent="0.25">
      <c r="A193" t="s">
        <v>209</v>
      </c>
      <c r="B193">
        <v>73.803800000000066</v>
      </c>
      <c r="C193" s="10">
        <v>43259</v>
      </c>
    </row>
    <row r="194" spans="1:3" x14ac:dyDescent="0.25">
      <c r="A194" t="s">
        <v>210</v>
      </c>
      <c r="B194">
        <v>1714.8529999999996</v>
      </c>
      <c r="C194" s="10">
        <v>43259</v>
      </c>
    </row>
    <row r="195" spans="1:3" x14ac:dyDescent="0.25">
      <c r="A195" t="s">
        <v>211</v>
      </c>
      <c r="B195">
        <v>440.65209999999979</v>
      </c>
      <c r="C195" s="10">
        <v>43259</v>
      </c>
    </row>
    <row r="196" spans="1:3" x14ac:dyDescent="0.25">
      <c r="A196" t="s">
        <v>212</v>
      </c>
      <c r="B196">
        <v>49.926100000000048</v>
      </c>
      <c r="C196" s="10">
        <v>43259</v>
      </c>
    </row>
    <row r="197" spans="1:3" x14ac:dyDescent="0.25">
      <c r="A197" t="s">
        <v>262</v>
      </c>
      <c r="B197">
        <v>1206.9092000000001</v>
      </c>
      <c r="C197" s="10">
        <v>43259</v>
      </c>
    </row>
    <row r="198" spans="1:3" x14ac:dyDescent="0.25">
      <c r="A198" t="s">
        <v>213</v>
      </c>
      <c r="B198">
        <v>336.45850000000007</v>
      </c>
      <c r="C198" s="10">
        <v>43259</v>
      </c>
    </row>
    <row r="199" spans="1:3" x14ac:dyDescent="0.25">
      <c r="A199" t="s">
        <v>214</v>
      </c>
      <c r="B199">
        <v>110.70569999999996</v>
      </c>
      <c r="C199" s="10">
        <v>43259</v>
      </c>
    </row>
    <row r="200" spans="1:3" x14ac:dyDescent="0.25">
      <c r="A200" t="s">
        <v>215</v>
      </c>
      <c r="B200">
        <v>293.04449999999986</v>
      </c>
      <c r="C200" s="10">
        <v>43259</v>
      </c>
    </row>
    <row r="201" spans="1:3" x14ac:dyDescent="0.25">
      <c r="A201" t="s">
        <v>216</v>
      </c>
      <c r="B201">
        <v>151.94900000000001</v>
      </c>
      <c r="C201" s="10">
        <v>43259</v>
      </c>
    </row>
    <row r="202" spans="1:3" x14ac:dyDescent="0.25">
      <c r="A202" t="s">
        <v>217</v>
      </c>
      <c r="B202">
        <v>360.33619999999991</v>
      </c>
      <c r="C202" s="10">
        <v>43259</v>
      </c>
    </row>
    <row r="203" spans="1:3" x14ac:dyDescent="0.25">
      <c r="A203" t="s">
        <v>263</v>
      </c>
      <c r="B203">
        <v>284.36169999999998</v>
      </c>
      <c r="C203" s="10">
        <v>43259</v>
      </c>
    </row>
    <row r="204" spans="1:3" x14ac:dyDescent="0.25">
      <c r="A204" t="s">
        <v>218</v>
      </c>
      <c r="B204">
        <v>588.25970000000007</v>
      </c>
      <c r="C204" s="1">
        <v>43262</v>
      </c>
    </row>
    <row r="205" spans="1:3" x14ac:dyDescent="0.25">
      <c r="A205" t="s">
        <v>219</v>
      </c>
      <c r="B205">
        <v>520.96800000000007</v>
      </c>
      <c r="C205" s="1">
        <v>43262</v>
      </c>
    </row>
    <row r="206" spans="1:3" x14ac:dyDescent="0.25">
      <c r="A206" t="s">
        <v>220</v>
      </c>
      <c r="B206">
        <v>633.84440000000006</v>
      </c>
      <c r="C206" s="1">
        <v>43262</v>
      </c>
    </row>
    <row r="207" spans="1:3" x14ac:dyDescent="0.25">
      <c r="A207" t="s">
        <v>221</v>
      </c>
      <c r="B207">
        <v>633.84439999999995</v>
      </c>
      <c r="C207" s="1">
        <v>43262</v>
      </c>
    </row>
    <row r="208" spans="1:3" x14ac:dyDescent="0.25">
      <c r="A208" t="s">
        <v>222</v>
      </c>
      <c r="B208">
        <v>651.21000000000015</v>
      </c>
      <c r="C208" s="1">
        <v>43262</v>
      </c>
    </row>
    <row r="209" spans="1:3" x14ac:dyDescent="0.25">
      <c r="A209" t="s">
        <v>223</v>
      </c>
      <c r="B209">
        <v>188.85089999999991</v>
      </c>
      <c r="C209" s="1">
        <v>43262</v>
      </c>
    </row>
    <row r="210" spans="1:3" x14ac:dyDescent="0.25">
      <c r="A210" t="s">
        <v>224</v>
      </c>
      <c r="B210">
        <v>286.5324</v>
      </c>
      <c r="C210" s="1">
        <v>43262</v>
      </c>
    </row>
    <row r="211" spans="1:3" x14ac:dyDescent="0.25">
      <c r="A211" t="s">
        <v>225</v>
      </c>
      <c r="B211">
        <v>427.62790000000007</v>
      </c>
      <c r="C211" s="1">
        <v>43262</v>
      </c>
    </row>
    <row r="212" spans="1:3" x14ac:dyDescent="0.25">
      <c r="A212" t="s">
        <v>226</v>
      </c>
      <c r="B212">
        <v>479.72469999999998</v>
      </c>
      <c r="C212" s="1">
        <v>43262</v>
      </c>
    </row>
    <row r="213" spans="1:3" x14ac:dyDescent="0.25">
      <c r="A213" t="s">
        <v>227</v>
      </c>
      <c r="B213">
        <v>586.08900000000006</v>
      </c>
      <c r="C213" s="1">
        <v>43262</v>
      </c>
    </row>
    <row r="214" spans="1:3" x14ac:dyDescent="0.25">
      <c r="A214" t="s">
        <v>228</v>
      </c>
      <c r="B214">
        <v>319.09289999999993</v>
      </c>
      <c r="C214" s="1">
        <v>43262</v>
      </c>
    </row>
    <row r="215" spans="1:3" x14ac:dyDescent="0.25">
      <c r="A215" t="s">
        <v>229</v>
      </c>
      <c r="B215">
        <v>132.41269999999989</v>
      </c>
      <c r="C215" s="1">
        <v>43262</v>
      </c>
    </row>
    <row r="216" spans="1:3" x14ac:dyDescent="0.25">
      <c r="A216" t="s">
        <v>230</v>
      </c>
      <c r="B216">
        <v>177.99739999999997</v>
      </c>
      <c r="C216" s="1">
        <v>43263</v>
      </c>
    </row>
    <row r="217" spans="1:3" x14ac:dyDescent="0.25">
      <c r="A217" t="s">
        <v>231</v>
      </c>
      <c r="B217">
        <v>177.99740000000006</v>
      </c>
      <c r="C217" s="1">
        <v>43263</v>
      </c>
    </row>
    <row r="218" spans="1:3" x14ac:dyDescent="0.25">
      <c r="A218" t="s">
        <v>232</v>
      </c>
      <c r="B218">
        <v>102.02290000000002</v>
      </c>
      <c r="C218" s="1">
        <v>43263</v>
      </c>
    </row>
    <row r="219" spans="1:3" x14ac:dyDescent="0.25">
      <c r="A219" t="s">
        <v>233</v>
      </c>
      <c r="B219">
        <v>158.46110000000002</v>
      </c>
      <c r="C219" s="1">
        <v>43263</v>
      </c>
    </row>
    <row r="220" spans="1:3" x14ac:dyDescent="0.25">
      <c r="A220" t="s">
        <v>234</v>
      </c>
      <c r="B220">
        <v>175.82670000000013</v>
      </c>
      <c r="C220" s="1">
        <v>43263</v>
      </c>
    </row>
    <row r="221" spans="1:3" x14ac:dyDescent="0.25">
      <c r="A221" t="s">
        <v>235</v>
      </c>
      <c r="B221">
        <v>15.194899999999894</v>
      </c>
      <c r="C221" s="1">
        <v>43263</v>
      </c>
    </row>
    <row r="222" spans="1:3" x14ac:dyDescent="0.25">
      <c r="A222" t="s">
        <v>236</v>
      </c>
      <c r="B222">
        <v>358.16549999999995</v>
      </c>
      <c r="C222" s="1">
        <v>43263</v>
      </c>
    </row>
    <row r="223" spans="1:3" x14ac:dyDescent="0.25">
      <c r="A223" t="s">
        <v>237</v>
      </c>
      <c r="B223">
        <v>327.77570000000003</v>
      </c>
      <c r="C223" s="1">
        <v>43263</v>
      </c>
    </row>
    <row r="224" spans="1:3" x14ac:dyDescent="0.25">
      <c r="A224" t="s">
        <v>238</v>
      </c>
      <c r="B224">
        <v>132.4127</v>
      </c>
      <c r="C224" s="1">
        <v>43263</v>
      </c>
    </row>
    <row r="225" spans="1:3" x14ac:dyDescent="0.25">
      <c r="A225" t="s">
        <v>239</v>
      </c>
      <c r="B225">
        <v>312.58080000000001</v>
      </c>
      <c r="C225" s="1">
        <v>43263</v>
      </c>
    </row>
    <row r="226" spans="1:3" x14ac:dyDescent="0.25">
      <c r="A226" t="s">
        <v>240</v>
      </c>
      <c r="B226">
        <v>125.9006</v>
      </c>
      <c r="C226" s="1">
        <v>43263</v>
      </c>
    </row>
    <row r="227" spans="1:3" x14ac:dyDescent="0.25">
      <c r="A227" t="s">
        <v>241</v>
      </c>
      <c r="B227">
        <v>447.16419999999994</v>
      </c>
      <c r="C227" s="1">
        <v>43263</v>
      </c>
    </row>
    <row r="228" spans="1:3" x14ac:dyDescent="0.25">
      <c r="A228" t="s">
        <v>264</v>
      </c>
      <c r="B228">
        <v>271.33750000000003</v>
      </c>
      <c r="C228" s="1">
        <v>43263</v>
      </c>
    </row>
    <row r="229" spans="1:3" x14ac:dyDescent="0.25">
      <c r="A229" t="s">
        <v>242</v>
      </c>
      <c r="B229">
        <v>373.36040000000003</v>
      </c>
      <c r="C229" s="1">
        <v>43263</v>
      </c>
    </row>
    <row r="230" spans="1:3" x14ac:dyDescent="0.25">
      <c r="A230" t="s">
        <v>243</v>
      </c>
      <c r="B230">
        <v>208.38720000000006</v>
      </c>
      <c r="C230" s="1">
        <v>43263</v>
      </c>
    </row>
    <row r="231" spans="1:3" x14ac:dyDescent="0.25">
      <c r="A231" t="s">
        <v>244</v>
      </c>
      <c r="B231">
        <v>260.48399999999998</v>
      </c>
      <c r="C231" s="1">
        <v>43263</v>
      </c>
    </row>
    <row r="232" spans="1:3" x14ac:dyDescent="0.25">
      <c r="A232" t="s">
        <v>245</v>
      </c>
      <c r="B232">
        <v>382.04320000000013</v>
      </c>
      <c r="C232" s="1">
        <v>43263</v>
      </c>
    </row>
    <row r="233" spans="1:3" x14ac:dyDescent="0.25">
      <c r="A233" t="s">
        <v>246</v>
      </c>
      <c r="B233">
        <v>128.07130000000001</v>
      </c>
      <c r="C233" s="1">
        <v>43263</v>
      </c>
    </row>
    <row r="234" spans="1:3" x14ac:dyDescent="0.25">
      <c r="A234" t="s">
        <v>247</v>
      </c>
      <c r="B234">
        <v>395.06739999999985</v>
      </c>
      <c r="C234" s="1">
        <v>43263</v>
      </c>
    </row>
    <row r="235" spans="1:3" x14ac:dyDescent="0.25">
      <c r="A235" t="s">
        <v>248</v>
      </c>
      <c r="B235">
        <v>210.55789999999993</v>
      </c>
      <c r="C235" s="1">
        <v>43263</v>
      </c>
    </row>
    <row r="236" spans="1:3" x14ac:dyDescent="0.25">
      <c r="A236" t="s">
        <v>249</v>
      </c>
      <c r="B236">
        <v>160.63179999999988</v>
      </c>
      <c r="C236" s="1">
        <v>43263</v>
      </c>
    </row>
    <row r="237" spans="1:3" x14ac:dyDescent="0.25">
      <c r="A237" t="s">
        <v>265</v>
      </c>
      <c r="B237">
        <v>230.09420000000009</v>
      </c>
      <c r="C237" s="1">
        <v>43263</v>
      </c>
    </row>
    <row r="238" spans="1:3" x14ac:dyDescent="0.25">
      <c r="A238" t="s">
        <v>266</v>
      </c>
      <c r="B238">
        <v>102.02289999999996</v>
      </c>
      <c r="C238" s="1">
        <v>43263</v>
      </c>
    </row>
    <row r="239" spans="1:3" x14ac:dyDescent="0.25">
      <c r="A239" t="s">
        <v>267</v>
      </c>
      <c r="B239">
        <v>110.70570000000011</v>
      </c>
      <c r="C239" s="1">
        <v>43263</v>
      </c>
    </row>
    <row r="240" spans="1:3" x14ac:dyDescent="0.25">
      <c r="A240" t="s">
        <v>250</v>
      </c>
      <c r="B240">
        <v>260.48400000000021</v>
      </c>
      <c r="C240" s="1">
        <v>43264</v>
      </c>
    </row>
    <row r="241" spans="1:3" x14ac:dyDescent="0.25">
      <c r="A241" t="s">
        <v>251</v>
      </c>
      <c r="B241">
        <v>761.91570000000002</v>
      </c>
      <c r="C241" s="1">
        <v>43264</v>
      </c>
    </row>
    <row r="242" spans="1:3" x14ac:dyDescent="0.25">
      <c r="A242" t="s">
        <v>252</v>
      </c>
      <c r="B242">
        <v>180.16810000000041</v>
      </c>
      <c r="C242" s="1">
        <v>43264</v>
      </c>
    </row>
    <row r="243" spans="1:3" x14ac:dyDescent="0.25">
      <c r="A243" t="s">
        <v>253</v>
      </c>
      <c r="B243">
        <v>262.65469999999999</v>
      </c>
      <c r="C243" s="1">
        <v>43264</v>
      </c>
    </row>
    <row r="244" spans="1:3" x14ac:dyDescent="0.25">
      <c r="A244" t="s">
        <v>254</v>
      </c>
      <c r="B244">
        <v>162.8024999999999</v>
      </c>
      <c r="C244" s="1">
        <v>43264</v>
      </c>
    </row>
    <row r="245" spans="1:3" x14ac:dyDescent="0.25">
      <c r="A245" t="s">
        <v>255</v>
      </c>
      <c r="B245">
        <v>188.85089999999991</v>
      </c>
      <c r="C245" s="1">
        <v>43264</v>
      </c>
    </row>
    <row r="246" spans="1:3" x14ac:dyDescent="0.25">
      <c r="A246" t="s">
        <v>256</v>
      </c>
      <c r="B246">
        <v>52.096799999999931</v>
      </c>
      <c r="C246" s="1">
        <v>43264</v>
      </c>
    </row>
    <row r="247" spans="1:3" x14ac:dyDescent="0.25">
      <c r="A247" t="s">
        <v>257</v>
      </c>
      <c r="B247">
        <v>19.536300000000018</v>
      </c>
      <c r="C247" s="1">
        <v>43264</v>
      </c>
    </row>
    <row r="248" spans="1:3" x14ac:dyDescent="0.25">
      <c r="A248" t="s">
        <v>258</v>
      </c>
      <c r="B248">
        <v>212.72859999999969</v>
      </c>
      <c r="C248" s="1">
        <v>43264</v>
      </c>
    </row>
    <row r="249" spans="1:3" x14ac:dyDescent="0.25">
      <c r="A249" t="s">
        <v>259</v>
      </c>
      <c r="B249">
        <v>154.11970000000002</v>
      </c>
      <c r="C249" s="1">
        <v>43264</v>
      </c>
    </row>
    <row r="250" spans="1:3" x14ac:dyDescent="0.25">
      <c r="A250" t="s">
        <v>260</v>
      </c>
      <c r="B250">
        <v>299.55660000000023</v>
      </c>
      <c r="C250" s="1">
        <v>43264</v>
      </c>
    </row>
    <row r="251" spans="1:3" x14ac:dyDescent="0.25">
      <c r="A251" t="s">
        <v>261</v>
      </c>
      <c r="B251">
        <v>78.145199999999832</v>
      </c>
      <c r="C251" s="1">
        <v>43264</v>
      </c>
    </row>
    <row r="252" spans="1:3" x14ac:dyDescent="0.25">
      <c r="A252" t="s">
        <v>135</v>
      </c>
      <c r="B252">
        <v>266.97114942528765</v>
      </c>
      <c r="C252" s="1">
        <v>43364</v>
      </c>
    </row>
    <row r="253" spans="1:3" x14ac:dyDescent="0.25">
      <c r="A253" t="s">
        <v>136</v>
      </c>
      <c r="B253">
        <v>376.45022522522521</v>
      </c>
      <c r="C253" s="1">
        <v>43364</v>
      </c>
    </row>
    <row r="254" spans="1:3" x14ac:dyDescent="0.25">
      <c r="A254" t="s">
        <v>137</v>
      </c>
      <c r="B254">
        <v>158.4610999999999</v>
      </c>
      <c r="C254" s="1">
        <v>43364</v>
      </c>
    </row>
    <row r="255" spans="1:3" x14ac:dyDescent="0.25">
      <c r="A255" t="s">
        <v>138</v>
      </c>
      <c r="B255">
        <v>97.681500000000085</v>
      </c>
      <c r="C255" s="1">
        <v>43364</v>
      </c>
    </row>
    <row r="256" spans="1:3" x14ac:dyDescent="0.25">
      <c r="A256" t="s">
        <v>139</v>
      </c>
      <c r="B256">
        <v>117.26770114942541</v>
      </c>
      <c r="C256" s="1">
        <v>43364</v>
      </c>
    </row>
    <row r="257" spans="1:3" x14ac:dyDescent="0.25">
      <c r="A257" t="s">
        <v>140</v>
      </c>
      <c r="B257">
        <v>239.55923423423442</v>
      </c>
      <c r="C257" s="1">
        <v>43364</v>
      </c>
    </row>
    <row r="258" spans="1:3" x14ac:dyDescent="0.25">
      <c r="A258" t="s">
        <v>141</v>
      </c>
      <c r="B258">
        <v>104.19360000000009</v>
      </c>
      <c r="C258" s="1">
        <v>43364</v>
      </c>
    </row>
    <row r="259" spans="1:3" x14ac:dyDescent="0.25">
      <c r="A259" t="s">
        <v>142</v>
      </c>
      <c r="B259">
        <v>71.633099999999814</v>
      </c>
      <c r="C259" s="1">
        <v>43364</v>
      </c>
    </row>
    <row r="260" spans="1:3" x14ac:dyDescent="0.25">
      <c r="A260" t="s">
        <v>143</v>
      </c>
      <c r="B260">
        <v>227.0502298850574</v>
      </c>
      <c r="C260" s="1">
        <v>43364</v>
      </c>
    </row>
    <row r="261" spans="1:3" x14ac:dyDescent="0.25">
      <c r="A261" t="s">
        <v>144</v>
      </c>
      <c r="B261">
        <v>449.78468468468475</v>
      </c>
      <c r="C261" s="1">
        <v>43364</v>
      </c>
    </row>
    <row r="262" spans="1:3" x14ac:dyDescent="0.25">
      <c r="A262" t="s">
        <v>145</v>
      </c>
      <c r="B262">
        <v>193.19230000000019</v>
      </c>
      <c r="C262" s="1">
        <v>43364</v>
      </c>
    </row>
    <row r="263" spans="1:3" x14ac:dyDescent="0.25">
      <c r="A263" t="s">
        <v>146</v>
      </c>
      <c r="B263">
        <v>169.31459999999967</v>
      </c>
      <c r="C263" s="1">
        <v>43364</v>
      </c>
    </row>
    <row r="264" spans="1:3" x14ac:dyDescent="0.25">
      <c r="A264" t="s">
        <v>147</v>
      </c>
      <c r="B264">
        <v>97.30724137931044</v>
      </c>
      <c r="C264" s="1">
        <v>43364</v>
      </c>
    </row>
    <row r="265" spans="1:3" x14ac:dyDescent="0.25">
      <c r="A265" t="s">
        <v>148</v>
      </c>
      <c r="B265">
        <v>501.11880630630645</v>
      </c>
      <c r="C265" s="1">
        <v>43364</v>
      </c>
    </row>
    <row r="266" spans="1:3" x14ac:dyDescent="0.25">
      <c r="A266" t="s">
        <v>149</v>
      </c>
      <c r="B266">
        <v>201.87509999999995</v>
      </c>
      <c r="C266" s="1">
        <v>43364</v>
      </c>
    </row>
    <row r="267" spans="1:3" x14ac:dyDescent="0.25">
      <c r="A267" t="s">
        <v>150</v>
      </c>
      <c r="B267">
        <v>282.19100000000003</v>
      </c>
      <c r="C267" s="1">
        <v>43364</v>
      </c>
    </row>
    <row r="268" spans="1:3" x14ac:dyDescent="0.25">
      <c r="A268" t="s">
        <v>151</v>
      </c>
      <c r="B268">
        <v>164.67379310344842</v>
      </c>
      <c r="C268" s="1">
        <v>43364</v>
      </c>
    </row>
    <row r="269" spans="1:3" x14ac:dyDescent="0.25">
      <c r="A269" t="s">
        <v>152</v>
      </c>
      <c r="B269">
        <v>34.22274774774764</v>
      </c>
      <c r="C269" s="1">
        <v>43364</v>
      </c>
    </row>
    <row r="270" spans="1:3" x14ac:dyDescent="0.25">
      <c r="A270" t="s">
        <v>153</v>
      </c>
      <c r="B270">
        <v>164.97319999999991</v>
      </c>
      <c r="C270" s="1">
        <v>43364</v>
      </c>
    </row>
    <row r="271" spans="1:3" x14ac:dyDescent="0.25">
      <c r="A271" t="s">
        <v>154</v>
      </c>
      <c r="B271">
        <v>99.852200000000096</v>
      </c>
      <c r="C271" s="1">
        <v>43364</v>
      </c>
    </row>
    <row r="272" spans="1:3" x14ac:dyDescent="0.25">
      <c r="A272" t="s">
        <v>155</v>
      </c>
      <c r="B272">
        <v>556.39781609195404</v>
      </c>
      <c r="C272" s="1">
        <v>43364</v>
      </c>
    </row>
    <row r="273" spans="1:3" x14ac:dyDescent="0.25">
      <c r="A273" t="s">
        <v>156</v>
      </c>
      <c r="B273">
        <v>300.67128378378385</v>
      </c>
      <c r="C273" s="1">
        <v>43364</v>
      </c>
    </row>
    <row r="274" spans="1:3" x14ac:dyDescent="0.25">
      <c r="A274" t="s">
        <v>157</v>
      </c>
      <c r="B274">
        <v>219.24069999999995</v>
      </c>
      <c r="C274" s="1">
        <v>43364</v>
      </c>
    </row>
    <row r="275" spans="1:3" x14ac:dyDescent="0.25">
      <c r="A275" t="s">
        <v>158</v>
      </c>
      <c r="B275">
        <v>104.19360000000009</v>
      </c>
      <c r="C275" s="1">
        <v>43364</v>
      </c>
    </row>
    <row r="276" spans="1:3" x14ac:dyDescent="0.25">
      <c r="A276" t="s">
        <v>160</v>
      </c>
      <c r="B276">
        <v>260.48399999999987</v>
      </c>
      <c r="C276" s="1">
        <v>43371</v>
      </c>
    </row>
    <row r="277" spans="1:3" x14ac:dyDescent="0.25">
      <c r="A277" t="s">
        <v>161</v>
      </c>
      <c r="B277">
        <v>102.02290000000009</v>
      </c>
      <c r="C277" s="1">
        <v>43371</v>
      </c>
    </row>
    <row r="278" spans="1:3" x14ac:dyDescent="0.25">
      <c r="A278" t="s">
        <v>162</v>
      </c>
      <c r="B278">
        <v>358.16550000000007</v>
      </c>
      <c r="C278" s="1">
        <v>43371</v>
      </c>
    </row>
    <row r="279" spans="1:3" x14ac:dyDescent="0.25">
      <c r="A279" t="s">
        <v>163</v>
      </c>
      <c r="B279">
        <v>314.75150000000008</v>
      </c>
      <c r="C279" s="1">
        <v>43371</v>
      </c>
    </row>
    <row r="280" spans="1:3" x14ac:dyDescent="0.25">
      <c r="A280" t="s">
        <v>164</v>
      </c>
      <c r="B280">
        <v>371.18969999999996</v>
      </c>
      <c r="C280" s="1">
        <v>43371</v>
      </c>
    </row>
    <row r="281" spans="1:3" x14ac:dyDescent="0.25">
      <c r="A281" t="s">
        <v>165</v>
      </c>
      <c r="B281">
        <v>301.72729999999996</v>
      </c>
      <c r="C281" s="1">
        <v>43371</v>
      </c>
    </row>
    <row r="282" spans="1:3" x14ac:dyDescent="0.25">
      <c r="A282" t="s">
        <v>166</v>
      </c>
      <c r="B282">
        <v>479.72470000000004</v>
      </c>
      <c r="C282" s="1">
        <v>43371</v>
      </c>
    </row>
    <row r="283" spans="1:3" x14ac:dyDescent="0.25">
      <c r="A283" t="s">
        <v>167</v>
      </c>
      <c r="B283">
        <v>204.04580000000004</v>
      </c>
      <c r="C283" s="1">
        <v>43371</v>
      </c>
    </row>
    <row r="284" spans="1:3" x14ac:dyDescent="0.25">
      <c r="A284" t="s">
        <v>168</v>
      </c>
      <c r="B284">
        <v>412.43299999999999</v>
      </c>
      <c r="C284" s="1">
        <v>43371</v>
      </c>
    </row>
    <row r="285" spans="1:3" x14ac:dyDescent="0.25">
      <c r="A285" t="s">
        <v>169</v>
      </c>
      <c r="B285">
        <v>499.26099999999997</v>
      </c>
      <c r="C285" s="1">
        <v>43371</v>
      </c>
    </row>
    <row r="286" spans="1:3" x14ac:dyDescent="0.25">
      <c r="A286" t="s">
        <v>170</v>
      </c>
      <c r="B286">
        <v>473.2125999999999</v>
      </c>
      <c r="C286" s="1">
        <v>43371</v>
      </c>
    </row>
    <row r="287" spans="1:3" x14ac:dyDescent="0.25">
      <c r="A287" t="s">
        <v>171</v>
      </c>
      <c r="B287">
        <v>395.06740000000002</v>
      </c>
      <c r="C287" s="1">
        <v>43371</v>
      </c>
    </row>
    <row r="288" spans="1:3" x14ac:dyDescent="0.25">
      <c r="A288" t="s">
        <v>172</v>
      </c>
      <c r="B288">
        <v>329.94639999999993</v>
      </c>
      <c r="C288" s="1">
        <v>43371</v>
      </c>
    </row>
    <row r="289" spans="1:3" x14ac:dyDescent="0.25">
      <c r="A289" t="s">
        <v>173</v>
      </c>
      <c r="B289">
        <v>273.50819999999999</v>
      </c>
      <c r="C289" s="1">
        <v>43371</v>
      </c>
    </row>
    <row r="290" spans="1:3" x14ac:dyDescent="0.25">
      <c r="A290" t="s">
        <v>174</v>
      </c>
      <c r="B290">
        <v>232.26489999999995</v>
      </c>
      <c r="C290" s="1">
        <v>43371</v>
      </c>
    </row>
    <row r="291" spans="1:3" x14ac:dyDescent="0.25">
      <c r="A291" t="s">
        <v>175</v>
      </c>
      <c r="B291">
        <v>666.40490000000011</v>
      </c>
      <c r="C291" s="1">
        <v>43371</v>
      </c>
    </row>
    <row r="292" spans="1:3" x14ac:dyDescent="0.25">
      <c r="A292" t="s">
        <v>176</v>
      </c>
      <c r="B292">
        <v>386.38460000000009</v>
      </c>
      <c r="C292" s="1">
        <v>43371</v>
      </c>
    </row>
    <row r="293" spans="1:3" x14ac:dyDescent="0.25">
      <c r="A293" t="s">
        <v>177</v>
      </c>
      <c r="B293">
        <v>167.14390000000014</v>
      </c>
      <c r="C293" s="1">
        <v>43371</v>
      </c>
    </row>
    <row r="294" spans="1:3" x14ac:dyDescent="0.25">
      <c r="A294" t="s">
        <v>178</v>
      </c>
      <c r="B294">
        <v>696.79470000000003</v>
      </c>
      <c r="C294" s="1">
        <v>43371</v>
      </c>
    </row>
    <row r="295" spans="1:3" x14ac:dyDescent="0.25">
      <c r="A295" t="s">
        <v>179</v>
      </c>
      <c r="B295">
        <v>243.11839999999995</v>
      </c>
      <c r="C295" s="1">
        <v>43371</v>
      </c>
    </row>
    <row r="296" spans="1:3" x14ac:dyDescent="0.25">
      <c r="A296" t="s">
        <v>180</v>
      </c>
      <c r="B296">
        <v>78.145199999999946</v>
      </c>
      <c r="C296" s="1">
        <v>43371</v>
      </c>
    </row>
    <row r="297" spans="1:3" x14ac:dyDescent="0.25">
      <c r="A297" t="s">
        <v>181</v>
      </c>
      <c r="B297">
        <v>371.18969999999996</v>
      </c>
      <c r="C297" s="1">
        <v>43371</v>
      </c>
    </row>
    <row r="298" spans="1:3" x14ac:dyDescent="0.25">
      <c r="A298" t="s">
        <v>182</v>
      </c>
      <c r="B298">
        <v>698.96539999999993</v>
      </c>
      <c r="C298" s="1">
        <v>43371</v>
      </c>
    </row>
    <row r="299" spans="1:3" x14ac:dyDescent="0.25">
      <c r="A299" t="s">
        <v>183</v>
      </c>
      <c r="B299">
        <v>286.5324</v>
      </c>
      <c r="C299" s="1">
        <v>43371</v>
      </c>
    </row>
    <row r="300" spans="1:3" x14ac:dyDescent="0.25">
      <c r="A300" t="s">
        <v>184</v>
      </c>
      <c r="B300">
        <v>26.048399999999781</v>
      </c>
      <c r="C300" s="1">
        <v>43374</v>
      </c>
    </row>
    <row r="301" spans="1:3" x14ac:dyDescent="0.25">
      <c r="A301" t="s">
        <v>185</v>
      </c>
      <c r="B301">
        <v>36.901900000000033</v>
      </c>
      <c r="C301" s="1">
        <v>43374</v>
      </c>
    </row>
    <row r="302" spans="1:3" x14ac:dyDescent="0.25">
      <c r="A302" t="s">
        <v>186</v>
      </c>
      <c r="B302">
        <v>49.926100000000282</v>
      </c>
      <c r="C302" s="1">
        <v>43374</v>
      </c>
    </row>
    <row r="303" spans="1:3" x14ac:dyDescent="0.25">
      <c r="A303" t="s">
        <v>187</v>
      </c>
      <c r="B303">
        <v>167.14390000000014</v>
      </c>
      <c r="C303" s="1">
        <v>43374</v>
      </c>
    </row>
    <row r="304" spans="1:3" x14ac:dyDescent="0.25">
      <c r="A304" t="s">
        <v>188</v>
      </c>
      <c r="B304">
        <v>162.8024999999999</v>
      </c>
      <c r="C304" s="1">
        <v>43374</v>
      </c>
    </row>
    <row r="305" spans="1:3" x14ac:dyDescent="0.25">
      <c r="A305" t="s">
        <v>189</v>
      </c>
      <c r="B305">
        <v>547.0164000000002</v>
      </c>
      <c r="C305" s="1">
        <v>43374</v>
      </c>
    </row>
    <row r="306" spans="1:3" x14ac:dyDescent="0.25">
      <c r="A306" t="s">
        <v>190</v>
      </c>
      <c r="B306">
        <v>481.89540000000017</v>
      </c>
      <c r="C306" s="1">
        <v>43374</v>
      </c>
    </row>
    <row r="307" spans="1:3" x14ac:dyDescent="0.25">
      <c r="A307" t="s">
        <v>191</v>
      </c>
      <c r="B307">
        <v>164.97319999999991</v>
      </c>
      <c r="C307" s="1">
        <v>43374</v>
      </c>
    </row>
    <row r="308" spans="1:3" x14ac:dyDescent="0.25">
      <c r="A308" t="s">
        <v>192</v>
      </c>
      <c r="B308">
        <v>340.79990000000004</v>
      </c>
      <c r="C308" s="1">
        <v>43374</v>
      </c>
    </row>
    <row r="309" spans="1:3" x14ac:dyDescent="0.25">
      <c r="A309" t="s">
        <v>193</v>
      </c>
      <c r="B309">
        <v>39.072600000000037</v>
      </c>
      <c r="C309" s="1">
        <v>43374</v>
      </c>
    </row>
    <row r="310" spans="1:3" x14ac:dyDescent="0.25">
      <c r="A310" t="s">
        <v>194</v>
      </c>
      <c r="B310">
        <v>145.43689999999989</v>
      </c>
      <c r="C310" s="1">
        <v>43374</v>
      </c>
    </row>
    <row r="311" spans="1:3" x14ac:dyDescent="0.25">
      <c r="A311" t="s">
        <v>195</v>
      </c>
      <c r="B311">
        <v>75.974499999999949</v>
      </c>
      <c r="C311" s="1">
        <v>43374</v>
      </c>
    </row>
    <row r="312" spans="1:3" x14ac:dyDescent="0.25">
      <c r="A312" t="s">
        <v>196</v>
      </c>
      <c r="B312">
        <v>110.70570000000011</v>
      </c>
      <c r="C312" s="1">
        <v>43384</v>
      </c>
    </row>
    <row r="313" spans="1:3" x14ac:dyDescent="0.25">
      <c r="A313" t="s">
        <v>197</v>
      </c>
      <c r="B313">
        <v>264.82539999999989</v>
      </c>
      <c r="C313" s="1">
        <v>43384</v>
      </c>
    </row>
    <row r="314" spans="1:3" x14ac:dyDescent="0.25">
      <c r="A314" t="s">
        <v>198</v>
      </c>
      <c r="B314">
        <v>208.38719999999995</v>
      </c>
      <c r="C314" s="1">
        <v>43384</v>
      </c>
    </row>
    <row r="315" spans="1:3" x14ac:dyDescent="0.25">
      <c r="A315" t="s">
        <v>199</v>
      </c>
      <c r="B315">
        <v>97.681499999999971</v>
      </c>
      <c r="C315" s="1">
        <v>43384</v>
      </c>
    </row>
    <row r="316" spans="1:3" x14ac:dyDescent="0.25">
      <c r="A316" t="s">
        <v>200</v>
      </c>
      <c r="B316">
        <v>52.096799999999988</v>
      </c>
      <c r="C316" s="1">
        <v>43384</v>
      </c>
    </row>
    <row r="317" spans="1:3" x14ac:dyDescent="0.25">
      <c r="A317" t="s">
        <v>201</v>
      </c>
      <c r="B317">
        <v>230.09419999999997</v>
      </c>
      <c r="C317" s="1">
        <v>43384</v>
      </c>
    </row>
    <row r="318" spans="1:3" x14ac:dyDescent="0.25">
      <c r="A318" t="s">
        <v>202</v>
      </c>
      <c r="B318">
        <v>186.68019999999993</v>
      </c>
      <c r="C318" s="1">
        <v>43384</v>
      </c>
    </row>
    <row r="319" spans="1:3" x14ac:dyDescent="0.25">
      <c r="A319" t="s">
        <v>203</v>
      </c>
      <c r="B319">
        <v>112.87639999999998</v>
      </c>
      <c r="C319" s="1">
        <v>43384</v>
      </c>
    </row>
    <row r="320" spans="1:3" x14ac:dyDescent="0.25">
      <c r="A320" t="s">
        <v>204</v>
      </c>
      <c r="B320">
        <v>58.608899999999927</v>
      </c>
      <c r="C320" s="1">
        <v>43384</v>
      </c>
    </row>
    <row r="321" spans="1:3" x14ac:dyDescent="0.25">
      <c r="A321" t="s">
        <v>205</v>
      </c>
      <c r="B321">
        <v>108.53499999999985</v>
      </c>
      <c r="C321" s="1">
        <v>43384</v>
      </c>
    </row>
    <row r="322" spans="1:3" x14ac:dyDescent="0.25">
      <c r="A322" t="s">
        <v>206</v>
      </c>
      <c r="B322">
        <v>204.04579999999993</v>
      </c>
      <c r="C322" s="1">
        <v>43384</v>
      </c>
    </row>
    <row r="323" spans="1:3" x14ac:dyDescent="0.25">
      <c r="A323" t="s">
        <v>207</v>
      </c>
      <c r="B323">
        <v>347.31199999999995</v>
      </c>
      <c r="C323" s="1">
        <v>43384</v>
      </c>
    </row>
    <row r="324" spans="1:3" x14ac:dyDescent="0.25">
      <c r="A324" t="s">
        <v>208</v>
      </c>
      <c r="B324">
        <v>325.60499999999979</v>
      </c>
      <c r="C324" s="1">
        <v>43367</v>
      </c>
    </row>
    <row r="325" spans="1:3" x14ac:dyDescent="0.25">
      <c r="A325" t="s">
        <v>209</v>
      </c>
      <c r="B325">
        <v>436.31070000000017</v>
      </c>
      <c r="C325" s="1">
        <v>43367</v>
      </c>
    </row>
    <row r="326" spans="1:3" x14ac:dyDescent="0.25">
      <c r="A326" t="s">
        <v>210</v>
      </c>
      <c r="B326">
        <v>846.57299999999987</v>
      </c>
      <c r="C326" s="1">
        <v>43367</v>
      </c>
    </row>
    <row r="327" spans="1:3" x14ac:dyDescent="0.25">
      <c r="A327" t="s">
        <v>211</v>
      </c>
      <c r="B327">
        <v>371.18969999999985</v>
      </c>
      <c r="C327" s="1">
        <v>43367</v>
      </c>
    </row>
    <row r="328" spans="1:3" x14ac:dyDescent="0.25">
      <c r="A328" t="s">
        <v>212</v>
      </c>
      <c r="B328">
        <v>388.55529999999999</v>
      </c>
      <c r="C328" s="1">
        <v>43367</v>
      </c>
    </row>
    <row r="329" spans="1:3" x14ac:dyDescent="0.25">
      <c r="A329" t="s">
        <v>262</v>
      </c>
      <c r="B329">
        <v>297.38589999999999</v>
      </c>
      <c r="C329" s="1">
        <v>43367</v>
      </c>
    </row>
    <row r="330" spans="1:3" x14ac:dyDescent="0.25">
      <c r="A330" t="s">
        <v>213</v>
      </c>
      <c r="B330">
        <v>121.55920000000006</v>
      </c>
      <c r="C330" s="1">
        <v>43367</v>
      </c>
    </row>
    <row r="331" spans="1:3" x14ac:dyDescent="0.25">
      <c r="A331" t="s">
        <v>214</v>
      </c>
      <c r="B331">
        <v>340.79990000000004</v>
      </c>
      <c r="C331" s="1">
        <v>43367</v>
      </c>
    </row>
    <row r="332" spans="1:3" x14ac:dyDescent="0.25">
      <c r="A332" t="s">
        <v>215</v>
      </c>
      <c r="B332">
        <v>455.84700000000015</v>
      </c>
      <c r="C332" s="1">
        <v>43367</v>
      </c>
    </row>
    <row r="333" spans="1:3" x14ac:dyDescent="0.25">
      <c r="A333" t="s">
        <v>216</v>
      </c>
      <c r="B333">
        <v>240.94770000000008</v>
      </c>
      <c r="C333" s="1">
        <v>43367</v>
      </c>
    </row>
    <row r="334" spans="1:3" x14ac:dyDescent="0.25">
      <c r="A334" t="s">
        <v>217</v>
      </c>
      <c r="B334">
        <v>321.26359999999994</v>
      </c>
      <c r="C334" s="1">
        <v>43367</v>
      </c>
    </row>
    <row r="335" spans="1:3" x14ac:dyDescent="0.25">
      <c r="A335" t="s">
        <v>263</v>
      </c>
      <c r="B335">
        <v>638.18579999999986</v>
      </c>
      <c r="C335" s="1">
        <v>43367</v>
      </c>
    </row>
    <row r="336" spans="1:3" x14ac:dyDescent="0.25">
      <c r="A336" t="s">
        <v>218</v>
      </c>
      <c r="B336">
        <v>136.75409999999999</v>
      </c>
      <c r="C336" s="1">
        <v>43363</v>
      </c>
    </row>
    <row r="337" spans="1:3" x14ac:dyDescent="0.25">
      <c r="A337" t="s">
        <v>219</v>
      </c>
      <c r="B337">
        <v>119.38849999999999</v>
      </c>
      <c r="C337" s="1">
        <v>43363</v>
      </c>
    </row>
    <row r="338" spans="1:3" x14ac:dyDescent="0.25">
      <c r="A338" t="s">
        <v>220</v>
      </c>
      <c r="B338">
        <v>-34.731199999999966</v>
      </c>
      <c r="C338" s="1">
        <v>43363</v>
      </c>
    </row>
    <row r="339" spans="1:3" x14ac:dyDescent="0.25">
      <c r="A339" t="s">
        <v>221</v>
      </c>
      <c r="B339">
        <v>102.02290000000009</v>
      </c>
      <c r="C339" s="1">
        <v>43363</v>
      </c>
    </row>
    <row r="340" spans="1:3" x14ac:dyDescent="0.25">
      <c r="A340" t="s">
        <v>222</v>
      </c>
      <c r="B340">
        <v>284.36169999999993</v>
      </c>
      <c r="C340" s="1">
        <v>43363</v>
      </c>
    </row>
    <row r="341" spans="1:3" x14ac:dyDescent="0.25">
      <c r="A341" t="s">
        <v>223</v>
      </c>
      <c r="B341">
        <v>334.28779999999995</v>
      </c>
      <c r="C341" s="1">
        <v>43363</v>
      </c>
    </row>
    <row r="342" spans="1:3" x14ac:dyDescent="0.25">
      <c r="A342" t="s">
        <v>224</v>
      </c>
      <c r="B342">
        <v>65.120999999999995</v>
      </c>
      <c r="C342" s="1">
        <v>43363</v>
      </c>
    </row>
    <row r="343" spans="1:3" x14ac:dyDescent="0.25">
      <c r="A343" t="s">
        <v>225</v>
      </c>
      <c r="B343">
        <v>256.14260000000002</v>
      </c>
      <c r="C343" s="1">
        <v>43363</v>
      </c>
    </row>
    <row r="344" spans="1:3" x14ac:dyDescent="0.25">
      <c r="A344" t="s">
        <v>226</v>
      </c>
      <c r="B344">
        <v>171.48530000000002</v>
      </c>
      <c r="C344" s="1">
        <v>43363</v>
      </c>
    </row>
    <row r="345" spans="1:3" x14ac:dyDescent="0.25">
      <c r="A345" t="s">
        <v>227</v>
      </c>
      <c r="B345">
        <v>10.853500000000009</v>
      </c>
      <c r="C345" s="1">
        <v>43363</v>
      </c>
    </row>
    <row r="346" spans="1:3" x14ac:dyDescent="0.25">
      <c r="A346" t="s">
        <v>228</v>
      </c>
      <c r="B346">
        <v>86.828000000000017</v>
      </c>
      <c r="C346" s="1">
        <v>43363</v>
      </c>
    </row>
    <row r="347" spans="1:3" x14ac:dyDescent="0.25">
      <c r="A347" t="s">
        <v>229</v>
      </c>
      <c r="B347">
        <v>102.02290000000009</v>
      </c>
      <c r="C347" s="1">
        <v>43363</v>
      </c>
    </row>
    <row r="348" spans="1:3" x14ac:dyDescent="0.25">
      <c r="A348" t="s">
        <v>348</v>
      </c>
      <c r="B348">
        <v>169.31460000000004</v>
      </c>
      <c r="C348" s="1">
        <v>43369</v>
      </c>
    </row>
    <row r="349" spans="1:3" x14ac:dyDescent="0.25">
      <c r="A349" t="s">
        <v>231</v>
      </c>
      <c r="B349">
        <v>125.9006</v>
      </c>
      <c r="C349" s="1">
        <v>43369</v>
      </c>
    </row>
    <row r="350" spans="1:3" x14ac:dyDescent="0.25">
      <c r="A350" t="s">
        <v>232</v>
      </c>
      <c r="B350">
        <v>21.707000000000019</v>
      </c>
      <c r="C350" s="1">
        <v>43369</v>
      </c>
    </row>
    <row r="351" spans="1:3" x14ac:dyDescent="0.25">
      <c r="A351" t="s">
        <v>233</v>
      </c>
      <c r="B351">
        <v>23.877700000000019</v>
      </c>
      <c r="C351" s="1">
        <v>43369</v>
      </c>
    </row>
    <row r="352" spans="1:3" x14ac:dyDescent="0.25">
      <c r="A352" t="s">
        <v>234</v>
      </c>
      <c r="B352">
        <v>180.16809999999992</v>
      </c>
      <c r="C352" s="1">
        <v>43369</v>
      </c>
    </row>
    <row r="353" spans="1:3" x14ac:dyDescent="0.25">
      <c r="A353" t="s">
        <v>235</v>
      </c>
      <c r="B353">
        <v>201.87509999999995</v>
      </c>
      <c r="C353" s="1">
        <v>43369</v>
      </c>
    </row>
    <row r="354" spans="1:3" x14ac:dyDescent="0.25">
      <c r="A354" t="s">
        <v>236</v>
      </c>
      <c r="B354">
        <v>106.36430000000009</v>
      </c>
      <c r="C354" s="1">
        <v>43369</v>
      </c>
    </row>
    <row r="355" spans="1:3" x14ac:dyDescent="0.25">
      <c r="A355" t="s">
        <v>237</v>
      </c>
      <c r="B355">
        <v>253.97189999999998</v>
      </c>
      <c r="C355" s="1">
        <v>43369</v>
      </c>
    </row>
    <row r="356" spans="1:3" x14ac:dyDescent="0.25">
      <c r="A356" t="s">
        <v>238</v>
      </c>
      <c r="B356">
        <v>290.87380000000002</v>
      </c>
      <c r="C356" s="1">
        <v>43369</v>
      </c>
    </row>
    <row r="357" spans="1:3" x14ac:dyDescent="0.25">
      <c r="A357" t="s">
        <v>239</v>
      </c>
      <c r="B357">
        <v>149.77829999999989</v>
      </c>
      <c r="C357" s="1">
        <v>43369</v>
      </c>
    </row>
    <row r="358" spans="1:3" x14ac:dyDescent="0.25">
      <c r="A358" t="s">
        <v>240</v>
      </c>
      <c r="B358">
        <v>199.70439999999991</v>
      </c>
      <c r="C358" s="1">
        <v>43369</v>
      </c>
    </row>
    <row r="359" spans="1:3" x14ac:dyDescent="0.25">
      <c r="A359" t="s">
        <v>241</v>
      </c>
      <c r="B359">
        <v>121.55920000000012</v>
      </c>
      <c r="C359" s="1">
        <v>43369</v>
      </c>
    </row>
    <row r="360" spans="1:3" x14ac:dyDescent="0.25">
      <c r="A360" t="s">
        <v>264</v>
      </c>
      <c r="B360">
        <v>104.19359999999986</v>
      </c>
      <c r="C360" s="1">
        <v>43369</v>
      </c>
    </row>
    <row r="361" spans="1:3" x14ac:dyDescent="0.25">
      <c r="A361" t="s">
        <v>242</v>
      </c>
      <c r="B361">
        <v>156.29040000000001</v>
      </c>
      <c r="C361" s="1">
        <v>43369</v>
      </c>
    </row>
    <row r="362" spans="1:3" x14ac:dyDescent="0.25">
      <c r="A362" t="s">
        <v>243</v>
      </c>
      <c r="B362">
        <v>45.584700000000048</v>
      </c>
      <c r="C362" s="1">
        <v>43369</v>
      </c>
    </row>
    <row r="363" spans="1:3" x14ac:dyDescent="0.25">
      <c r="A363" t="s">
        <v>244</v>
      </c>
      <c r="B363">
        <v>223.58209999999997</v>
      </c>
      <c r="C363" s="1">
        <v>43369</v>
      </c>
    </row>
    <row r="364" spans="1:3" x14ac:dyDescent="0.25">
      <c r="A364" t="s">
        <v>245</v>
      </c>
      <c r="B364">
        <v>156.29039999999989</v>
      </c>
      <c r="C364" s="1">
        <v>43369</v>
      </c>
    </row>
    <row r="365" spans="1:3" x14ac:dyDescent="0.25">
      <c r="A365" t="s">
        <v>246</v>
      </c>
      <c r="B365">
        <v>180.16809999999992</v>
      </c>
      <c r="C365" s="1">
        <v>43369</v>
      </c>
    </row>
    <row r="366" spans="1:3" x14ac:dyDescent="0.25">
      <c r="A366" t="s">
        <v>247</v>
      </c>
      <c r="B366">
        <v>104.19359999999998</v>
      </c>
      <c r="C366" s="1">
        <v>43369</v>
      </c>
    </row>
    <row r="367" spans="1:3" x14ac:dyDescent="0.25">
      <c r="A367" t="s">
        <v>248</v>
      </c>
      <c r="B367">
        <v>73.803800000000066</v>
      </c>
      <c r="C367" s="1">
        <v>43369</v>
      </c>
    </row>
    <row r="368" spans="1:3" x14ac:dyDescent="0.25">
      <c r="A368" t="s">
        <v>249</v>
      </c>
      <c r="B368">
        <v>186.68020000000004</v>
      </c>
      <c r="C368" s="1">
        <v>43369</v>
      </c>
    </row>
    <row r="369" spans="1:3" x14ac:dyDescent="0.25">
      <c r="A369" t="s">
        <v>265</v>
      </c>
      <c r="B369">
        <v>47.755400000000037</v>
      </c>
      <c r="C369" s="1">
        <v>43369</v>
      </c>
    </row>
    <row r="370" spans="1:3" x14ac:dyDescent="0.25">
      <c r="A370" t="s">
        <v>266</v>
      </c>
      <c r="B370">
        <v>225.75279999999995</v>
      </c>
      <c r="C370" s="1">
        <v>43369</v>
      </c>
    </row>
    <row r="371" spans="1:3" x14ac:dyDescent="0.25">
      <c r="A371" t="s">
        <v>267</v>
      </c>
      <c r="B371">
        <v>58.608900000000048</v>
      </c>
      <c r="C371" s="1">
        <v>43369</v>
      </c>
    </row>
    <row r="372" spans="1:3" x14ac:dyDescent="0.25">
      <c r="A372" t="s">
        <v>250</v>
      </c>
      <c r="B372">
        <v>316.9221999999998</v>
      </c>
      <c r="C372" s="1">
        <v>43374</v>
      </c>
    </row>
    <row r="373" spans="1:3" x14ac:dyDescent="0.25">
      <c r="A373" t="s">
        <v>251</v>
      </c>
      <c r="B373">
        <v>128.07130000000035</v>
      </c>
      <c r="C373" s="1">
        <v>43374</v>
      </c>
    </row>
    <row r="374" spans="1:3" x14ac:dyDescent="0.25">
      <c r="A374" t="s">
        <v>252</v>
      </c>
      <c r="B374">
        <v>342.97059999999982</v>
      </c>
      <c r="C374" s="1">
        <v>43374</v>
      </c>
    </row>
    <row r="375" spans="1:3" x14ac:dyDescent="0.25">
      <c r="A375" t="s">
        <v>253</v>
      </c>
      <c r="B375">
        <v>154.11970000000039</v>
      </c>
      <c r="C375" s="1">
        <v>43374</v>
      </c>
    </row>
    <row r="376" spans="1:3" x14ac:dyDescent="0.25">
      <c r="A376" t="s">
        <v>254</v>
      </c>
      <c r="B376">
        <v>123.72989999999987</v>
      </c>
      <c r="C376" s="1">
        <v>43374</v>
      </c>
    </row>
    <row r="377" spans="1:3" x14ac:dyDescent="0.25">
      <c r="A377" t="s">
        <v>255</v>
      </c>
      <c r="B377">
        <v>177.99740000000017</v>
      </c>
      <c r="C377" s="1">
        <v>43374</v>
      </c>
    </row>
    <row r="378" spans="1:3" x14ac:dyDescent="0.25">
      <c r="A378" t="s">
        <v>256</v>
      </c>
      <c r="B378">
        <v>130.24199999999988</v>
      </c>
      <c r="C378" s="1">
        <v>43374</v>
      </c>
    </row>
    <row r="379" spans="1:3" x14ac:dyDescent="0.25">
      <c r="A379" t="s">
        <v>257</v>
      </c>
      <c r="B379">
        <v>184.50949999999995</v>
      </c>
      <c r="C379" s="1">
        <v>43374</v>
      </c>
    </row>
    <row r="380" spans="1:3" x14ac:dyDescent="0.25">
      <c r="A380" t="s">
        <v>258</v>
      </c>
      <c r="B380">
        <v>217.06999999999996</v>
      </c>
      <c r="C380" s="1">
        <v>43374</v>
      </c>
    </row>
    <row r="381" spans="1:3" x14ac:dyDescent="0.25">
      <c r="A381" t="s">
        <v>259</v>
      </c>
      <c r="B381">
        <v>264.82539999999989</v>
      </c>
      <c r="C381" s="1">
        <v>43374</v>
      </c>
    </row>
    <row r="382" spans="1:3" x14ac:dyDescent="0.25">
      <c r="A382" t="s">
        <v>260</v>
      </c>
      <c r="B382">
        <v>80.31590000000007</v>
      </c>
      <c r="C382" s="1">
        <v>43374</v>
      </c>
    </row>
    <row r="383" spans="1:3" x14ac:dyDescent="0.25">
      <c r="A383" t="s">
        <v>261</v>
      </c>
      <c r="B383">
        <v>214.89929999999995</v>
      </c>
      <c r="C383" s="1">
        <v>43374</v>
      </c>
    </row>
    <row r="384" spans="1:3" x14ac:dyDescent="0.25">
      <c r="A384" t="s">
        <v>135</v>
      </c>
      <c r="B384">
        <v>204.59471264367821</v>
      </c>
      <c r="C384" s="1">
        <v>43313</v>
      </c>
    </row>
    <row r="385" spans="1:3" x14ac:dyDescent="0.25">
      <c r="A385" t="s">
        <v>136</v>
      </c>
      <c r="B385">
        <v>168.66925675675662</v>
      </c>
      <c r="C385" s="1">
        <v>43313</v>
      </c>
    </row>
    <row r="386" spans="1:3" x14ac:dyDescent="0.25">
      <c r="A386" t="s">
        <v>137</v>
      </c>
      <c r="B386">
        <v>386.38459999999998</v>
      </c>
      <c r="C386" s="1">
        <v>43313</v>
      </c>
    </row>
    <row r="387" spans="1:3" x14ac:dyDescent="0.25">
      <c r="A387" t="s">
        <v>138</v>
      </c>
      <c r="B387">
        <v>421.11580000000015</v>
      </c>
      <c r="C387" s="1">
        <v>43313</v>
      </c>
    </row>
    <row r="388" spans="1:3" x14ac:dyDescent="0.25">
      <c r="A388" t="s">
        <v>139</v>
      </c>
      <c r="B388">
        <v>266.97114942528731</v>
      </c>
      <c r="C388" s="1">
        <v>43313</v>
      </c>
    </row>
    <row r="389" spans="1:3" x14ac:dyDescent="0.25">
      <c r="A389" t="s">
        <v>140</v>
      </c>
      <c r="B389">
        <v>249.33716216216209</v>
      </c>
      <c r="C389" s="1">
        <v>43313</v>
      </c>
    </row>
    <row r="390" spans="1:3" x14ac:dyDescent="0.25">
      <c r="A390" t="s">
        <v>141</v>
      </c>
      <c r="B390">
        <v>106.36430000000009</v>
      </c>
      <c r="C390" s="1">
        <v>43313</v>
      </c>
    </row>
    <row r="391" spans="1:3" x14ac:dyDescent="0.25">
      <c r="A391" t="s">
        <v>142</v>
      </c>
      <c r="B391">
        <v>143.26620000000014</v>
      </c>
      <c r="C391" s="1">
        <v>43313</v>
      </c>
    </row>
    <row r="392" spans="1:3" x14ac:dyDescent="0.25">
      <c r="A392" t="s">
        <v>143</v>
      </c>
      <c r="B392">
        <v>294.41678160919571</v>
      </c>
      <c r="C392" s="1">
        <v>43313</v>
      </c>
    </row>
    <row r="393" spans="1:3" x14ac:dyDescent="0.25">
      <c r="A393" t="s">
        <v>144</v>
      </c>
      <c r="B393">
        <v>100.22376126126134</v>
      </c>
      <c r="C393" s="1">
        <v>43313</v>
      </c>
    </row>
    <row r="394" spans="1:3" x14ac:dyDescent="0.25">
      <c r="A394" t="s">
        <v>145</v>
      </c>
      <c r="B394">
        <v>284.36169999999998</v>
      </c>
      <c r="C394" s="1">
        <v>43313</v>
      </c>
    </row>
    <row r="395" spans="1:3" x14ac:dyDescent="0.25">
      <c r="A395" t="s">
        <v>146</v>
      </c>
      <c r="B395">
        <v>586.08900000000028</v>
      </c>
      <c r="C395" s="1">
        <v>43313</v>
      </c>
    </row>
    <row r="396" spans="1:3" x14ac:dyDescent="0.25">
      <c r="A396" t="s">
        <v>147</v>
      </c>
      <c r="B396">
        <v>399.20919540229897</v>
      </c>
      <c r="C396" s="1">
        <v>43313</v>
      </c>
    </row>
    <row r="397" spans="1:3" x14ac:dyDescent="0.25">
      <c r="A397" t="s">
        <v>148</v>
      </c>
      <c r="B397">
        <v>276.22646396396391</v>
      </c>
      <c r="C397" s="1">
        <v>43313</v>
      </c>
    </row>
    <row r="398" spans="1:3" x14ac:dyDescent="0.25">
      <c r="A398" t="s">
        <v>149</v>
      </c>
      <c r="B398">
        <v>106.36430000000009</v>
      </c>
      <c r="C398" s="1">
        <v>43313</v>
      </c>
    </row>
    <row r="399" spans="1:3" x14ac:dyDescent="0.25">
      <c r="A399" t="s">
        <v>150</v>
      </c>
      <c r="B399">
        <v>416.77440000000013</v>
      </c>
      <c r="C399" s="1">
        <v>43313</v>
      </c>
    </row>
    <row r="400" spans="1:3" x14ac:dyDescent="0.25">
      <c r="A400" t="s">
        <v>151</v>
      </c>
      <c r="B400">
        <v>870.77505747126452</v>
      </c>
      <c r="C400" s="1">
        <v>43313</v>
      </c>
    </row>
    <row r="401" spans="1:3" x14ac:dyDescent="0.25">
      <c r="A401" t="s">
        <v>152</v>
      </c>
      <c r="B401">
        <v>58.667567567567616</v>
      </c>
      <c r="C401" s="1">
        <v>43313</v>
      </c>
    </row>
    <row r="402" spans="1:3" x14ac:dyDescent="0.25">
      <c r="A402" t="s">
        <v>153</v>
      </c>
      <c r="B402">
        <v>86.828000000000074</v>
      </c>
      <c r="C402" s="1">
        <v>43313</v>
      </c>
    </row>
    <row r="403" spans="1:3" x14ac:dyDescent="0.25">
      <c r="A403" t="s">
        <v>154</v>
      </c>
      <c r="B403">
        <v>201.87509999999995</v>
      </c>
      <c r="C403" s="1">
        <v>43313</v>
      </c>
    </row>
    <row r="404" spans="1:3" x14ac:dyDescent="0.25">
      <c r="A404" t="s">
        <v>155</v>
      </c>
      <c r="B404">
        <v>613.78413793103448</v>
      </c>
      <c r="C404" s="1">
        <v>43313</v>
      </c>
    </row>
    <row r="405" spans="1:3" x14ac:dyDescent="0.25">
      <c r="A405" t="s">
        <v>156</v>
      </c>
      <c r="B405">
        <v>127.1130630630629</v>
      </c>
      <c r="C405" s="1">
        <v>43313</v>
      </c>
    </row>
    <row r="406" spans="1:3" x14ac:dyDescent="0.25">
      <c r="A406" t="s">
        <v>157</v>
      </c>
      <c r="B406">
        <v>846.57299999999998</v>
      </c>
      <c r="C406" s="1">
        <v>43313</v>
      </c>
    </row>
    <row r="407" spans="1:3" x14ac:dyDescent="0.25">
      <c r="A407" t="s">
        <v>158</v>
      </c>
      <c r="B407">
        <v>395.06740000000008</v>
      </c>
      <c r="C407" s="1">
        <v>43313</v>
      </c>
    </row>
    <row r="408" spans="1:3" x14ac:dyDescent="0.25">
      <c r="A408" t="s">
        <v>218</v>
      </c>
      <c r="B408">
        <v>191.02160000000006</v>
      </c>
      <c r="C408" s="1">
        <v>43318</v>
      </c>
    </row>
    <row r="409" spans="1:3" x14ac:dyDescent="0.25">
      <c r="A409" t="s">
        <v>219</v>
      </c>
      <c r="B409">
        <v>160.63180000000003</v>
      </c>
      <c r="C409" s="1">
        <v>43318</v>
      </c>
    </row>
    <row r="410" spans="1:3" x14ac:dyDescent="0.25">
      <c r="A410" t="s">
        <v>220</v>
      </c>
      <c r="B410">
        <v>555.69920000000002</v>
      </c>
      <c r="C410" s="1">
        <v>43318</v>
      </c>
    </row>
    <row r="411" spans="1:3" x14ac:dyDescent="0.25">
      <c r="A411" t="s">
        <v>221</v>
      </c>
      <c r="B411">
        <v>104.19360000000009</v>
      </c>
      <c r="C411" s="1">
        <v>43318</v>
      </c>
    </row>
    <row r="412" spans="1:3" x14ac:dyDescent="0.25">
      <c r="A412" t="s">
        <v>222</v>
      </c>
      <c r="B412">
        <v>284.36169999999998</v>
      </c>
      <c r="C412" s="1">
        <v>43318</v>
      </c>
    </row>
    <row r="413" spans="1:3" x14ac:dyDescent="0.25">
      <c r="A413" t="s">
        <v>223</v>
      </c>
      <c r="B413">
        <v>280.02030000000008</v>
      </c>
      <c r="C413" s="1">
        <v>43318</v>
      </c>
    </row>
    <row r="414" spans="1:3" x14ac:dyDescent="0.25">
      <c r="A414" t="s">
        <v>224</v>
      </c>
      <c r="B414">
        <v>110.70569999999996</v>
      </c>
      <c r="C414" s="1">
        <v>43318</v>
      </c>
    </row>
    <row r="415" spans="1:3" x14ac:dyDescent="0.25">
      <c r="A415" t="s">
        <v>225</v>
      </c>
      <c r="B415">
        <v>230.09420000000003</v>
      </c>
      <c r="C415" s="1">
        <v>43318</v>
      </c>
    </row>
    <row r="416" spans="1:3" x14ac:dyDescent="0.25">
      <c r="A416" t="s">
        <v>226</v>
      </c>
      <c r="B416">
        <v>164.97319999999991</v>
      </c>
      <c r="C416" s="1">
        <v>43318</v>
      </c>
    </row>
    <row r="417" spans="1:3" x14ac:dyDescent="0.25">
      <c r="A417" t="s">
        <v>227</v>
      </c>
      <c r="B417">
        <v>10.853500000000009</v>
      </c>
      <c r="C417" s="1">
        <v>43318</v>
      </c>
    </row>
    <row r="418" spans="1:3" x14ac:dyDescent="0.25">
      <c r="A418" t="s">
        <v>228</v>
      </c>
      <c r="B418">
        <v>-21.707000000000019</v>
      </c>
      <c r="C418" s="1">
        <v>43318</v>
      </c>
    </row>
    <row r="419" spans="1:3" x14ac:dyDescent="0.25">
      <c r="A419" t="s">
        <v>229</v>
      </c>
      <c r="B419">
        <v>-45.584700000000048</v>
      </c>
      <c r="C419" s="1">
        <v>43318</v>
      </c>
    </row>
    <row r="420" spans="1:3" x14ac:dyDescent="0.25">
      <c r="A420" t="s">
        <v>172</v>
      </c>
      <c r="B420">
        <v>128.07130000000001</v>
      </c>
      <c r="C420" s="10">
        <v>43313</v>
      </c>
    </row>
    <row r="421" spans="1:3" x14ac:dyDescent="0.25">
      <c r="A421" t="s">
        <v>173</v>
      </c>
      <c r="B421">
        <v>58.608899999999927</v>
      </c>
      <c r="C421" s="10">
        <v>43313</v>
      </c>
    </row>
    <row r="422" spans="1:3" x14ac:dyDescent="0.25">
      <c r="A422" t="s">
        <v>174</v>
      </c>
      <c r="B422">
        <v>119.38850000000005</v>
      </c>
      <c r="C422" s="10">
        <v>43313</v>
      </c>
    </row>
    <row r="423" spans="1:3" x14ac:dyDescent="0.25">
      <c r="A423" t="s">
        <v>176</v>
      </c>
      <c r="B423">
        <v>195.36299999999994</v>
      </c>
      <c r="C423" s="10">
        <v>43313</v>
      </c>
    </row>
    <row r="424" spans="1:3" x14ac:dyDescent="0.25">
      <c r="A424" t="s">
        <v>177</v>
      </c>
      <c r="B424">
        <v>162.8024999999999</v>
      </c>
      <c r="C424" s="10">
        <v>43313</v>
      </c>
    </row>
    <row r="425" spans="1:3" x14ac:dyDescent="0.25">
      <c r="A425" t="s">
        <v>178</v>
      </c>
      <c r="B425">
        <v>32.560499999999905</v>
      </c>
      <c r="C425" s="10">
        <v>43313</v>
      </c>
    </row>
    <row r="426" spans="1:3" x14ac:dyDescent="0.25">
      <c r="A426" t="s">
        <v>179</v>
      </c>
      <c r="B426">
        <v>108.53499999999998</v>
      </c>
      <c r="C426" s="10">
        <v>43313</v>
      </c>
    </row>
    <row r="427" spans="1:3" x14ac:dyDescent="0.25">
      <c r="A427" t="s">
        <v>180</v>
      </c>
      <c r="B427">
        <v>303.89799999999997</v>
      </c>
      <c r="C427" s="10">
        <v>43313</v>
      </c>
    </row>
    <row r="428" spans="1:3" x14ac:dyDescent="0.25">
      <c r="A428" t="s">
        <v>181</v>
      </c>
      <c r="B428">
        <v>93.340100000000021</v>
      </c>
      <c r="C428" s="10">
        <v>43313</v>
      </c>
    </row>
    <row r="429" spans="1:3" x14ac:dyDescent="0.25">
      <c r="A429" t="s">
        <v>182</v>
      </c>
      <c r="B429">
        <v>62.950300000000055</v>
      </c>
      <c r="C429" s="10">
        <v>43313</v>
      </c>
    </row>
    <row r="430" spans="1:3" x14ac:dyDescent="0.25">
      <c r="A430" t="s">
        <v>183</v>
      </c>
      <c r="B430">
        <v>65.120999999999938</v>
      </c>
      <c r="C430" s="10">
        <v>43313</v>
      </c>
    </row>
    <row r="431" spans="1:3" x14ac:dyDescent="0.25">
      <c r="A431" t="s">
        <v>184</v>
      </c>
      <c r="B431">
        <v>82.486600000000081</v>
      </c>
      <c r="C431" s="10">
        <v>43313</v>
      </c>
    </row>
    <row r="432" spans="1:3" x14ac:dyDescent="0.25">
      <c r="A432" t="s">
        <v>185</v>
      </c>
      <c r="B432">
        <v>149.77830000000012</v>
      </c>
      <c r="C432" s="10">
        <v>43313</v>
      </c>
    </row>
    <row r="433" spans="1:3" x14ac:dyDescent="0.25">
      <c r="A433" t="s">
        <v>186</v>
      </c>
      <c r="B433">
        <v>388.55530000000016</v>
      </c>
      <c r="C433" s="10">
        <v>43313</v>
      </c>
    </row>
    <row r="434" spans="1:3" x14ac:dyDescent="0.25">
      <c r="A434" t="s">
        <v>187</v>
      </c>
      <c r="B434">
        <v>273.50819999999976</v>
      </c>
      <c r="C434" s="10">
        <v>43313</v>
      </c>
    </row>
    <row r="435" spans="1:3" x14ac:dyDescent="0.25">
      <c r="A435" t="s">
        <v>188</v>
      </c>
      <c r="B435">
        <v>319.09290000000004</v>
      </c>
      <c r="C435" s="10">
        <v>43313</v>
      </c>
    </row>
    <row r="436" spans="1:3" x14ac:dyDescent="0.25">
      <c r="A436" t="s">
        <v>189</v>
      </c>
      <c r="B436">
        <v>490.57819999999998</v>
      </c>
      <c r="C436" s="10">
        <v>43313</v>
      </c>
    </row>
    <row r="437" spans="1:3" x14ac:dyDescent="0.25">
      <c r="A437" t="s">
        <v>190</v>
      </c>
      <c r="B437">
        <v>132.41269999999989</v>
      </c>
      <c r="C437" s="10">
        <v>43313</v>
      </c>
    </row>
    <row r="438" spans="1:3" x14ac:dyDescent="0.25">
      <c r="A438" t="s">
        <v>191</v>
      </c>
      <c r="B438">
        <v>345.14130000000011</v>
      </c>
      <c r="C438" s="10">
        <v>43313</v>
      </c>
    </row>
    <row r="439" spans="1:3" x14ac:dyDescent="0.25">
      <c r="A439" t="s">
        <v>192</v>
      </c>
      <c r="B439">
        <v>299.55660000000006</v>
      </c>
      <c r="C439" s="10">
        <v>43313</v>
      </c>
    </row>
    <row r="440" spans="1:3" x14ac:dyDescent="0.25">
      <c r="A440" t="s">
        <v>193</v>
      </c>
      <c r="B440">
        <v>334.28780000000006</v>
      </c>
      <c r="C440" s="10">
        <v>43313</v>
      </c>
    </row>
    <row r="441" spans="1:3" x14ac:dyDescent="0.25">
      <c r="A441" t="s">
        <v>194</v>
      </c>
      <c r="B441">
        <v>243.11839999999995</v>
      </c>
      <c r="C441" s="10">
        <v>43313</v>
      </c>
    </row>
    <row r="442" spans="1:3" x14ac:dyDescent="0.25">
      <c r="A442" t="s">
        <v>195</v>
      </c>
      <c r="B442">
        <v>329.94639999999981</v>
      </c>
      <c r="C442" s="10">
        <v>43313</v>
      </c>
    </row>
    <row r="443" spans="1:3" x14ac:dyDescent="0.25">
      <c r="A443" t="s">
        <v>196</v>
      </c>
      <c r="B443">
        <v>553.52850000000001</v>
      </c>
      <c r="C443" s="1">
        <v>43314</v>
      </c>
    </row>
    <row r="444" spans="1:3" x14ac:dyDescent="0.25">
      <c r="A444" t="s">
        <v>197</v>
      </c>
      <c r="B444">
        <v>175.82670000000002</v>
      </c>
      <c r="C444" s="1">
        <v>43314</v>
      </c>
    </row>
    <row r="445" spans="1:3" x14ac:dyDescent="0.25">
      <c r="A445" t="s">
        <v>198</v>
      </c>
      <c r="B445">
        <v>939.91309999999976</v>
      </c>
      <c r="C445" s="1">
        <v>43314</v>
      </c>
    </row>
    <row r="446" spans="1:3" x14ac:dyDescent="0.25">
      <c r="A446" t="s">
        <v>199</v>
      </c>
      <c r="B446">
        <v>794.47620000000018</v>
      </c>
      <c r="C446" s="1">
        <v>43314</v>
      </c>
    </row>
    <row r="447" spans="1:3" x14ac:dyDescent="0.25">
      <c r="A447" t="s">
        <v>200</v>
      </c>
      <c r="B447">
        <v>557.86990000000003</v>
      </c>
      <c r="C447" s="1">
        <v>43314</v>
      </c>
    </row>
    <row r="448" spans="1:3" x14ac:dyDescent="0.25">
      <c r="A448" t="s">
        <v>201</v>
      </c>
      <c r="B448">
        <v>160.63179999999988</v>
      </c>
      <c r="C448" s="1">
        <v>43314</v>
      </c>
    </row>
    <row r="449" spans="1:3" x14ac:dyDescent="0.25">
      <c r="A449" t="s">
        <v>202</v>
      </c>
      <c r="B449">
        <v>329.94639999999993</v>
      </c>
      <c r="C449" s="1">
        <v>43314</v>
      </c>
    </row>
    <row r="450" spans="1:3" x14ac:dyDescent="0.25">
      <c r="A450" t="s">
        <v>203</v>
      </c>
      <c r="B450">
        <v>251.80119999999999</v>
      </c>
      <c r="C450" s="1">
        <v>43314</v>
      </c>
    </row>
    <row r="451" spans="1:3" x14ac:dyDescent="0.25">
      <c r="A451" t="s">
        <v>204</v>
      </c>
      <c r="B451">
        <v>388.55530000000016</v>
      </c>
      <c r="C451" s="1">
        <v>43314</v>
      </c>
    </row>
    <row r="452" spans="1:3" x14ac:dyDescent="0.25">
      <c r="A452" t="s">
        <v>205</v>
      </c>
      <c r="B452">
        <v>438.48139999999989</v>
      </c>
      <c r="C452" s="1">
        <v>43314</v>
      </c>
    </row>
    <row r="453" spans="1:3" x14ac:dyDescent="0.25">
      <c r="A453" t="s">
        <v>206</v>
      </c>
      <c r="B453">
        <v>208.38719999999995</v>
      </c>
      <c r="C453" s="1">
        <v>43314</v>
      </c>
    </row>
    <row r="454" spans="1:3" x14ac:dyDescent="0.25">
      <c r="A454" t="s">
        <v>207</v>
      </c>
      <c r="B454">
        <v>56.43819999999981</v>
      </c>
      <c r="C454" s="1">
        <v>43314</v>
      </c>
    </row>
    <row r="455" spans="1:3" x14ac:dyDescent="0.25">
      <c r="A455" t="s">
        <v>208</v>
      </c>
      <c r="B455">
        <v>21.706999999999898</v>
      </c>
      <c r="C455" s="1">
        <v>43315</v>
      </c>
    </row>
    <row r="456" spans="1:3" x14ac:dyDescent="0.25">
      <c r="A456" t="s">
        <v>209</v>
      </c>
      <c r="B456">
        <v>84.657300000000077</v>
      </c>
      <c r="C456" s="1">
        <v>43315</v>
      </c>
    </row>
    <row r="457" spans="1:3" x14ac:dyDescent="0.25">
      <c r="A457" t="s">
        <v>210</v>
      </c>
      <c r="B457">
        <v>151.94900000000001</v>
      </c>
      <c r="C457" s="1">
        <v>43315</v>
      </c>
    </row>
    <row r="458" spans="1:3" x14ac:dyDescent="0.25">
      <c r="A458" t="s">
        <v>211</v>
      </c>
      <c r="B458">
        <v>119.38849999999999</v>
      </c>
      <c r="C458" s="1">
        <v>43315</v>
      </c>
    </row>
    <row r="459" spans="1:3" x14ac:dyDescent="0.25">
      <c r="A459" t="s">
        <v>212</v>
      </c>
      <c r="B459">
        <v>30.389800000000029</v>
      </c>
      <c r="C459" s="1">
        <v>43315</v>
      </c>
    </row>
    <row r="460" spans="1:3" x14ac:dyDescent="0.25">
      <c r="A460" t="s">
        <v>262</v>
      </c>
      <c r="B460">
        <v>41.24330000000004</v>
      </c>
      <c r="C460" s="1">
        <v>43315</v>
      </c>
    </row>
    <row r="461" spans="1:3" x14ac:dyDescent="0.25">
      <c r="A461" t="s">
        <v>213</v>
      </c>
      <c r="B461">
        <v>104.19359999999998</v>
      </c>
      <c r="C461" s="1">
        <v>43315</v>
      </c>
    </row>
    <row r="462" spans="1:3" x14ac:dyDescent="0.25">
      <c r="A462" t="s">
        <v>214</v>
      </c>
      <c r="B462">
        <v>52.096799999999931</v>
      </c>
      <c r="C462" s="1">
        <v>43315</v>
      </c>
    </row>
    <row r="463" spans="1:3" x14ac:dyDescent="0.25">
      <c r="A463" t="s">
        <v>215</v>
      </c>
      <c r="B463">
        <v>88.998700000000028</v>
      </c>
      <c r="C463" s="1">
        <v>43315</v>
      </c>
    </row>
    <row r="464" spans="1:3" x14ac:dyDescent="0.25">
      <c r="A464" t="s">
        <v>216</v>
      </c>
      <c r="B464">
        <v>84.657300000000077</v>
      </c>
      <c r="C464" s="1">
        <v>43315</v>
      </c>
    </row>
    <row r="465" spans="1:3" x14ac:dyDescent="0.25">
      <c r="A465" t="s">
        <v>217</v>
      </c>
      <c r="B465">
        <v>132.4127</v>
      </c>
      <c r="C465" s="1">
        <v>43315</v>
      </c>
    </row>
    <row r="466" spans="1:3" x14ac:dyDescent="0.25">
      <c r="A466" t="s">
        <v>263</v>
      </c>
      <c r="B466">
        <v>91.16940000000001</v>
      </c>
      <c r="C466" s="1">
        <v>43315</v>
      </c>
    </row>
    <row r="467" spans="1:3" x14ac:dyDescent="0.25">
      <c r="A467" t="s">
        <v>348</v>
      </c>
      <c r="B467">
        <v>177.99740000000006</v>
      </c>
      <c r="C467" s="1">
        <v>43319</v>
      </c>
    </row>
    <row r="468" spans="1:3" x14ac:dyDescent="0.25">
      <c r="A468" t="s">
        <v>231</v>
      </c>
      <c r="B468">
        <v>151.94900000000013</v>
      </c>
      <c r="C468" s="1">
        <v>43319</v>
      </c>
    </row>
    <row r="469" spans="1:3" x14ac:dyDescent="0.25">
      <c r="A469" t="s">
        <v>232</v>
      </c>
      <c r="B469">
        <v>125.9006</v>
      </c>
      <c r="C469" s="1">
        <v>43319</v>
      </c>
    </row>
    <row r="470" spans="1:3" x14ac:dyDescent="0.25">
      <c r="A470" t="s">
        <v>233</v>
      </c>
      <c r="B470">
        <v>43.414000000000037</v>
      </c>
      <c r="C470" s="1">
        <v>43319</v>
      </c>
    </row>
    <row r="471" spans="1:3" x14ac:dyDescent="0.25">
      <c r="A471" t="s">
        <v>234</v>
      </c>
      <c r="B471">
        <v>119.38849999999999</v>
      </c>
      <c r="C471" s="1">
        <v>43319</v>
      </c>
    </row>
    <row r="472" spans="1:3" x14ac:dyDescent="0.25">
      <c r="A472" t="s">
        <v>235</v>
      </c>
      <c r="B472">
        <v>115.0471000000001</v>
      </c>
      <c r="C472" s="1">
        <v>43319</v>
      </c>
    </row>
    <row r="473" spans="1:3" x14ac:dyDescent="0.25">
      <c r="A473" t="s">
        <v>236</v>
      </c>
      <c r="B473">
        <v>616.47879999999998</v>
      </c>
      <c r="C473" s="1">
        <v>43319</v>
      </c>
    </row>
    <row r="474" spans="1:3" x14ac:dyDescent="0.25">
      <c r="A474" t="s">
        <v>237</v>
      </c>
      <c r="B474">
        <v>698.96540000000016</v>
      </c>
      <c r="C474" s="1">
        <v>43319</v>
      </c>
    </row>
    <row r="475" spans="1:3" x14ac:dyDescent="0.25">
      <c r="A475" t="s">
        <v>238</v>
      </c>
      <c r="B475">
        <v>145.43689999999989</v>
      </c>
      <c r="C475" s="1">
        <v>43319</v>
      </c>
    </row>
    <row r="476" spans="1:3" x14ac:dyDescent="0.25">
      <c r="A476" t="s">
        <v>239</v>
      </c>
      <c r="B476">
        <v>39.072600000000037</v>
      </c>
      <c r="C476" s="1">
        <v>43319</v>
      </c>
    </row>
    <row r="477" spans="1:3" x14ac:dyDescent="0.25">
      <c r="A477" t="s">
        <v>240</v>
      </c>
      <c r="B477">
        <v>26.048400000000022</v>
      </c>
      <c r="C477" s="1">
        <v>43319</v>
      </c>
    </row>
    <row r="478" spans="1:3" x14ac:dyDescent="0.25">
      <c r="A478" t="s">
        <v>241</v>
      </c>
      <c r="B478">
        <v>210.55789999999993</v>
      </c>
      <c r="C478" s="1">
        <v>43319</v>
      </c>
    </row>
    <row r="479" spans="1:3" x14ac:dyDescent="0.25">
      <c r="A479" t="s">
        <v>264</v>
      </c>
      <c r="B479">
        <v>214.89929999999995</v>
      </c>
      <c r="C479" s="1">
        <v>43319</v>
      </c>
    </row>
    <row r="480" spans="1:3" x14ac:dyDescent="0.25">
      <c r="A480" t="s">
        <v>242</v>
      </c>
      <c r="B480">
        <v>397.23810000000009</v>
      </c>
      <c r="C480" s="1">
        <v>43319</v>
      </c>
    </row>
    <row r="481" spans="1:3" x14ac:dyDescent="0.25">
      <c r="A481" t="s">
        <v>243</v>
      </c>
      <c r="B481">
        <v>266.99610000000001</v>
      </c>
      <c r="C481" s="1">
        <v>43319</v>
      </c>
    </row>
    <row r="482" spans="1:3" x14ac:dyDescent="0.25">
      <c r="A482" t="s">
        <v>244</v>
      </c>
      <c r="B482">
        <v>147.60759999999991</v>
      </c>
      <c r="C482" s="1">
        <v>43319</v>
      </c>
    </row>
    <row r="483" spans="1:3" x14ac:dyDescent="0.25">
      <c r="A483" t="s">
        <v>245</v>
      </c>
      <c r="B483">
        <v>123.72989999999999</v>
      </c>
      <c r="C483" s="1">
        <v>43319</v>
      </c>
    </row>
    <row r="484" spans="1:3" x14ac:dyDescent="0.25">
      <c r="A484" t="s">
        <v>246</v>
      </c>
      <c r="B484">
        <v>208.38720000000018</v>
      </c>
      <c r="C484" s="1">
        <v>43319</v>
      </c>
    </row>
    <row r="485" spans="1:3" x14ac:dyDescent="0.25">
      <c r="A485" t="s">
        <v>247</v>
      </c>
      <c r="B485">
        <v>75.974499999999821</v>
      </c>
      <c r="C485" s="1">
        <v>43319</v>
      </c>
    </row>
    <row r="486" spans="1:3" x14ac:dyDescent="0.25">
      <c r="A486" t="s">
        <v>248</v>
      </c>
      <c r="B486">
        <v>151.94900000000001</v>
      </c>
      <c r="C486" s="1">
        <v>43319</v>
      </c>
    </row>
    <row r="487" spans="1:3" x14ac:dyDescent="0.25">
      <c r="A487" t="s">
        <v>249</v>
      </c>
      <c r="B487">
        <v>36.901900000000033</v>
      </c>
      <c r="C487" s="1">
        <v>43319</v>
      </c>
    </row>
    <row r="488" spans="1:3" x14ac:dyDescent="0.25">
      <c r="A488" t="s">
        <v>265</v>
      </c>
      <c r="B488">
        <v>182.33879999999991</v>
      </c>
      <c r="C488" s="1">
        <v>43319</v>
      </c>
    </row>
    <row r="489" spans="1:3" x14ac:dyDescent="0.25">
      <c r="A489" t="s">
        <v>266</v>
      </c>
      <c r="B489">
        <v>28.219100000000026</v>
      </c>
      <c r="C489" s="1">
        <v>43319</v>
      </c>
    </row>
    <row r="490" spans="1:3" x14ac:dyDescent="0.25">
      <c r="A490" t="s">
        <v>267</v>
      </c>
      <c r="B490">
        <v>30.389799999999905</v>
      </c>
      <c r="C490" s="1">
        <v>43319</v>
      </c>
    </row>
    <row r="491" spans="1:3" x14ac:dyDescent="0.25">
      <c r="A491" t="s">
        <v>250</v>
      </c>
      <c r="B491">
        <v>510.11450000000025</v>
      </c>
      <c r="C491" s="1">
        <v>43320</v>
      </c>
    </row>
    <row r="492" spans="1:3" x14ac:dyDescent="0.25">
      <c r="A492" t="s">
        <v>251</v>
      </c>
      <c r="B492">
        <v>460.18840000000017</v>
      </c>
      <c r="C492" s="1">
        <v>43320</v>
      </c>
    </row>
    <row r="493" spans="1:3" x14ac:dyDescent="0.25">
      <c r="A493" t="s">
        <v>252</v>
      </c>
      <c r="B493">
        <v>269.16679999999997</v>
      </c>
      <c r="C493" s="1">
        <v>43320</v>
      </c>
    </row>
    <row r="494" spans="1:3" x14ac:dyDescent="0.25">
      <c r="A494" t="s">
        <v>253</v>
      </c>
      <c r="B494">
        <v>26.048400000000022</v>
      </c>
      <c r="C494" s="1">
        <v>43320</v>
      </c>
    </row>
    <row r="495" spans="1:3" x14ac:dyDescent="0.25">
      <c r="A495" t="s">
        <v>254</v>
      </c>
      <c r="B495">
        <v>384.21390000000002</v>
      </c>
      <c r="C495" s="1">
        <v>43320</v>
      </c>
    </row>
    <row r="496" spans="1:3" x14ac:dyDescent="0.25">
      <c r="A496" t="s">
        <v>255</v>
      </c>
      <c r="B496">
        <v>214.89929999999995</v>
      </c>
      <c r="C496" s="1">
        <v>43320</v>
      </c>
    </row>
    <row r="497" spans="1:3" x14ac:dyDescent="0.25">
      <c r="A497" t="s">
        <v>256</v>
      </c>
      <c r="B497">
        <v>772.76919999999973</v>
      </c>
      <c r="C497" s="1">
        <v>43320</v>
      </c>
    </row>
    <row r="498" spans="1:3" x14ac:dyDescent="0.25">
      <c r="A498" t="s">
        <v>257</v>
      </c>
      <c r="B498">
        <v>592.60109999999975</v>
      </c>
      <c r="C498" s="1">
        <v>43320</v>
      </c>
    </row>
    <row r="499" spans="1:3" x14ac:dyDescent="0.25">
      <c r="A499" t="s">
        <v>258</v>
      </c>
      <c r="B499">
        <v>108.5350000000001</v>
      </c>
      <c r="C499" s="1">
        <v>43320</v>
      </c>
    </row>
    <row r="500" spans="1:3" x14ac:dyDescent="0.25">
      <c r="A500" t="s">
        <v>259</v>
      </c>
      <c r="B500">
        <v>149.77830000000012</v>
      </c>
      <c r="C500" s="1">
        <v>43320</v>
      </c>
    </row>
    <row r="501" spans="1:3" x14ac:dyDescent="0.25">
      <c r="A501" t="s">
        <v>260</v>
      </c>
      <c r="B501">
        <v>447.16419999999994</v>
      </c>
      <c r="C501" s="1">
        <v>43320</v>
      </c>
    </row>
    <row r="502" spans="1:3" x14ac:dyDescent="0.25">
      <c r="A502" t="s">
        <v>261</v>
      </c>
      <c r="B502">
        <v>451.5055999999999</v>
      </c>
      <c r="C502" s="1">
        <v>43320</v>
      </c>
    </row>
    <row r="503" spans="1:3" x14ac:dyDescent="0.25">
      <c r="A503" t="s">
        <v>250</v>
      </c>
      <c r="B503">
        <v>243.11840000000024</v>
      </c>
      <c r="C503" s="1">
        <v>43623</v>
      </c>
    </row>
    <row r="504" spans="1:3" x14ac:dyDescent="0.25">
      <c r="A504" t="s">
        <v>251</v>
      </c>
      <c r="B504">
        <v>43.414000000000037</v>
      </c>
      <c r="C504" s="1">
        <v>43623</v>
      </c>
    </row>
    <row r="505" spans="1:3" x14ac:dyDescent="0.25">
      <c r="A505" t="s">
        <v>252</v>
      </c>
      <c r="B505">
        <v>342.97059999999982</v>
      </c>
      <c r="C505" s="1">
        <v>43623</v>
      </c>
    </row>
    <row r="506" spans="1:3" x14ac:dyDescent="0.25">
      <c r="A506" t="s">
        <v>254</v>
      </c>
      <c r="B506">
        <v>158.4610999999999</v>
      </c>
      <c r="C506" s="1">
        <v>43623</v>
      </c>
    </row>
    <row r="507" spans="1:3" x14ac:dyDescent="0.25">
      <c r="A507" t="s">
        <v>255</v>
      </c>
      <c r="B507">
        <v>102.02290000000009</v>
      </c>
      <c r="C507" s="1">
        <v>43623</v>
      </c>
    </row>
    <row r="508" spans="1:3" x14ac:dyDescent="0.25">
      <c r="A508" t="s">
        <v>256</v>
      </c>
      <c r="B508">
        <v>316.92220000000026</v>
      </c>
      <c r="C508" s="1">
        <v>43623</v>
      </c>
    </row>
    <row r="509" spans="1:3" x14ac:dyDescent="0.25">
      <c r="A509" t="s">
        <v>258</v>
      </c>
      <c r="B509">
        <v>54.26750000000029</v>
      </c>
      <c r="C509" s="1">
        <v>43623</v>
      </c>
    </row>
    <row r="510" spans="1:3" x14ac:dyDescent="0.25">
      <c r="A510" t="s">
        <v>259</v>
      </c>
      <c r="B510">
        <v>52.096800000000044</v>
      </c>
      <c r="C510" s="1">
        <v>43623</v>
      </c>
    </row>
    <row r="511" spans="1:3" x14ac:dyDescent="0.25">
      <c r="A511" t="s">
        <v>260</v>
      </c>
      <c r="B511">
        <v>564.38200000000029</v>
      </c>
      <c r="C511" s="1">
        <v>43623</v>
      </c>
    </row>
    <row r="512" spans="1:3" x14ac:dyDescent="0.25">
      <c r="A512" t="s">
        <v>358</v>
      </c>
      <c r="B512">
        <v>117.21779999999985</v>
      </c>
      <c r="C512" s="1">
        <v>43623</v>
      </c>
    </row>
    <row r="513" spans="1:3" x14ac:dyDescent="0.25">
      <c r="A513" t="s">
        <v>359</v>
      </c>
      <c r="B513">
        <v>440.6520999999999</v>
      </c>
      <c r="C513" s="1">
        <v>43623</v>
      </c>
    </row>
    <row r="514" spans="1:3" x14ac:dyDescent="0.25">
      <c r="A514" t="s">
        <v>360</v>
      </c>
      <c r="B514">
        <v>303.89800000000002</v>
      </c>
      <c r="C514" s="1">
        <v>43623</v>
      </c>
    </row>
    <row r="515" spans="1:3" x14ac:dyDescent="0.25">
      <c r="A515" t="s">
        <v>208</v>
      </c>
      <c r="B515">
        <v>701.13610000000006</v>
      </c>
      <c r="C515" s="1">
        <v>43626</v>
      </c>
    </row>
    <row r="516" spans="1:3" x14ac:dyDescent="0.25">
      <c r="A516" t="s">
        <v>209</v>
      </c>
      <c r="B516">
        <v>640.35649999999987</v>
      </c>
      <c r="C516" s="1">
        <v>43626</v>
      </c>
    </row>
    <row r="517" spans="1:3" x14ac:dyDescent="0.25">
      <c r="A517" t="s">
        <v>210</v>
      </c>
      <c r="B517">
        <v>690.2826</v>
      </c>
      <c r="C517" s="1">
        <v>43626</v>
      </c>
    </row>
    <row r="518" spans="1:3" x14ac:dyDescent="0.25">
      <c r="A518" t="s">
        <v>212</v>
      </c>
      <c r="B518">
        <v>579.57690000000014</v>
      </c>
      <c r="C518" s="1">
        <v>43626</v>
      </c>
    </row>
    <row r="519" spans="1:3" x14ac:dyDescent="0.25">
      <c r="A519" t="s">
        <v>262</v>
      </c>
      <c r="B519">
        <v>833.54880000000003</v>
      </c>
      <c r="C519" s="1">
        <v>43626</v>
      </c>
    </row>
    <row r="520" spans="1:3" x14ac:dyDescent="0.25">
      <c r="A520" t="s">
        <v>213</v>
      </c>
      <c r="B520">
        <v>742.37939999999992</v>
      </c>
      <c r="C520" s="1">
        <v>43626</v>
      </c>
    </row>
    <row r="521" spans="1:3" x14ac:dyDescent="0.25">
      <c r="A521" t="s">
        <v>215</v>
      </c>
      <c r="B521">
        <v>453.67630000000003</v>
      </c>
      <c r="C521" s="1">
        <v>43626</v>
      </c>
    </row>
    <row r="522" spans="1:3" x14ac:dyDescent="0.25">
      <c r="A522" t="s">
        <v>216</v>
      </c>
      <c r="B522">
        <v>364.67760000000004</v>
      </c>
      <c r="C522" s="1">
        <v>43626</v>
      </c>
    </row>
    <row r="523" spans="1:3" x14ac:dyDescent="0.25">
      <c r="A523" t="s">
        <v>217</v>
      </c>
      <c r="B523">
        <v>371.18969999999996</v>
      </c>
      <c r="C523" s="1">
        <v>43626</v>
      </c>
    </row>
    <row r="524" spans="1:3" x14ac:dyDescent="0.25">
      <c r="A524" t="s">
        <v>361</v>
      </c>
      <c r="B524">
        <v>429.79860000000014</v>
      </c>
      <c r="C524" s="1">
        <v>43629</v>
      </c>
    </row>
    <row r="525" spans="1:3" x14ac:dyDescent="0.25">
      <c r="A525" t="s">
        <v>362</v>
      </c>
      <c r="B525">
        <v>158.4610999999999</v>
      </c>
      <c r="C525" s="1">
        <v>43629</v>
      </c>
    </row>
    <row r="526" spans="1:3" x14ac:dyDescent="0.25">
      <c r="A526" t="s">
        <v>363</v>
      </c>
      <c r="B526">
        <v>199.70439999999991</v>
      </c>
      <c r="C526" s="1">
        <v>43629</v>
      </c>
    </row>
    <row r="527" spans="1:3" x14ac:dyDescent="0.25">
      <c r="A527" t="s">
        <v>364</v>
      </c>
      <c r="B527">
        <v>99.852200000000096</v>
      </c>
      <c r="C527" s="1">
        <v>43629</v>
      </c>
    </row>
    <row r="528" spans="1:3" x14ac:dyDescent="0.25">
      <c r="A528" t="s">
        <v>365</v>
      </c>
      <c r="B528">
        <v>473.2125999999999</v>
      </c>
      <c r="C528" s="1">
        <v>43629</v>
      </c>
    </row>
    <row r="529" spans="1:3" x14ac:dyDescent="0.25">
      <c r="A529" t="s">
        <v>366</v>
      </c>
      <c r="B529">
        <v>560.04060000000004</v>
      </c>
      <c r="C529" s="1">
        <v>43629</v>
      </c>
    </row>
    <row r="530" spans="1:3" x14ac:dyDescent="0.25">
      <c r="A530" t="s">
        <v>367</v>
      </c>
      <c r="B530">
        <v>421.11579999999987</v>
      </c>
      <c r="C530" s="1">
        <v>43629</v>
      </c>
    </row>
    <row r="531" spans="1:3" x14ac:dyDescent="0.25">
      <c r="A531" t="s">
        <v>368</v>
      </c>
      <c r="B531">
        <v>462.3590999999999</v>
      </c>
      <c r="C531" s="1">
        <v>43629</v>
      </c>
    </row>
    <row r="532" spans="1:3" x14ac:dyDescent="0.25">
      <c r="A532" t="s">
        <v>369</v>
      </c>
      <c r="B532">
        <v>603.45460000000003</v>
      </c>
      <c r="C532" s="1">
        <v>43629</v>
      </c>
    </row>
    <row r="533" spans="1:3" x14ac:dyDescent="0.25">
      <c r="A533" t="s">
        <v>218</v>
      </c>
      <c r="B533">
        <v>180.16809999999992</v>
      </c>
      <c r="C533" s="1">
        <v>43630</v>
      </c>
    </row>
    <row r="534" spans="1:3" x14ac:dyDescent="0.25">
      <c r="A534" t="s">
        <v>219</v>
      </c>
      <c r="B534">
        <v>54.267500000000048</v>
      </c>
      <c r="C534" s="1">
        <v>43630</v>
      </c>
    </row>
    <row r="535" spans="1:3" x14ac:dyDescent="0.25">
      <c r="A535" t="s">
        <v>220</v>
      </c>
      <c r="B535">
        <v>264.8254</v>
      </c>
      <c r="C535" s="1">
        <v>43630</v>
      </c>
    </row>
    <row r="536" spans="1:3" x14ac:dyDescent="0.25">
      <c r="A536" t="s">
        <v>226</v>
      </c>
      <c r="B536">
        <v>384.21390000000002</v>
      </c>
      <c r="C536" s="1">
        <v>43630</v>
      </c>
    </row>
    <row r="537" spans="1:3" x14ac:dyDescent="0.25">
      <c r="A537" t="s">
        <v>227</v>
      </c>
      <c r="B537">
        <v>249.63049999999998</v>
      </c>
      <c r="C537" s="1">
        <v>43630</v>
      </c>
    </row>
    <row r="538" spans="1:3" x14ac:dyDescent="0.25">
      <c r="A538" t="s">
        <v>228</v>
      </c>
      <c r="B538">
        <v>69.462400000000002</v>
      </c>
      <c r="C538" s="1">
        <v>43630</v>
      </c>
    </row>
    <row r="539" spans="1:3" x14ac:dyDescent="0.25">
      <c r="A539" t="s">
        <v>370</v>
      </c>
      <c r="B539">
        <v>125.9006</v>
      </c>
      <c r="C539" s="1">
        <v>43630</v>
      </c>
    </row>
    <row r="540" spans="1:3" x14ac:dyDescent="0.25">
      <c r="A540" t="s">
        <v>371</v>
      </c>
      <c r="B540">
        <v>58.60890000000002</v>
      </c>
      <c r="C540" s="1">
        <v>43630</v>
      </c>
    </row>
    <row r="541" spans="1:3" x14ac:dyDescent="0.25">
      <c r="A541" t="s">
        <v>372</v>
      </c>
      <c r="B541">
        <v>13.024199999999983</v>
      </c>
      <c r="C541" s="1">
        <v>43630</v>
      </c>
    </row>
    <row r="542" spans="1:3" x14ac:dyDescent="0.25">
      <c r="A542" t="s">
        <v>373</v>
      </c>
      <c r="B542">
        <v>290.87379999999979</v>
      </c>
      <c r="C542" s="1">
        <v>43633</v>
      </c>
    </row>
    <row r="543" spans="1:3" x14ac:dyDescent="0.25">
      <c r="A543" t="s">
        <v>374</v>
      </c>
      <c r="B543">
        <v>269.16679999999997</v>
      </c>
      <c r="C543" s="1">
        <v>43633</v>
      </c>
    </row>
    <row r="544" spans="1:3" x14ac:dyDescent="0.25">
      <c r="A544" t="s">
        <v>375</v>
      </c>
      <c r="B544">
        <v>112.8764000000001</v>
      </c>
      <c r="C544" s="1">
        <v>43633</v>
      </c>
    </row>
    <row r="545" spans="1:3" x14ac:dyDescent="0.25">
      <c r="A545" t="s">
        <v>376</v>
      </c>
      <c r="B545">
        <v>169.31460000000015</v>
      </c>
      <c r="C545" s="1">
        <v>43633</v>
      </c>
    </row>
    <row r="546" spans="1:3" x14ac:dyDescent="0.25">
      <c r="A546" t="s">
        <v>377</v>
      </c>
      <c r="B546">
        <v>121.55920000000012</v>
      </c>
      <c r="C546" s="1">
        <v>43633</v>
      </c>
    </row>
    <row r="547" spans="1:3" x14ac:dyDescent="0.25">
      <c r="A547" t="s">
        <v>378</v>
      </c>
      <c r="B547">
        <v>80.31590000000007</v>
      </c>
      <c r="C547" s="1">
        <v>43633</v>
      </c>
    </row>
    <row r="548" spans="1:3" x14ac:dyDescent="0.25">
      <c r="A548" t="s">
        <v>379</v>
      </c>
      <c r="B548">
        <v>594.77180000000033</v>
      </c>
      <c r="C548" s="1">
        <v>43633</v>
      </c>
    </row>
    <row r="549" spans="1:3" x14ac:dyDescent="0.25">
      <c r="A549" t="s">
        <v>380</v>
      </c>
      <c r="B549">
        <v>759.74500000000023</v>
      </c>
      <c r="C549" s="1">
        <v>43633</v>
      </c>
    </row>
    <row r="550" spans="1:3" x14ac:dyDescent="0.25">
      <c r="A550" t="s">
        <v>381</v>
      </c>
      <c r="B550">
        <v>173.65599999999992</v>
      </c>
      <c r="C550" s="1">
        <v>43633</v>
      </c>
    </row>
    <row r="551" spans="1:3" x14ac:dyDescent="0.25">
      <c r="A551" t="s">
        <v>382</v>
      </c>
      <c r="B551">
        <v>132.4127</v>
      </c>
      <c r="C551" s="1">
        <v>43633</v>
      </c>
    </row>
    <row r="552" spans="1:3" x14ac:dyDescent="0.25">
      <c r="A552" t="s">
        <v>383</v>
      </c>
      <c r="B552">
        <v>104.19359999999998</v>
      </c>
      <c r="C552" s="1">
        <v>43633</v>
      </c>
    </row>
    <row r="553" spans="1:3" x14ac:dyDescent="0.25">
      <c r="A553" t="s">
        <v>384</v>
      </c>
      <c r="B553">
        <v>206.21650000000002</v>
      </c>
      <c r="C553" s="1">
        <v>43633</v>
      </c>
    </row>
    <row r="554" spans="1:3" x14ac:dyDescent="0.25">
      <c r="A554" t="s">
        <v>385</v>
      </c>
      <c r="B554">
        <v>173.65599999999992</v>
      </c>
      <c r="C554" s="1">
        <v>43633</v>
      </c>
    </row>
    <row r="555" spans="1:3" x14ac:dyDescent="0.25">
      <c r="A555" t="s">
        <v>386</v>
      </c>
      <c r="B555">
        <v>284.36169999999998</v>
      </c>
      <c r="C555" s="1">
        <v>43633</v>
      </c>
    </row>
    <row r="556" spans="1:3" x14ac:dyDescent="0.25">
      <c r="A556" t="s">
        <v>387</v>
      </c>
      <c r="B556">
        <v>136.75409999999988</v>
      </c>
      <c r="C556" s="1">
        <v>43633</v>
      </c>
    </row>
    <row r="557" spans="1:3" x14ac:dyDescent="0.25">
      <c r="A557" t="s">
        <v>388</v>
      </c>
      <c r="B557">
        <v>236.60629999999995</v>
      </c>
      <c r="C557" s="1">
        <v>43633</v>
      </c>
    </row>
    <row r="558" spans="1:3" x14ac:dyDescent="0.25">
      <c r="A558" t="s">
        <v>389</v>
      </c>
      <c r="B558">
        <v>538.33359999999993</v>
      </c>
      <c r="C558" s="1">
        <v>43633</v>
      </c>
    </row>
    <row r="559" spans="1:3" x14ac:dyDescent="0.25">
      <c r="A559" t="s">
        <v>390</v>
      </c>
      <c r="B559">
        <v>379.87249999999989</v>
      </c>
      <c r="C559" s="1">
        <v>43633</v>
      </c>
    </row>
    <row r="560" spans="1:3" x14ac:dyDescent="0.25">
      <c r="A560" t="s">
        <v>151</v>
      </c>
      <c r="B560">
        <v>49.926100000000048</v>
      </c>
      <c r="C560" s="1">
        <v>43633</v>
      </c>
    </row>
    <row r="561" spans="1:3" x14ac:dyDescent="0.25">
      <c r="A561" t="s">
        <v>152</v>
      </c>
      <c r="B561">
        <v>167.14390000000003</v>
      </c>
      <c r="C561" s="1">
        <v>43633</v>
      </c>
    </row>
    <row r="562" spans="1:3" x14ac:dyDescent="0.25">
      <c r="A562" t="s">
        <v>153</v>
      </c>
      <c r="B562">
        <v>184.50950000000006</v>
      </c>
      <c r="C562" s="1">
        <v>43633</v>
      </c>
    </row>
    <row r="563" spans="1:3" x14ac:dyDescent="0.25">
      <c r="A563" t="s">
        <v>172</v>
      </c>
      <c r="B563">
        <v>264.8254</v>
      </c>
      <c r="C563" s="1">
        <v>43627</v>
      </c>
    </row>
    <row r="564" spans="1:3" x14ac:dyDescent="0.25">
      <c r="A564" t="s">
        <v>173</v>
      </c>
      <c r="B564">
        <v>108.53499999999998</v>
      </c>
      <c r="C564" s="1">
        <v>43627</v>
      </c>
    </row>
    <row r="565" spans="1:3" x14ac:dyDescent="0.25">
      <c r="A565" t="s">
        <v>174</v>
      </c>
      <c r="B565">
        <v>134.58339999999998</v>
      </c>
      <c r="C565" s="1">
        <v>43627</v>
      </c>
    </row>
    <row r="566" spans="1:3" x14ac:dyDescent="0.25">
      <c r="A566" t="s">
        <v>176</v>
      </c>
      <c r="B566">
        <v>95.510800000000032</v>
      </c>
      <c r="C566" s="1">
        <v>43627</v>
      </c>
    </row>
    <row r="567" spans="1:3" x14ac:dyDescent="0.25">
      <c r="A567" t="s">
        <v>177</v>
      </c>
      <c r="B567">
        <v>240.9477</v>
      </c>
      <c r="C567" s="1">
        <v>43627</v>
      </c>
    </row>
    <row r="568" spans="1:3" x14ac:dyDescent="0.25">
      <c r="A568" t="s">
        <v>178</v>
      </c>
      <c r="B568">
        <v>95.510800000000032</v>
      </c>
      <c r="C568" s="1">
        <v>43627</v>
      </c>
    </row>
    <row r="569" spans="1:3" x14ac:dyDescent="0.25">
      <c r="A569" t="s">
        <v>180</v>
      </c>
      <c r="B569">
        <v>240.94769999999997</v>
      </c>
      <c r="C569" s="1">
        <v>43627</v>
      </c>
    </row>
    <row r="570" spans="1:3" x14ac:dyDescent="0.25">
      <c r="A570" t="s">
        <v>181</v>
      </c>
      <c r="B570">
        <v>590.43040000000008</v>
      </c>
      <c r="C570" s="1">
        <v>43627</v>
      </c>
    </row>
    <row r="571" spans="1:3" x14ac:dyDescent="0.25">
      <c r="A571" t="s">
        <v>182</v>
      </c>
      <c r="B571">
        <v>325.60500000000008</v>
      </c>
      <c r="C571" s="1">
        <v>43627</v>
      </c>
    </row>
    <row r="572" spans="1:3" x14ac:dyDescent="0.25">
      <c r="A572" t="s">
        <v>391</v>
      </c>
      <c r="B572">
        <v>390.72599999999994</v>
      </c>
      <c r="C572" s="1">
        <v>43627</v>
      </c>
    </row>
    <row r="573" spans="1:3" x14ac:dyDescent="0.25">
      <c r="A573" t="s">
        <v>440</v>
      </c>
      <c r="B573">
        <v>93.340100000000078</v>
      </c>
      <c r="C573" s="1">
        <v>43627</v>
      </c>
    </row>
    <row r="574" spans="1:3" x14ac:dyDescent="0.25">
      <c r="A574" t="s">
        <v>441</v>
      </c>
      <c r="B574">
        <v>17.365600000000015</v>
      </c>
      <c r="C574" s="1">
        <v>43627</v>
      </c>
    </row>
    <row r="575" spans="1:3" x14ac:dyDescent="0.25">
      <c r="A575" s="12" t="s">
        <v>422</v>
      </c>
      <c r="B575">
        <v>924.7181999999998</v>
      </c>
      <c r="C575" s="1">
        <v>43627</v>
      </c>
    </row>
    <row r="576" spans="1:3" x14ac:dyDescent="0.25">
      <c r="A576" s="12" t="s">
        <v>423</v>
      </c>
      <c r="B576">
        <v>898.66980000000012</v>
      </c>
      <c r="C576" s="1">
        <v>43627</v>
      </c>
    </row>
    <row r="577" spans="1:3" x14ac:dyDescent="0.25">
      <c r="A577" s="12" t="s">
        <v>424</v>
      </c>
      <c r="B577">
        <v>1167.8366000000001</v>
      </c>
      <c r="C577" s="1">
        <v>43627</v>
      </c>
    </row>
    <row r="578" spans="1:3" x14ac:dyDescent="0.25">
      <c r="A578" s="12" t="s">
        <v>425</v>
      </c>
      <c r="B578">
        <v>52.096799999999988</v>
      </c>
      <c r="C578" s="1">
        <v>43627</v>
      </c>
    </row>
    <row r="579" spans="1:3" x14ac:dyDescent="0.25">
      <c r="A579" s="12" t="s">
        <v>426</v>
      </c>
      <c r="B579">
        <v>744.55010000000004</v>
      </c>
      <c r="C579" s="1">
        <v>43627</v>
      </c>
    </row>
    <row r="580" spans="1:3" x14ac:dyDescent="0.25">
      <c r="A580" s="12" t="s">
        <v>427</v>
      </c>
      <c r="B580">
        <v>84.657300000000021</v>
      </c>
      <c r="C580" s="1">
        <v>43627</v>
      </c>
    </row>
    <row r="581" spans="1:3" x14ac:dyDescent="0.25">
      <c r="A581" s="12" t="s">
        <v>428</v>
      </c>
      <c r="B581">
        <v>948.59590000000003</v>
      </c>
      <c r="C581" s="1">
        <v>43627</v>
      </c>
    </row>
    <row r="582" spans="1:3" x14ac:dyDescent="0.25">
      <c r="A582" s="12" t="s">
        <v>429</v>
      </c>
      <c r="B582">
        <v>382.04320000000001</v>
      </c>
      <c r="C582" s="1">
        <v>43627</v>
      </c>
    </row>
    <row r="583" spans="1:3" x14ac:dyDescent="0.25">
      <c r="A583" s="12" t="s">
        <v>430</v>
      </c>
      <c r="B583">
        <v>837.89020000000005</v>
      </c>
      <c r="C583" s="1">
        <v>43627</v>
      </c>
    </row>
    <row r="584" spans="1:3" x14ac:dyDescent="0.25">
      <c r="A584" t="s">
        <v>431</v>
      </c>
      <c r="B584">
        <v>735.8673</v>
      </c>
      <c r="C584" s="1">
        <v>43628</v>
      </c>
    </row>
    <row r="585" spans="1:3" x14ac:dyDescent="0.25">
      <c r="A585" t="s">
        <v>432</v>
      </c>
      <c r="B585">
        <v>835.71950000000015</v>
      </c>
      <c r="C585" s="1">
        <v>43628</v>
      </c>
    </row>
    <row r="586" spans="1:3" x14ac:dyDescent="0.25">
      <c r="A586" t="s">
        <v>433</v>
      </c>
      <c r="B586">
        <v>718.50169999999991</v>
      </c>
      <c r="C586" s="1">
        <v>43628</v>
      </c>
    </row>
    <row r="587" spans="1:3" x14ac:dyDescent="0.25">
      <c r="A587" t="s">
        <v>434</v>
      </c>
      <c r="B587">
        <v>787.96410000000003</v>
      </c>
      <c r="C587" s="1">
        <v>43628</v>
      </c>
    </row>
    <row r="588" spans="1:3" x14ac:dyDescent="0.25">
      <c r="A588" t="s">
        <v>435</v>
      </c>
      <c r="B588">
        <v>796.64689999999996</v>
      </c>
      <c r="C588" s="1">
        <v>43628</v>
      </c>
    </row>
    <row r="589" spans="1:3" x14ac:dyDescent="0.25">
      <c r="A589" t="s">
        <v>436</v>
      </c>
      <c r="B589">
        <v>481.89539999999994</v>
      </c>
      <c r="C589" s="1">
        <v>43628</v>
      </c>
    </row>
    <row r="590" spans="1:3" x14ac:dyDescent="0.25">
      <c r="A590" t="s">
        <v>437</v>
      </c>
      <c r="B590">
        <v>840.06089999999995</v>
      </c>
      <c r="C590" s="1">
        <v>43628</v>
      </c>
    </row>
    <row r="591" spans="1:3" x14ac:dyDescent="0.25">
      <c r="A591" t="s">
        <v>438</v>
      </c>
      <c r="B591">
        <v>824.86599999999987</v>
      </c>
      <c r="C591" s="1">
        <v>43628</v>
      </c>
    </row>
    <row r="592" spans="1:3" x14ac:dyDescent="0.25">
      <c r="A592" t="s">
        <v>439</v>
      </c>
      <c r="B592">
        <v>961.62009999999964</v>
      </c>
      <c r="C592" s="1">
        <v>43628</v>
      </c>
    </row>
    <row r="593" spans="1:3" x14ac:dyDescent="0.25">
      <c r="A593" t="s">
        <v>392</v>
      </c>
      <c r="B593">
        <v>362.50689999999997</v>
      </c>
      <c r="C593" s="1">
        <v>43634</v>
      </c>
    </row>
    <row r="594" spans="1:3" x14ac:dyDescent="0.25">
      <c r="A594" t="s">
        <v>393</v>
      </c>
      <c r="B594">
        <v>206.21649999999997</v>
      </c>
      <c r="C594" s="1">
        <v>43634</v>
      </c>
    </row>
    <row r="595" spans="1:3" x14ac:dyDescent="0.25">
      <c r="A595" t="s">
        <v>394</v>
      </c>
      <c r="B595">
        <v>164.97319999999991</v>
      </c>
      <c r="C595" s="1">
        <v>43634</v>
      </c>
    </row>
    <row r="596" spans="1:3" x14ac:dyDescent="0.25">
      <c r="A596" t="s">
        <v>395</v>
      </c>
      <c r="B596">
        <v>408.09159999999986</v>
      </c>
      <c r="C596" s="1">
        <v>43634</v>
      </c>
    </row>
    <row r="597" spans="1:3" x14ac:dyDescent="0.25">
      <c r="A597" t="s">
        <v>396</v>
      </c>
      <c r="B597">
        <v>297.38589999999976</v>
      </c>
      <c r="C597" s="1">
        <v>43634</v>
      </c>
    </row>
    <row r="598" spans="1:3" x14ac:dyDescent="0.25">
      <c r="A598" t="s">
        <v>397</v>
      </c>
      <c r="B598">
        <v>371.18970000000007</v>
      </c>
      <c r="C598" s="1">
        <v>43634</v>
      </c>
    </row>
    <row r="599" spans="1:3" x14ac:dyDescent="0.25">
      <c r="A599" t="s">
        <v>398</v>
      </c>
      <c r="B599">
        <v>455.84699999999998</v>
      </c>
      <c r="C599" s="1">
        <v>43634</v>
      </c>
    </row>
    <row r="600" spans="1:3" x14ac:dyDescent="0.25">
      <c r="A600" t="s">
        <v>399</v>
      </c>
      <c r="B600">
        <v>355.99479999999994</v>
      </c>
      <c r="C600" s="1">
        <v>43634</v>
      </c>
    </row>
    <row r="601" spans="1:3" x14ac:dyDescent="0.25">
      <c r="A601" t="s">
        <v>400</v>
      </c>
      <c r="B601">
        <v>429.79860000000014</v>
      </c>
      <c r="C601" s="1">
        <v>43634</v>
      </c>
    </row>
    <row r="602" spans="1:3" x14ac:dyDescent="0.25">
      <c r="A602" t="s">
        <v>401</v>
      </c>
      <c r="B602">
        <v>301.72730000000001</v>
      </c>
      <c r="C602" s="1">
        <v>43634</v>
      </c>
    </row>
    <row r="603" spans="1:3" x14ac:dyDescent="0.25">
      <c r="A603" t="s">
        <v>402</v>
      </c>
      <c r="B603">
        <v>321.26359999999977</v>
      </c>
      <c r="C603" s="1">
        <v>43634</v>
      </c>
    </row>
    <row r="604" spans="1:3" x14ac:dyDescent="0.25">
      <c r="A604" t="s">
        <v>403</v>
      </c>
      <c r="B604">
        <v>373.36039999999986</v>
      </c>
      <c r="C604" s="1">
        <v>43634</v>
      </c>
    </row>
    <row r="605" spans="1:3" x14ac:dyDescent="0.25">
      <c r="A605" t="s">
        <v>404</v>
      </c>
      <c r="B605">
        <v>145.43690000000015</v>
      </c>
      <c r="C605" s="1">
        <v>43634</v>
      </c>
    </row>
    <row r="606" spans="1:3" x14ac:dyDescent="0.25">
      <c r="A606" t="s">
        <v>405</v>
      </c>
      <c r="B606">
        <v>262.6547000000001</v>
      </c>
      <c r="C606" s="1">
        <v>43634</v>
      </c>
    </row>
    <row r="607" spans="1:3" x14ac:dyDescent="0.25">
      <c r="A607" t="s">
        <v>406</v>
      </c>
      <c r="B607">
        <v>338.62919999999997</v>
      </c>
      <c r="C607" s="1">
        <v>43634</v>
      </c>
    </row>
    <row r="608" spans="1:3" x14ac:dyDescent="0.25">
      <c r="A608" t="s">
        <v>407</v>
      </c>
      <c r="B608">
        <v>392.89670000000012</v>
      </c>
      <c r="C608" s="1">
        <v>43634</v>
      </c>
    </row>
    <row r="609" spans="1:3" x14ac:dyDescent="0.25">
      <c r="A609" t="s">
        <v>408</v>
      </c>
      <c r="B609">
        <v>418.94509999999985</v>
      </c>
      <c r="C609" s="1">
        <v>43634</v>
      </c>
    </row>
    <row r="610" spans="1:3" x14ac:dyDescent="0.25">
      <c r="A610" t="s">
        <v>409</v>
      </c>
      <c r="B610">
        <v>412.43299999999994</v>
      </c>
      <c r="C610" s="1">
        <v>43634</v>
      </c>
    </row>
    <row r="611" spans="1:3" x14ac:dyDescent="0.25">
      <c r="A611" t="s">
        <v>410</v>
      </c>
      <c r="B611">
        <v>88.998699999999843</v>
      </c>
      <c r="C611" s="1">
        <v>43635</v>
      </c>
    </row>
    <row r="612" spans="1:3" x14ac:dyDescent="0.25">
      <c r="A612" t="s">
        <v>411</v>
      </c>
      <c r="B612">
        <v>104.19360000000009</v>
      </c>
      <c r="C612" s="1">
        <v>43635</v>
      </c>
    </row>
    <row r="613" spans="1:3" x14ac:dyDescent="0.25">
      <c r="A613" t="s">
        <v>412</v>
      </c>
      <c r="B613">
        <v>47.755399999999916</v>
      </c>
      <c r="C613" s="1">
        <v>43635</v>
      </c>
    </row>
    <row r="614" spans="1:3" x14ac:dyDescent="0.25">
      <c r="A614" t="s">
        <v>413</v>
      </c>
      <c r="B614">
        <v>149.77830000000012</v>
      </c>
      <c r="C614" s="1">
        <v>43635</v>
      </c>
    </row>
    <row r="615" spans="1:3" x14ac:dyDescent="0.25">
      <c r="A615" t="s">
        <v>414</v>
      </c>
      <c r="B615">
        <v>173.65599999999992</v>
      </c>
      <c r="C615" s="1">
        <v>43635</v>
      </c>
    </row>
    <row r="616" spans="1:3" x14ac:dyDescent="0.25">
      <c r="A616" t="s">
        <v>415</v>
      </c>
      <c r="B616">
        <v>199.70439999999991</v>
      </c>
      <c r="C616" s="1">
        <v>43635</v>
      </c>
    </row>
    <row r="617" spans="1:3" x14ac:dyDescent="0.25">
      <c r="A617" t="s">
        <v>416</v>
      </c>
      <c r="B617">
        <v>117.21779999999998</v>
      </c>
      <c r="C617" s="1">
        <v>43635</v>
      </c>
    </row>
    <row r="618" spans="1:3" x14ac:dyDescent="0.25">
      <c r="A618" t="s">
        <v>417</v>
      </c>
      <c r="B618">
        <v>119.38849999999999</v>
      </c>
      <c r="C618" s="1">
        <v>43635</v>
      </c>
    </row>
    <row r="619" spans="1:3" x14ac:dyDescent="0.25">
      <c r="A619" t="s">
        <v>418</v>
      </c>
      <c r="B619">
        <v>475.38329999999991</v>
      </c>
      <c r="C619" s="1">
        <v>43635</v>
      </c>
    </row>
    <row r="620" spans="1:3" x14ac:dyDescent="0.25">
      <c r="A620" t="s">
        <v>419</v>
      </c>
      <c r="B620">
        <v>164.97319999999996</v>
      </c>
      <c r="C620" s="1">
        <v>43635</v>
      </c>
    </row>
    <row r="621" spans="1:3" x14ac:dyDescent="0.25">
      <c r="A621" t="s">
        <v>420</v>
      </c>
      <c r="B621">
        <v>112.87639999999998</v>
      </c>
      <c r="C621" s="1">
        <v>43635</v>
      </c>
    </row>
    <row r="622" spans="1:3" x14ac:dyDescent="0.25">
      <c r="A622" t="s">
        <v>421</v>
      </c>
      <c r="B622">
        <v>201.87509999999997</v>
      </c>
      <c r="C622" s="1">
        <v>43635</v>
      </c>
    </row>
    <row r="623" spans="1:3" x14ac:dyDescent="0.25">
      <c r="A623" t="s">
        <v>422</v>
      </c>
      <c r="B623">
        <v>173.65600000000003</v>
      </c>
      <c r="C623" s="1">
        <v>43667</v>
      </c>
    </row>
    <row r="624" spans="1:3" x14ac:dyDescent="0.25">
      <c r="A624" t="s">
        <v>423</v>
      </c>
      <c r="B624">
        <v>290.87380000000002</v>
      </c>
      <c r="C624" s="1">
        <v>43667</v>
      </c>
    </row>
    <row r="625" spans="1:3" x14ac:dyDescent="0.25">
      <c r="A625" t="s">
        <v>424</v>
      </c>
      <c r="B625">
        <v>36.901900000000033</v>
      </c>
      <c r="C625" s="1">
        <v>43667</v>
      </c>
    </row>
    <row r="626" spans="1:3" x14ac:dyDescent="0.25">
      <c r="A626" t="s">
        <v>425</v>
      </c>
      <c r="B626">
        <v>180.16810000000004</v>
      </c>
      <c r="C626" s="1">
        <v>43667</v>
      </c>
    </row>
    <row r="627" spans="1:3" x14ac:dyDescent="0.25">
      <c r="A627" t="s">
        <v>426</v>
      </c>
      <c r="B627">
        <v>147.60759999999996</v>
      </c>
      <c r="C627" s="1">
        <v>43667</v>
      </c>
    </row>
    <row r="628" spans="1:3" x14ac:dyDescent="0.25">
      <c r="A628" t="s">
        <v>427</v>
      </c>
      <c r="B628">
        <v>234.43559999999991</v>
      </c>
      <c r="C628" s="1">
        <v>43667</v>
      </c>
    </row>
    <row r="629" spans="1:3" x14ac:dyDescent="0.25">
      <c r="A629" t="s">
        <v>428</v>
      </c>
      <c r="B629">
        <v>162.80250000000004</v>
      </c>
      <c r="C629" s="1">
        <v>43667</v>
      </c>
    </row>
    <row r="630" spans="1:3" x14ac:dyDescent="0.25">
      <c r="A630" t="s">
        <v>429</v>
      </c>
      <c r="B630">
        <v>141.09550000000002</v>
      </c>
      <c r="C630" s="1">
        <v>43667</v>
      </c>
    </row>
    <row r="631" spans="1:3" x14ac:dyDescent="0.25">
      <c r="A631" t="s">
        <v>430</v>
      </c>
      <c r="B631">
        <v>125.90059999999988</v>
      </c>
      <c r="C631" s="1">
        <v>43667</v>
      </c>
    </row>
    <row r="632" spans="1:3" x14ac:dyDescent="0.25">
      <c r="A632" t="s">
        <v>361</v>
      </c>
      <c r="B632">
        <v>273.50819999999999</v>
      </c>
      <c r="C632" s="1">
        <v>43671</v>
      </c>
    </row>
    <row r="633" spans="1:3" x14ac:dyDescent="0.25">
      <c r="A633" t="s">
        <v>362</v>
      </c>
      <c r="B633">
        <v>649.03930000000003</v>
      </c>
      <c r="C633" s="1">
        <v>43671</v>
      </c>
    </row>
    <row r="634" spans="1:3" x14ac:dyDescent="0.25">
      <c r="A634" t="s">
        <v>363</v>
      </c>
      <c r="B634">
        <v>275.67889999999977</v>
      </c>
      <c r="C634" s="1">
        <v>43671</v>
      </c>
    </row>
    <row r="635" spans="1:3" x14ac:dyDescent="0.25">
      <c r="A635" t="s">
        <v>364</v>
      </c>
      <c r="B635">
        <v>462.35910000000013</v>
      </c>
      <c r="C635" s="1">
        <v>43671</v>
      </c>
    </row>
    <row r="636" spans="1:3" x14ac:dyDescent="0.25">
      <c r="A636" t="s">
        <v>365</v>
      </c>
      <c r="B636">
        <v>373.36040000000008</v>
      </c>
      <c r="C636" s="1">
        <v>43671</v>
      </c>
    </row>
    <row r="637" spans="1:3" x14ac:dyDescent="0.25">
      <c r="A637" t="s">
        <v>366</v>
      </c>
      <c r="B637">
        <v>583.91830000000004</v>
      </c>
      <c r="C637" s="1">
        <v>43671</v>
      </c>
    </row>
    <row r="638" spans="1:3" x14ac:dyDescent="0.25">
      <c r="A638" t="s">
        <v>367</v>
      </c>
      <c r="B638">
        <v>162.80250000000004</v>
      </c>
      <c r="C638" s="1">
        <v>43671</v>
      </c>
    </row>
    <row r="639" spans="1:3" x14ac:dyDescent="0.25">
      <c r="A639" t="s">
        <v>368</v>
      </c>
      <c r="B639">
        <v>410.26230000000015</v>
      </c>
      <c r="C639" s="1">
        <v>43671</v>
      </c>
    </row>
    <row r="640" spans="1:3" x14ac:dyDescent="0.25">
      <c r="A640" t="s">
        <v>369</v>
      </c>
      <c r="B640">
        <v>184.50949999999995</v>
      </c>
      <c r="C640" s="1">
        <v>43671</v>
      </c>
    </row>
    <row r="641" spans="1:3" x14ac:dyDescent="0.25">
      <c r="A641" t="s">
        <v>392</v>
      </c>
      <c r="B641">
        <v>158.46110000000002</v>
      </c>
      <c r="C641" s="1">
        <v>43676</v>
      </c>
    </row>
    <row r="642" spans="1:3" x14ac:dyDescent="0.25">
      <c r="A642" t="s">
        <v>393</v>
      </c>
      <c r="B642">
        <v>30.389800000000029</v>
      </c>
      <c r="C642" s="1">
        <v>43676</v>
      </c>
    </row>
    <row r="643" spans="1:3" x14ac:dyDescent="0.25">
      <c r="A643" t="s">
        <v>394</v>
      </c>
      <c r="B643">
        <v>43.41399999999998</v>
      </c>
      <c r="C643" s="1">
        <v>43676</v>
      </c>
    </row>
    <row r="644" spans="1:3" x14ac:dyDescent="0.25">
      <c r="A644" t="s">
        <v>395</v>
      </c>
      <c r="B644">
        <v>119.38849999999987</v>
      </c>
      <c r="C644" s="1">
        <v>43676</v>
      </c>
    </row>
    <row r="645" spans="1:3" x14ac:dyDescent="0.25">
      <c r="A645" t="s">
        <v>396</v>
      </c>
      <c r="B645">
        <v>271.33750000000003</v>
      </c>
      <c r="C645" s="1">
        <v>43676</v>
      </c>
    </row>
    <row r="646" spans="1:3" x14ac:dyDescent="0.25">
      <c r="A646" t="s">
        <v>397</v>
      </c>
      <c r="B646">
        <v>299.55660000000006</v>
      </c>
      <c r="C646" s="1">
        <v>43676</v>
      </c>
    </row>
    <row r="647" spans="1:3" x14ac:dyDescent="0.25">
      <c r="A647" t="s">
        <v>398</v>
      </c>
      <c r="B647">
        <v>342.97059999999982</v>
      </c>
      <c r="C647" s="1">
        <v>43676</v>
      </c>
    </row>
    <row r="648" spans="1:3" x14ac:dyDescent="0.25">
      <c r="A648" t="s">
        <v>399</v>
      </c>
      <c r="B648">
        <v>91.169399999999953</v>
      </c>
      <c r="C648" s="1">
        <v>43676</v>
      </c>
    </row>
    <row r="649" spans="1:3" x14ac:dyDescent="0.25">
      <c r="A649" t="s">
        <v>400</v>
      </c>
      <c r="B649">
        <v>384.21390000000002</v>
      </c>
      <c r="C649" s="1">
        <v>43676</v>
      </c>
    </row>
    <row r="650" spans="1:3" x14ac:dyDescent="0.25">
      <c r="A650" t="s">
        <v>401</v>
      </c>
      <c r="B650">
        <v>219.24069999999995</v>
      </c>
      <c r="C650" s="1">
        <v>43676</v>
      </c>
    </row>
    <row r="651" spans="1:3" x14ac:dyDescent="0.25">
      <c r="A651" t="s">
        <v>402</v>
      </c>
      <c r="B651">
        <v>49.926100000000048</v>
      </c>
      <c r="C651" s="1">
        <v>43676</v>
      </c>
    </row>
    <row r="652" spans="1:3" x14ac:dyDescent="0.25">
      <c r="A652" t="s">
        <v>403</v>
      </c>
      <c r="B652">
        <v>275.6789</v>
      </c>
      <c r="C652" s="1">
        <v>43676</v>
      </c>
    </row>
    <row r="653" spans="1:3" x14ac:dyDescent="0.25">
      <c r="A653" t="s">
        <v>404</v>
      </c>
      <c r="B653">
        <v>104.19359999999998</v>
      </c>
      <c r="C653" s="1">
        <v>43676</v>
      </c>
    </row>
    <row r="654" spans="1:3" x14ac:dyDescent="0.25">
      <c r="A654" t="s">
        <v>405</v>
      </c>
      <c r="B654">
        <v>95.510799999999975</v>
      </c>
      <c r="C654" s="1">
        <v>43676</v>
      </c>
    </row>
    <row r="655" spans="1:3" x14ac:dyDescent="0.25">
      <c r="A655" t="s">
        <v>406</v>
      </c>
      <c r="B655">
        <v>249.63049999999998</v>
      </c>
      <c r="C655" s="1">
        <v>43676</v>
      </c>
    </row>
    <row r="656" spans="1:3" x14ac:dyDescent="0.25">
      <c r="A656" t="s">
        <v>407</v>
      </c>
      <c r="B656">
        <v>260.48399999999998</v>
      </c>
      <c r="C656" s="1">
        <v>43676</v>
      </c>
    </row>
    <row r="657" spans="1:3" x14ac:dyDescent="0.25">
      <c r="A657" t="s">
        <v>408</v>
      </c>
      <c r="B657">
        <v>132.41270000000006</v>
      </c>
      <c r="C657" s="1">
        <v>43676</v>
      </c>
    </row>
    <row r="658" spans="1:3" x14ac:dyDescent="0.25">
      <c r="A658" t="s">
        <v>409</v>
      </c>
      <c r="B658">
        <v>219.24070000000006</v>
      </c>
      <c r="C658" s="1">
        <v>43676</v>
      </c>
    </row>
    <row r="659" spans="1:3" x14ac:dyDescent="0.25">
      <c r="A659" t="s">
        <v>208</v>
      </c>
      <c r="B659">
        <v>62.950299999999942</v>
      </c>
      <c r="C659" s="1">
        <v>43668</v>
      </c>
    </row>
    <row r="660" spans="1:3" x14ac:dyDescent="0.25">
      <c r="A660" t="s">
        <v>209</v>
      </c>
      <c r="B660">
        <v>221.41139999999993</v>
      </c>
      <c r="C660" s="1">
        <v>43668</v>
      </c>
    </row>
    <row r="661" spans="1:3" x14ac:dyDescent="0.25">
      <c r="A661" t="s">
        <v>210</v>
      </c>
      <c r="B661">
        <v>266.99610000000001</v>
      </c>
      <c r="C661" s="1">
        <v>43668</v>
      </c>
    </row>
    <row r="662" spans="1:3" x14ac:dyDescent="0.25">
      <c r="A662" t="s">
        <v>212</v>
      </c>
      <c r="B662">
        <v>128.07130000000006</v>
      </c>
      <c r="C662" s="1">
        <v>43668</v>
      </c>
    </row>
    <row r="663" spans="1:3" x14ac:dyDescent="0.25">
      <c r="A663" t="s">
        <v>262</v>
      </c>
      <c r="B663">
        <v>130.24199999999988</v>
      </c>
      <c r="C663" s="1">
        <v>43668</v>
      </c>
    </row>
    <row r="664" spans="1:3" x14ac:dyDescent="0.25">
      <c r="A664" t="s">
        <v>213</v>
      </c>
      <c r="B664">
        <v>80.315899999999942</v>
      </c>
      <c r="C664" s="1">
        <v>43668</v>
      </c>
    </row>
    <row r="665" spans="1:3" x14ac:dyDescent="0.25">
      <c r="A665" t="s">
        <v>215</v>
      </c>
      <c r="B665">
        <v>88.998700000000028</v>
      </c>
      <c r="C665" s="1">
        <v>43668</v>
      </c>
    </row>
    <row r="666" spans="1:3" x14ac:dyDescent="0.25">
      <c r="A666" t="s">
        <v>216</v>
      </c>
      <c r="B666">
        <v>128.07130000000001</v>
      </c>
      <c r="C666" s="1">
        <v>43668</v>
      </c>
    </row>
    <row r="667" spans="1:3" x14ac:dyDescent="0.25">
      <c r="A667" t="s">
        <v>217</v>
      </c>
      <c r="B667">
        <v>65.120999999999995</v>
      </c>
      <c r="C667" s="1">
        <v>43668</v>
      </c>
    </row>
    <row r="668" spans="1:3" x14ac:dyDescent="0.25">
      <c r="A668" t="s">
        <v>410</v>
      </c>
      <c r="B668">
        <v>86.828000000000074</v>
      </c>
      <c r="C668" s="1">
        <v>43669</v>
      </c>
    </row>
    <row r="669" spans="1:3" x14ac:dyDescent="0.25">
      <c r="A669" t="s">
        <v>411</v>
      </c>
      <c r="B669">
        <v>23.877700000000019</v>
      </c>
      <c r="C669" s="1">
        <v>43669</v>
      </c>
    </row>
    <row r="670" spans="1:3" x14ac:dyDescent="0.25">
      <c r="A670" t="s">
        <v>412</v>
      </c>
      <c r="B670">
        <v>52.096799999999931</v>
      </c>
      <c r="C670" s="1">
        <v>43669</v>
      </c>
    </row>
    <row r="671" spans="1:3" x14ac:dyDescent="0.25">
      <c r="A671" t="s">
        <v>413</v>
      </c>
      <c r="B671">
        <v>102.02289999999996</v>
      </c>
      <c r="C671" s="1">
        <v>43669</v>
      </c>
    </row>
    <row r="672" spans="1:3" x14ac:dyDescent="0.25">
      <c r="A672" t="s">
        <v>414</v>
      </c>
      <c r="B672">
        <v>208.38719999999995</v>
      </c>
      <c r="C672" s="1">
        <v>43669</v>
      </c>
    </row>
    <row r="673" spans="1:3" x14ac:dyDescent="0.25">
      <c r="A673" t="s">
        <v>415</v>
      </c>
      <c r="B673">
        <v>449.33489999999989</v>
      </c>
      <c r="C673" s="1">
        <v>43669</v>
      </c>
    </row>
    <row r="674" spans="1:3" x14ac:dyDescent="0.25">
      <c r="A674" t="s">
        <v>416</v>
      </c>
      <c r="B674">
        <v>117.2178000000001</v>
      </c>
      <c r="C674" s="1">
        <v>43669</v>
      </c>
    </row>
    <row r="675" spans="1:3" x14ac:dyDescent="0.25">
      <c r="A675" t="s">
        <v>417</v>
      </c>
      <c r="B675">
        <v>227.92349999999999</v>
      </c>
      <c r="C675" s="1">
        <v>43669</v>
      </c>
    </row>
    <row r="676" spans="1:3" x14ac:dyDescent="0.25">
      <c r="A676" t="s">
        <v>418</v>
      </c>
      <c r="B676">
        <v>34.73120000000003</v>
      </c>
      <c r="C676" s="1">
        <v>43669</v>
      </c>
    </row>
    <row r="677" spans="1:3" x14ac:dyDescent="0.25">
      <c r="A677" t="s">
        <v>419</v>
      </c>
      <c r="B677">
        <v>19.536300000000018</v>
      </c>
      <c r="C677" s="1">
        <v>43669</v>
      </c>
    </row>
    <row r="678" spans="1:3" x14ac:dyDescent="0.25">
      <c r="A678" t="s">
        <v>420</v>
      </c>
      <c r="B678">
        <v>108.53499999999998</v>
      </c>
      <c r="C678" s="1">
        <v>43669</v>
      </c>
    </row>
    <row r="679" spans="1:3" x14ac:dyDescent="0.25">
      <c r="A679" t="s">
        <v>421</v>
      </c>
      <c r="B679">
        <v>15.194900000000015</v>
      </c>
      <c r="C679" s="1">
        <v>43669</v>
      </c>
    </row>
    <row r="680" spans="1:3" x14ac:dyDescent="0.25">
      <c r="A680" t="s">
        <v>431</v>
      </c>
      <c r="B680">
        <v>338.62920000000008</v>
      </c>
      <c r="C680" s="1">
        <v>43670</v>
      </c>
    </row>
    <row r="681" spans="1:3" x14ac:dyDescent="0.25">
      <c r="A681" t="s">
        <v>432</v>
      </c>
      <c r="B681">
        <v>193.19229999999993</v>
      </c>
      <c r="C681" s="1">
        <v>43670</v>
      </c>
    </row>
    <row r="682" spans="1:3" x14ac:dyDescent="0.25">
      <c r="A682" t="s">
        <v>433</v>
      </c>
      <c r="B682">
        <v>204.04579999999982</v>
      </c>
      <c r="C682" s="1">
        <v>43670</v>
      </c>
    </row>
    <row r="683" spans="1:3" x14ac:dyDescent="0.25">
      <c r="A683" t="s">
        <v>434</v>
      </c>
      <c r="B683">
        <v>28.219099999999781</v>
      </c>
      <c r="C683" s="1">
        <v>43670</v>
      </c>
    </row>
    <row r="684" spans="1:3" x14ac:dyDescent="0.25">
      <c r="A684" t="s">
        <v>435</v>
      </c>
      <c r="B684">
        <v>620.82019999999989</v>
      </c>
      <c r="C684" s="1">
        <v>43670</v>
      </c>
    </row>
    <row r="685" spans="1:3" x14ac:dyDescent="0.25">
      <c r="A685" t="s">
        <v>436</v>
      </c>
      <c r="B685">
        <v>375.53109999999981</v>
      </c>
      <c r="C685" s="1">
        <v>43670</v>
      </c>
    </row>
    <row r="686" spans="1:3" x14ac:dyDescent="0.25">
      <c r="A686" t="s">
        <v>437</v>
      </c>
      <c r="B686">
        <v>662.06349999999986</v>
      </c>
      <c r="C686" s="1">
        <v>43670</v>
      </c>
    </row>
    <row r="687" spans="1:3" x14ac:dyDescent="0.25">
      <c r="A687" t="s">
        <v>438</v>
      </c>
      <c r="B687">
        <v>616.47880000000055</v>
      </c>
      <c r="C687" s="1">
        <v>43670</v>
      </c>
    </row>
    <row r="688" spans="1:3" x14ac:dyDescent="0.25">
      <c r="A688" t="s">
        <v>439</v>
      </c>
      <c r="B688">
        <v>334.28780000000029</v>
      </c>
      <c r="C688" s="1">
        <v>43670</v>
      </c>
    </row>
    <row r="689" spans="1:3" x14ac:dyDescent="0.25">
      <c r="A689" t="s">
        <v>218</v>
      </c>
      <c r="B689">
        <v>93.340100000000078</v>
      </c>
      <c r="C689" s="1">
        <v>43672</v>
      </c>
    </row>
    <row r="690" spans="1:3" x14ac:dyDescent="0.25">
      <c r="A690" t="s">
        <v>219</v>
      </c>
      <c r="B690">
        <v>154.11969999999991</v>
      </c>
      <c r="C690" s="1">
        <v>43672</v>
      </c>
    </row>
    <row r="691" spans="1:3" x14ac:dyDescent="0.25">
      <c r="A691" t="s">
        <v>220</v>
      </c>
      <c r="B691">
        <v>290.87380000000002</v>
      </c>
      <c r="C691" s="1">
        <v>43672</v>
      </c>
    </row>
    <row r="692" spans="1:3" x14ac:dyDescent="0.25">
      <c r="A692" t="s">
        <v>226</v>
      </c>
      <c r="B692">
        <v>173.65599999999992</v>
      </c>
      <c r="C692" s="1">
        <v>43672</v>
      </c>
    </row>
    <row r="693" spans="1:3" x14ac:dyDescent="0.25">
      <c r="A693" t="s">
        <v>227</v>
      </c>
      <c r="B693">
        <v>21.707000000000019</v>
      </c>
      <c r="C693" s="1">
        <v>43672</v>
      </c>
    </row>
    <row r="694" spans="1:3" x14ac:dyDescent="0.25">
      <c r="A694" t="s">
        <v>228</v>
      </c>
      <c r="B694">
        <v>136.75409999999999</v>
      </c>
      <c r="C694" s="1">
        <v>43672</v>
      </c>
    </row>
    <row r="695" spans="1:3" x14ac:dyDescent="0.25">
      <c r="A695" t="s">
        <v>370</v>
      </c>
      <c r="B695">
        <v>10.853500000000009</v>
      </c>
      <c r="C695" s="1">
        <v>43672</v>
      </c>
    </row>
    <row r="696" spans="1:3" x14ac:dyDescent="0.25">
      <c r="A696" t="s">
        <v>371</v>
      </c>
      <c r="B696">
        <v>175.82670000000002</v>
      </c>
      <c r="C696" s="1">
        <v>43672</v>
      </c>
    </row>
    <row r="697" spans="1:3" x14ac:dyDescent="0.25">
      <c r="A697" t="s">
        <v>372</v>
      </c>
      <c r="B697">
        <v>45.584699999999977</v>
      </c>
      <c r="C697" s="1">
        <v>43672</v>
      </c>
    </row>
    <row r="698" spans="1:3" x14ac:dyDescent="0.25">
      <c r="A698" t="s">
        <v>373</v>
      </c>
      <c r="B698">
        <v>444.99349999999993</v>
      </c>
      <c r="C698" s="1">
        <v>43675</v>
      </c>
    </row>
    <row r="699" spans="1:3" x14ac:dyDescent="0.25">
      <c r="A699" t="s">
        <v>374</v>
      </c>
      <c r="B699">
        <v>130.2420000000001</v>
      </c>
      <c r="C699" s="1">
        <v>43675</v>
      </c>
    </row>
    <row r="700" spans="1:3" x14ac:dyDescent="0.25">
      <c r="A700" t="s">
        <v>375</v>
      </c>
      <c r="B700">
        <v>282.19100000000026</v>
      </c>
      <c r="C700" s="1">
        <v>43675</v>
      </c>
    </row>
    <row r="701" spans="1:3" x14ac:dyDescent="0.25">
      <c r="A701" t="s">
        <v>376</v>
      </c>
      <c r="B701">
        <v>195.36299999999994</v>
      </c>
      <c r="C701" s="1">
        <v>43675</v>
      </c>
    </row>
    <row r="702" spans="1:3" x14ac:dyDescent="0.25">
      <c r="A702" t="s">
        <v>377</v>
      </c>
      <c r="B702">
        <v>217.07000000000008</v>
      </c>
      <c r="C702" s="1">
        <v>43675</v>
      </c>
    </row>
    <row r="703" spans="1:3" x14ac:dyDescent="0.25">
      <c r="A703" t="s">
        <v>378</v>
      </c>
      <c r="B703">
        <v>208.38720000000006</v>
      </c>
      <c r="C703" s="1">
        <v>43675</v>
      </c>
    </row>
    <row r="704" spans="1:3" x14ac:dyDescent="0.25">
      <c r="A704" t="s">
        <v>379</v>
      </c>
      <c r="B704">
        <v>345.14129999999977</v>
      </c>
      <c r="C704" s="1">
        <v>43675</v>
      </c>
    </row>
    <row r="705" spans="1:3" x14ac:dyDescent="0.25">
      <c r="A705" t="s">
        <v>380</v>
      </c>
      <c r="B705">
        <v>58.608900000000297</v>
      </c>
      <c r="C705" s="1">
        <v>43675</v>
      </c>
    </row>
    <row r="706" spans="1:3" x14ac:dyDescent="0.25">
      <c r="A706" t="s">
        <v>381</v>
      </c>
      <c r="B706">
        <v>269.16680000000025</v>
      </c>
      <c r="C706" s="1">
        <v>43675</v>
      </c>
    </row>
    <row r="707" spans="1:3" x14ac:dyDescent="0.25">
      <c r="A707" t="s">
        <v>382</v>
      </c>
      <c r="B707">
        <v>217.06999999999996</v>
      </c>
      <c r="C707" s="1">
        <v>43675</v>
      </c>
    </row>
    <row r="708" spans="1:3" x14ac:dyDescent="0.25">
      <c r="A708" t="s">
        <v>383</v>
      </c>
      <c r="B708">
        <v>13.024200000000134</v>
      </c>
      <c r="C708" s="1">
        <v>43675</v>
      </c>
    </row>
    <row r="709" spans="1:3" x14ac:dyDescent="0.25">
      <c r="A709" t="s">
        <v>384</v>
      </c>
      <c r="B709">
        <v>23.877700000000019</v>
      </c>
      <c r="C709" s="1">
        <v>43675</v>
      </c>
    </row>
    <row r="710" spans="1:3" x14ac:dyDescent="0.25">
      <c r="A710" t="s">
        <v>385</v>
      </c>
      <c r="B710">
        <v>225.75280000000021</v>
      </c>
      <c r="C710" s="1">
        <v>43675</v>
      </c>
    </row>
    <row r="711" spans="1:3" x14ac:dyDescent="0.25">
      <c r="A711" t="s">
        <v>386</v>
      </c>
      <c r="B711">
        <v>599.11319999999989</v>
      </c>
      <c r="C711" s="1">
        <v>43675</v>
      </c>
    </row>
    <row r="712" spans="1:3" x14ac:dyDescent="0.25">
      <c r="A712" t="s">
        <v>387</v>
      </c>
      <c r="B712">
        <v>481.89539999999977</v>
      </c>
      <c r="C712" s="1">
        <v>43675</v>
      </c>
    </row>
    <row r="713" spans="1:3" x14ac:dyDescent="0.25">
      <c r="A713" t="s">
        <v>388</v>
      </c>
      <c r="B713">
        <v>243.11839999999995</v>
      </c>
      <c r="C713" s="1">
        <v>43675</v>
      </c>
    </row>
    <row r="714" spans="1:3" x14ac:dyDescent="0.25">
      <c r="A714" t="s">
        <v>389</v>
      </c>
      <c r="B714">
        <v>212.72859999999994</v>
      </c>
      <c r="C714" s="1">
        <v>43675</v>
      </c>
    </row>
    <row r="715" spans="1:3" x14ac:dyDescent="0.25">
      <c r="A715" t="s">
        <v>390</v>
      </c>
      <c r="B715">
        <v>866.10930000000008</v>
      </c>
      <c r="C715" s="1">
        <v>43675</v>
      </c>
    </row>
    <row r="716" spans="1:3" x14ac:dyDescent="0.25">
      <c r="A716" t="s">
        <v>151</v>
      </c>
      <c r="B716">
        <v>225.75279999999995</v>
      </c>
      <c r="C716" s="1">
        <v>43675</v>
      </c>
    </row>
    <row r="717" spans="1:3" x14ac:dyDescent="0.25">
      <c r="A717" t="s">
        <v>152</v>
      </c>
      <c r="B717">
        <v>93.340099999999964</v>
      </c>
      <c r="C717" s="1">
        <v>43675</v>
      </c>
    </row>
    <row r="718" spans="1:3" x14ac:dyDescent="0.25">
      <c r="A718" t="s">
        <v>153</v>
      </c>
      <c r="B718">
        <v>88.998700000000028</v>
      </c>
      <c r="C718" s="1">
        <v>43675</v>
      </c>
    </row>
    <row r="719" spans="1:3" x14ac:dyDescent="0.25">
      <c r="A719" t="s">
        <v>250</v>
      </c>
      <c r="B719">
        <v>93.340100000000319</v>
      </c>
      <c r="C719" s="1">
        <v>43665</v>
      </c>
    </row>
    <row r="720" spans="1:3" x14ac:dyDescent="0.25">
      <c r="A720" t="s">
        <v>251</v>
      </c>
      <c r="B720">
        <v>236.60629999999995</v>
      </c>
      <c r="C720" s="1">
        <v>43665</v>
      </c>
    </row>
    <row r="721" spans="1:3" x14ac:dyDescent="0.25">
      <c r="A721" t="s">
        <v>252</v>
      </c>
      <c r="B721">
        <v>108.53499999999985</v>
      </c>
      <c r="C721" s="1">
        <v>43665</v>
      </c>
    </row>
    <row r="722" spans="1:3" x14ac:dyDescent="0.25">
      <c r="A722" t="s">
        <v>254</v>
      </c>
      <c r="B722">
        <v>82.486599999999598</v>
      </c>
      <c r="C722" s="1">
        <v>43665</v>
      </c>
    </row>
    <row r="723" spans="1:3" x14ac:dyDescent="0.25">
      <c r="A723" t="s">
        <v>255</v>
      </c>
      <c r="B723">
        <v>245.28910000000047</v>
      </c>
      <c r="C723" s="1">
        <v>43665</v>
      </c>
    </row>
    <row r="724" spans="1:3" x14ac:dyDescent="0.25">
      <c r="A724" t="s">
        <v>256</v>
      </c>
      <c r="B724">
        <v>410.26230000000015</v>
      </c>
      <c r="C724" s="1">
        <v>43665</v>
      </c>
    </row>
    <row r="725" spans="1:3" x14ac:dyDescent="0.25">
      <c r="A725" t="s">
        <v>258</v>
      </c>
      <c r="B725">
        <v>253.97189999999998</v>
      </c>
      <c r="C725" s="1">
        <v>43665</v>
      </c>
    </row>
    <row r="726" spans="1:3" x14ac:dyDescent="0.25">
      <c r="A726" t="s">
        <v>259</v>
      </c>
      <c r="B726">
        <v>21.707000000000019</v>
      </c>
      <c r="C726" s="1">
        <v>43665</v>
      </c>
    </row>
    <row r="727" spans="1:3" x14ac:dyDescent="0.25">
      <c r="A727" t="s">
        <v>260</v>
      </c>
      <c r="B727">
        <v>119.38849999999987</v>
      </c>
      <c r="C727" s="1">
        <v>43665</v>
      </c>
    </row>
    <row r="728" spans="1:3" x14ac:dyDescent="0.25">
      <c r="A728" t="s">
        <v>358</v>
      </c>
      <c r="B728">
        <v>91.169400000000095</v>
      </c>
      <c r="C728" s="1">
        <v>43665</v>
      </c>
    </row>
    <row r="729" spans="1:3" x14ac:dyDescent="0.25">
      <c r="A729" t="s">
        <v>359</v>
      </c>
      <c r="B729">
        <v>34.73120000000003</v>
      </c>
      <c r="C729" s="1">
        <v>43665</v>
      </c>
    </row>
    <row r="730" spans="1:3" x14ac:dyDescent="0.25">
      <c r="A730" t="s">
        <v>360</v>
      </c>
      <c r="B730">
        <v>119.38850000000035</v>
      </c>
      <c r="C730" s="1">
        <v>43665</v>
      </c>
    </row>
    <row r="731" spans="1:3" s="16" customFormat="1" x14ac:dyDescent="0.25">
      <c r="A731" s="16" t="s">
        <v>250</v>
      </c>
      <c r="B731" s="16">
        <v>410.26229999999964</v>
      </c>
      <c r="C731" s="17">
        <v>43706</v>
      </c>
    </row>
    <row r="732" spans="1:3" s="16" customFormat="1" x14ac:dyDescent="0.25">
      <c r="A732" s="16" t="s">
        <v>251</v>
      </c>
      <c r="B732" s="16">
        <v>314.75150000000008</v>
      </c>
      <c r="C732" s="17">
        <v>43706</v>
      </c>
    </row>
    <row r="733" spans="1:3" s="16" customFormat="1" x14ac:dyDescent="0.25">
      <c r="A733" s="16" t="s">
        <v>252</v>
      </c>
      <c r="B733" s="16">
        <v>271.33750000000003</v>
      </c>
      <c r="C733" s="17">
        <v>43706</v>
      </c>
    </row>
    <row r="734" spans="1:3" s="16" customFormat="1" x14ac:dyDescent="0.25">
      <c r="A734" s="16" t="s">
        <v>254</v>
      </c>
      <c r="B734" s="16">
        <v>177.99740000000017</v>
      </c>
      <c r="C734" s="17">
        <v>43706</v>
      </c>
    </row>
    <row r="735" spans="1:3" s="16" customFormat="1" x14ac:dyDescent="0.25">
      <c r="A735" s="16" t="s">
        <v>255</v>
      </c>
      <c r="B735" s="16">
        <v>297.38589999999999</v>
      </c>
      <c r="C735" s="17">
        <v>43706</v>
      </c>
    </row>
    <row r="736" spans="1:3" s="16" customFormat="1" x14ac:dyDescent="0.25">
      <c r="A736" s="16" t="s">
        <v>256</v>
      </c>
      <c r="B736" s="16">
        <v>52.096800000000044</v>
      </c>
      <c r="C736" s="17">
        <v>43706</v>
      </c>
    </row>
    <row r="737" spans="1:3" s="16" customFormat="1" x14ac:dyDescent="0.25">
      <c r="A737" s="16" t="s">
        <v>258</v>
      </c>
      <c r="B737" s="16">
        <v>336.45850000000007</v>
      </c>
      <c r="C737" s="17">
        <v>43706</v>
      </c>
    </row>
    <row r="738" spans="1:3" s="16" customFormat="1" x14ac:dyDescent="0.25">
      <c r="A738" s="16" t="s">
        <v>259</v>
      </c>
      <c r="B738" s="16">
        <v>638.18580000000009</v>
      </c>
      <c r="C738" s="17">
        <v>43706</v>
      </c>
    </row>
    <row r="739" spans="1:3" s="16" customFormat="1" x14ac:dyDescent="0.25">
      <c r="A739" s="16" t="s">
        <v>260</v>
      </c>
      <c r="B739" s="16">
        <v>128.07130000000012</v>
      </c>
      <c r="C739" s="17">
        <v>43706</v>
      </c>
    </row>
    <row r="740" spans="1:3" s="16" customFormat="1" x14ac:dyDescent="0.25">
      <c r="A740" s="16" t="s">
        <v>358</v>
      </c>
      <c r="B740" s="16">
        <v>481.89539999999994</v>
      </c>
      <c r="C740" s="17">
        <v>43706</v>
      </c>
    </row>
    <row r="741" spans="1:3" s="16" customFormat="1" x14ac:dyDescent="0.25">
      <c r="A741" s="16" t="s">
        <v>359</v>
      </c>
      <c r="B741" s="16">
        <v>258.31329999999997</v>
      </c>
      <c r="C741" s="17">
        <v>43706</v>
      </c>
    </row>
    <row r="742" spans="1:3" s="16" customFormat="1" x14ac:dyDescent="0.25">
      <c r="A742" s="16" t="s">
        <v>360</v>
      </c>
      <c r="B742" s="16">
        <v>121.55919999999962</v>
      </c>
      <c r="C742" s="17">
        <v>43706</v>
      </c>
    </row>
    <row r="743" spans="1:3" s="16" customFormat="1" x14ac:dyDescent="0.25">
      <c r="A743" s="16" t="s">
        <v>208</v>
      </c>
      <c r="B743" s="16">
        <v>156.29040000000001</v>
      </c>
      <c r="C743" s="17">
        <v>43712</v>
      </c>
    </row>
    <row r="744" spans="1:3" s="16" customFormat="1" x14ac:dyDescent="0.25">
      <c r="A744" s="16" t="s">
        <v>209</v>
      </c>
      <c r="B744" s="16">
        <v>162.8024999999999</v>
      </c>
      <c r="C744" s="17">
        <v>43712</v>
      </c>
    </row>
    <row r="745" spans="1:3" s="16" customFormat="1" x14ac:dyDescent="0.25">
      <c r="A745" s="16" t="s">
        <v>210</v>
      </c>
      <c r="B745" s="16">
        <v>52.096799999999931</v>
      </c>
      <c r="C745" s="17">
        <v>43712</v>
      </c>
    </row>
    <row r="746" spans="1:3" s="16" customFormat="1" x14ac:dyDescent="0.25">
      <c r="A746" s="16" t="s">
        <v>212</v>
      </c>
      <c r="B746" s="16">
        <v>78.145199999999946</v>
      </c>
      <c r="C746" s="17">
        <v>43712</v>
      </c>
    </row>
    <row r="747" spans="1:3" s="16" customFormat="1" x14ac:dyDescent="0.25">
      <c r="A747" s="16" t="s">
        <v>262</v>
      </c>
      <c r="B747" s="16">
        <v>169.31460000000004</v>
      </c>
      <c r="C747" s="17">
        <v>43712</v>
      </c>
    </row>
    <row r="748" spans="1:3" s="16" customFormat="1" x14ac:dyDescent="0.25">
      <c r="A748" s="16" t="s">
        <v>213</v>
      </c>
      <c r="B748" s="16">
        <v>58.608899999999927</v>
      </c>
      <c r="C748" s="17">
        <v>43712</v>
      </c>
    </row>
    <row r="749" spans="1:3" s="16" customFormat="1" x14ac:dyDescent="0.25">
      <c r="A749" s="16" t="s">
        <v>215</v>
      </c>
      <c r="B749" s="16">
        <v>73.803800000000066</v>
      </c>
      <c r="C749" s="17">
        <v>43712</v>
      </c>
    </row>
    <row r="750" spans="1:3" s="16" customFormat="1" x14ac:dyDescent="0.25">
      <c r="A750" s="16" t="s">
        <v>216</v>
      </c>
      <c r="B750" s="16">
        <v>23.877699999999958</v>
      </c>
      <c r="C750" s="17">
        <v>43712</v>
      </c>
    </row>
    <row r="751" spans="1:3" s="16" customFormat="1" x14ac:dyDescent="0.25">
      <c r="A751" s="16" t="s">
        <v>217</v>
      </c>
      <c r="B751" s="16">
        <v>10.853500000000009</v>
      </c>
      <c r="C751" s="17">
        <v>43712</v>
      </c>
    </row>
    <row r="752" spans="1:3" s="16" customFormat="1" x14ac:dyDescent="0.25">
      <c r="A752" s="16" t="s">
        <v>422</v>
      </c>
      <c r="B752" s="16">
        <v>69.462399999999931</v>
      </c>
      <c r="C752" s="17">
        <v>43711</v>
      </c>
    </row>
    <row r="753" spans="1:3" s="16" customFormat="1" x14ac:dyDescent="0.25">
      <c r="A753" s="16" t="s">
        <v>423</v>
      </c>
      <c r="B753" s="16">
        <v>193.19229999999993</v>
      </c>
      <c r="C753" s="17">
        <v>43711</v>
      </c>
    </row>
    <row r="754" spans="1:3" s="16" customFormat="1" x14ac:dyDescent="0.25">
      <c r="A754" s="16" t="s">
        <v>424</v>
      </c>
      <c r="B754" s="16">
        <v>13.024200000000011</v>
      </c>
      <c r="C754" s="17">
        <v>43711</v>
      </c>
    </row>
    <row r="755" spans="1:3" s="16" customFormat="1" x14ac:dyDescent="0.25">
      <c r="A755" s="16" t="s">
        <v>425</v>
      </c>
      <c r="B755" s="16">
        <v>19.536300000000018</v>
      </c>
      <c r="C755" s="17">
        <v>43711</v>
      </c>
    </row>
    <row r="756" spans="1:3" s="18" customFormat="1" x14ac:dyDescent="0.25">
      <c r="A756" s="18" t="s">
        <v>426</v>
      </c>
      <c r="B756" s="19">
        <v>0</v>
      </c>
      <c r="C756" s="20">
        <v>43711</v>
      </c>
    </row>
    <row r="757" spans="1:3" s="16" customFormat="1" x14ac:dyDescent="0.25">
      <c r="A757" s="16" t="s">
        <v>427</v>
      </c>
      <c r="B757" s="16">
        <v>108.53500000000004</v>
      </c>
      <c r="C757" s="17">
        <v>43711</v>
      </c>
    </row>
    <row r="758" spans="1:3" s="16" customFormat="1" x14ac:dyDescent="0.25">
      <c r="A758" s="16" t="s">
        <v>428</v>
      </c>
      <c r="B758" s="16">
        <v>60.779599999999931</v>
      </c>
      <c r="C758" s="17">
        <v>43711</v>
      </c>
    </row>
    <row r="759" spans="1:3" s="16" customFormat="1" x14ac:dyDescent="0.25">
      <c r="A759" s="16" t="s">
        <v>429</v>
      </c>
      <c r="B759" s="16">
        <v>32.560500000000026</v>
      </c>
      <c r="C759" s="17">
        <v>43711</v>
      </c>
    </row>
    <row r="760" spans="1:3" s="16" customFormat="1" x14ac:dyDescent="0.25">
      <c r="A760" s="16" t="s">
        <v>430</v>
      </c>
      <c r="B760" s="16">
        <v>10.853500000000009</v>
      </c>
      <c r="C760" s="17">
        <v>43711</v>
      </c>
    </row>
    <row r="761" spans="1:3" s="16" customFormat="1" x14ac:dyDescent="0.25">
      <c r="A761" s="16" t="s">
        <v>373</v>
      </c>
      <c r="B761" s="16">
        <v>256.14260000000002</v>
      </c>
      <c r="C761" s="17">
        <v>43717</v>
      </c>
    </row>
    <row r="762" spans="1:3" s="16" customFormat="1" x14ac:dyDescent="0.25">
      <c r="A762" s="16" t="s">
        <v>374</v>
      </c>
      <c r="B762" s="16">
        <v>269.16679999999997</v>
      </c>
      <c r="C762" s="17">
        <v>43717</v>
      </c>
    </row>
    <row r="763" spans="1:3" s="16" customFormat="1" x14ac:dyDescent="0.25">
      <c r="A763" s="16" t="s">
        <v>375</v>
      </c>
      <c r="B763" s="16">
        <v>195.36299999999994</v>
      </c>
      <c r="C763" s="17">
        <v>43717</v>
      </c>
    </row>
    <row r="764" spans="1:3" s="16" customFormat="1" x14ac:dyDescent="0.25">
      <c r="A764" s="16" t="s">
        <v>376</v>
      </c>
      <c r="B764" s="16">
        <v>145.43690000000001</v>
      </c>
      <c r="C764" s="17">
        <v>43717</v>
      </c>
    </row>
    <row r="765" spans="1:3" s="16" customFormat="1" x14ac:dyDescent="0.25">
      <c r="A765" s="16" t="s">
        <v>377</v>
      </c>
      <c r="B765" s="16">
        <v>184.50949999999995</v>
      </c>
      <c r="C765" s="17">
        <v>43717</v>
      </c>
    </row>
    <row r="766" spans="1:3" s="16" customFormat="1" x14ac:dyDescent="0.25">
      <c r="A766" s="16" t="s">
        <v>378</v>
      </c>
      <c r="B766" s="16">
        <v>156.29040000000001</v>
      </c>
      <c r="C766" s="17">
        <v>43717</v>
      </c>
    </row>
    <row r="767" spans="1:3" s="16" customFormat="1" x14ac:dyDescent="0.25">
      <c r="A767" s="16" t="s">
        <v>379</v>
      </c>
      <c r="B767" s="16">
        <v>373.36040000000008</v>
      </c>
      <c r="C767" s="17">
        <v>43717</v>
      </c>
    </row>
    <row r="768" spans="1:3" s="16" customFormat="1" x14ac:dyDescent="0.25">
      <c r="A768" s="16" t="s">
        <v>380</v>
      </c>
      <c r="B768" s="16">
        <v>384.21390000000008</v>
      </c>
      <c r="C768" s="17">
        <v>43717</v>
      </c>
    </row>
    <row r="769" spans="1:3" s="16" customFormat="1" x14ac:dyDescent="0.25">
      <c r="A769" s="16" t="s">
        <v>381</v>
      </c>
      <c r="B769" s="16">
        <v>134.58340000000013</v>
      </c>
      <c r="C769" s="17">
        <v>43717</v>
      </c>
    </row>
    <row r="770" spans="1:3" s="16" customFormat="1" x14ac:dyDescent="0.25">
      <c r="A770" s="16" t="s">
        <v>382</v>
      </c>
      <c r="B770" s="16">
        <v>13.024200000000011</v>
      </c>
      <c r="C770" s="17">
        <v>43717</v>
      </c>
    </row>
    <row r="771" spans="1:3" s="16" customFormat="1" x14ac:dyDescent="0.25">
      <c r="A771" s="16" t="s">
        <v>383</v>
      </c>
      <c r="B771" s="16">
        <v>134.58339999999998</v>
      </c>
      <c r="C771" s="17">
        <v>43717</v>
      </c>
    </row>
    <row r="772" spans="1:3" s="16" customFormat="1" x14ac:dyDescent="0.25">
      <c r="A772" s="16" t="s">
        <v>384</v>
      </c>
      <c r="B772" s="16">
        <v>58.608900000000048</v>
      </c>
      <c r="C772" s="17">
        <v>43717</v>
      </c>
    </row>
    <row r="773" spans="1:3" s="16" customFormat="1" x14ac:dyDescent="0.25">
      <c r="A773" s="16" t="s">
        <v>385</v>
      </c>
      <c r="B773" s="16">
        <v>553.52849999999978</v>
      </c>
      <c r="C773" s="17">
        <v>43717</v>
      </c>
    </row>
    <row r="774" spans="1:3" s="16" customFormat="1" x14ac:dyDescent="0.25">
      <c r="A774" s="16" t="s">
        <v>386</v>
      </c>
      <c r="B774" s="16">
        <v>384.21390000000008</v>
      </c>
      <c r="C774" s="17">
        <v>43717</v>
      </c>
    </row>
    <row r="775" spans="1:3" s="16" customFormat="1" x14ac:dyDescent="0.25">
      <c r="A775" s="16" t="s">
        <v>387</v>
      </c>
      <c r="B775" s="16">
        <v>484.06609999999995</v>
      </c>
      <c r="C775" s="17">
        <v>43717</v>
      </c>
    </row>
    <row r="776" spans="1:3" s="16" customFormat="1" x14ac:dyDescent="0.25">
      <c r="A776" s="16" t="s">
        <v>388</v>
      </c>
      <c r="B776" s="16">
        <v>177.99739999999991</v>
      </c>
      <c r="C776" s="17">
        <v>43717</v>
      </c>
    </row>
    <row r="777" spans="1:3" s="16" customFormat="1" x14ac:dyDescent="0.25">
      <c r="A777" s="16" t="s">
        <v>389</v>
      </c>
      <c r="B777" s="16">
        <v>212.72860000000006</v>
      </c>
      <c r="C777" s="17">
        <v>43717</v>
      </c>
    </row>
    <row r="778" spans="1:3" s="16" customFormat="1" x14ac:dyDescent="0.25">
      <c r="A778" s="16" t="s">
        <v>390</v>
      </c>
      <c r="B778" s="16">
        <v>345.14130000000011</v>
      </c>
      <c r="C778" s="17">
        <v>43717</v>
      </c>
    </row>
    <row r="779" spans="1:3" s="16" customFormat="1" x14ac:dyDescent="0.25">
      <c r="A779" s="16" t="s">
        <v>151</v>
      </c>
      <c r="B779" s="16">
        <v>314.75150000000008</v>
      </c>
      <c r="C779" s="17">
        <v>43717</v>
      </c>
    </row>
    <row r="780" spans="1:3" s="16" customFormat="1" x14ac:dyDescent="0.25">
      <c r="A780" s="16" t="s">
        <v>152</v>
      </c>
      <c r="B780" s="16">
        <v>180.16809999999992</v>
      </c>
      <c r="C780" s="17">
        <v>43717</v>
      </c>
    </row>
    <row r="781" spans="1:3" s="16" customFormat="1" x14ac:dyDescent="0.25">
      <c r="A781" s="16" t="s">
        <v>153</v>
      </c>
      <c r="B781" s="16">
        <v>47.755399999999916</v>
      </c>
      <c r="C781" s="17">
        <v>43717</v>
      </c>
    </row>
    <row r="782" spans="1:3" s="16" customFormat="1" x14ac:dyDescent="0.25">
      <c r="A782" s="16" t="s">
        <v>431</v>
      </c>
      <c r="B782" s="16">
        <v>125.90059999999988</v>
      </c>
      <c r="C782" s="17">
        <v>43713</v>
      </c>
    </row>
    <row r="783" spans="1:3" s="16" customFormat="1" x14ac:dyDescent="0.25">
      <c r="A783" s="16" t="s">
        <v>432</v>
      </c>
      <c r="B783" s="16">
        <v>347.31200000000007</v>
      </c>
      <c r="C783" s="17">
        <v>43713</v>
      </c>
    </row>
    <row r="784" spans="1:3" s="16" customFormat="1" x14ac:dyDescent="0.25">
      <c r="A784" s="16" t="s">
        <v>433</v>
      </c>
      <c r="B784" s="16">
        <v>49.926100000000048</v>
      </c>
      <c r="C784" s="17">
        <v>43713</v>
      </c>
    </row>
    <row r="785" spans="1:3" s="16" customFormat="1" x14ac:dyDescent="0.25">
      <c r="A785" s="16" t="s">
        <v>434</v>
      </c>
      <c r="B785" s="16">
        <v>538.33359999999993</v>
      </c>
      <c r="C785" s="17">
        <v>43713</v>
      </c>
    </row>
    <row r="786" spans="1:3" s="16" customFormat="1" x14ac:dyDescent="0.25">
      <c r="A786" s="16" t="s">
        <v>435</v>
      </c>
      <c r="B786" s="16">
        <v>297.38589999999999</v>
      </c>
      <c r="C786" s="17">
        <v>43713</v>
      </c>
    </row>
    <row r="787" spans="1:3" s="16" customFormat="1" x14ac:dyDescent="0.25">
      <c r="A787" s="16" t="s">
        <v>436</v>
      </c>
      <c r="B787" s="16">
        <v>321.26360000000028</v>
      </c>
      <c r="C787" s="17">
        <v>43713</v>
      </c>
    </row>
    <row r="788" spans="1:3" s="16" customFormat="1" x14ac:dyDescent="0.25">
      <c r="A788" s="16" t="s">
        <v>437</v>
      </c>
      <c r="B788" s="16">
        <v>282.19099999999975</v>
      </c>
      <c r="C788" s="17">
        <v>43713</v>
      </c>
    </row>
    <row r="789" spans="1:3" s="16" customFormat="1" x14ac:dyDescent="0.25">
      <c r="A789" s="16" t="s">
        <v>438</v>
      </c>
      <c r="B789" s="16">
        <v>353.82409999999959</v>
      </c>
      <c r="C789" s="17">
        <v>43713</v>
      </c>
    </row>
    <row r="790" spans="1:3" s="16" customFormat="1" x14ac:dyDescent="0.25">
      <c r="A790" s="16" t="s">
        <v>439</v>
      </c>
      <c r="B790" s="16">
        <v>251.80120000000022</v>
      </c>
      <c r="C790" s="17">
        <v>43713</v>
      </c>
    </row>
    <row r="791" spans="1:3" s="16" customFormat="1" x14ac:dyDescent="0.25">
      <c r="A791" s="16" t="s">
        <v>218</v>
      </c>
      <c r="B791" s="16">
        <v>0</v>
      </c>
      <c r="C791" s="17">
        <v>43714</v>
      </c>
    </row>
    <row r="792" spans="1:3" s="16" customFormat="1" x14ac:dyDescent="0.25">
      <c r="A792" s="16" t="s">
        <v>219</v>
      </c>
      <c r="B792" s="16">
        <v>-17.365600000000015</v>
      </c>
      <c r="C792" s="17">
        <v>43714</v>
      </c>
    </row>
    <row r="793" spans="1:3" s="16" customFormat="1" x14ac:dyDescent="0.25">
      <c r="A793" s="16" t="s">
        <v>220</v>
      </c>
      <c r="B793" s="16">
        <v>88.998700000000085</v>
      </c>
      <c r="C793" s="17">
        <v>43714</v>
      </c>
    </row>
    <row r="794" spans="1:3" s="16" customFormat="1" x14ac:dyDescent="0.25">
      <c r="A794" s="16" t="s">
        <v>226</v>
      </c>
      <c r="B794" s="16">
        <v>136.75409999999999</v>
      </c>
      <c r="C794" s="17">
        <v>43714</v>
      </c>
    </row>
    <row r="795" spans="1:3" s="16" customFormat="1" x14ac:dyDescent="0.25">
      <c r="A795" s="16" t="s">
        <v>227</v>
      </c>
      <c r="B795" s="16">
        <v>-6.5121000000000056</v>
      </c>
      <c r="C795" s="17">
        <v>43714</v>
      </c>
    </row>
    <row r="796" spans="1:3" s="16" customFormat="1" x14ac:dyDescent="0.25">
      <c r="A796" s="16" t="s">
        <v>228</v>
      </c>
      <c r="B796" s="16">
        <v>54.267499999999991</v>
      </c>
      <c r="C796" s="17">
        <v>43714</v>
      </c>
    </row>
    <row r="797" spans="1:3" s="16" customFormat="1" x14ac:dyDescent="0.25">
      <c r="A797" s="16" t="s">
        <v>370</v>
      </c>
      <c r="B797" s="16">
        <v>164.97320000000002</v>
      </c>
      <c r="C797" s="17">
        <v>43714</v>
      </c>
    </row>
    <row r="798" spans="1:3" s="16" customFormat="1" x14ac:dyDescent="0.25">
      <c r="A798" s="16" t="s">
        <v>371</v>
      </c>
      <c r="B798" s="16">
        <v>134.58339999999998</v>
      </c>
      <c r="C798" s="17">
        <v>43714</v>
      </c>
    </row>
    <row r="799" spans="1:3" s="16" customFormat="1" x14ac:dyDescent="0.25">
      <c r="A799" s="16" t="s">
        <v>372</v>
      </c>
      <c r="B799" s="16">
        <v>271.33750000000015</v>
      </c>
      <c r="C799" s="17">
        <v>43714</v>
      </c>
    </row>
    <row r="800" spans="1:3" s="16" customFormat="1" x14ac:dyDescent="0.25">
      <c r="A800" s="16" t="s">
        <v>392</v>
      </c>
      <c r="B800" s="16">
        <v>36.901900000000033</v>
      </c>
      <c r="C800" s="17">
        <v>43719</v>
      </c>
    </row>
    <row r="801" spans="1:3" s="16" customFormat="1" x14ac:dyDescent="0.25">
      <c r="A801" s="16" t="s">
        <v>393</v>
      </c>
      <c r="B801" s="16">
        <v>56.438200000000052</v>
      </c>
      <c r="C801" s="17">
        <v>43719</v>
      </c>
    </row>
    <row r="802" spans="1:3" s="16" customFormat="1" x14ac:dyDescent="0.25">
      <c r="A802" s="16" t="s">
        <v>394</v>
      </c>
      <c r="B802" s="16">
        <v>199.70439999999991</v>
      </c>
      <c r="C802" s="17">
        <v>43719</v>
      </c>
    </row>
    <row r="803" spans="1:3" s="16" customFormat="1" x14ac:dyDescent="0.25">
      <c r="A803" s="16" t="s">
        <v>395</v>
      </c>
      <c r="B803" s="16">
        <v>418.94509999999985</v>
      </c>
      <c r="C803" s="17">
        <v>43719</v>
      </c>
    </row>
    <row r="804" spans="1:3" s="16" customFormat="1" x14ac:dyDescent="0.25">
      <c r="A804" s="16" t="s">
        <v>396</v>
      </c>
      <c r="B804" s="16">
        <v>492.74890000000016</v>
      </c>
      <c r="C804" s="17">
        <v>43719</v>
      </c>
    </row>
    <row r="805" spans="1:3" s="16" customFormat="1" x14ac:dyDescent="0.25">
      <c r="A805" s="16" t="s">
        <v>397</v>
      </c>
      <c r="B805" s="16">
        <v>395.06740000000008</v>
      </c>
      <c r="C805" s="17">
        <v>43719</v>
      </c>
    </row>
    <row r="806" spans="1:3" s="16" customFormat="1" x14ac:dyDescent="0.25">
      <c r="A806" s="16" t="s">
        <v>398</v>
      </c>
      <c r="B806" s="16">
        <v>212.72860000000017</v>
      </c>
      <c r="C806" s="17">
        <v>43719</v>
      </c>
    </row>
    <row r="807" spans="1:3" s="16" customFormat="1" x14ac:dyDescent="0.25">
      <c r="A807" s="16" t="s">
        <v>399</v>
      </c>
      <c r="B807" s="16">
        <v>56.43819999999981</v>
      </c>
      <c r="C807" s="17">
        <v>43719</v>
      </c>
    </row>
    <row r="808" spans="1:3" s="16" customFormat="1" x14ac:dyDescent="0.25">
      <c r="A808" s="16" t="s">
        <v>400</v>
      </c>
      <c r="B808" s="16">
        <v>134.58340000000013</v>
      </c>
      <c r="C808" s="17">
        <v>43719</v>
      </c>
    </row>
    <row r="809" spans="1:3" s="16" customFormat="1" x14ac:dyDescent="0.25">
      <c r="A809" s="16" t="s">
        <v>401</v>
      </c>
      <c r="B809" s="16">
        <v>13.024200000000011</v>
      </c>
      <c r="C809" s="17">
        <v>43719</v>
      </c>
    </row>
    <row r="810" spans="1:3" s="16" customFormat="1" x14ac:dyDescent="0.25">
      <c r="A810" s="16" t="s">
        <v>402</v>
      </c>
      <c r="B810" s="16">
        <v>21.707000000000019</v>
      </c>
      <c r="C810" s="17">
        <v>43719</v>
      </c>
    </row>
    <row r="811" spans="1:3" s="16" customFormat="1" x14ac:dyDescent="0.25">
      <c r="A811" s="16" t="s">
        <v>403</v>
      </c>
      <c r="B811" s="16">
        <v>180.16810000000015</v>
      </c>
      <c r="C811" s="17">
        <v>43719</v>
      </c>
    </row>
    <row r="812" spans="1:3" s="16" customFormat="1" x14ac:dyDescent="0.25">
      <c r="A812" s="16" t="s">
        <v>404</v>
      </c>
      <c r="B812" s="16">
        <v>21.707000000000019</v>
      </c>
      <c r="C812" s="17">
        <v>43719</v>
      </c>
    </row>
    <row r="813" spans="1:3" s="16" customFormat="1" x14ac:dyDescent="0.25">
      <c r="A813" s="16" t="s">
        <v>405</v>
      </c>
      <c r="B813" s="16">
        <v>10.853500000000009</v>
      </c>
      <c r="C813" s="17">
        <v>43719</v>
      </c>
    </row>
    <row r="814" spans="1:3" s="16" customFormat="1" x14ac:dyDescent="0.25">
      <c r="A814" s="16" t="s">
        <v>406</v>
      </c>
      <c r="B814" s="16">
        <v>82.486600000000081</v>
      </c>
      <c r="C814" s="17">
        <v>43719</v>
      </c>
    </row>
    <row r="815" spans="1:3" s="16" customFormat="1" x14ac:dyDescent="0.25">
      <c r="A815" s="16" t="s">
        <v>407</v>
      </c>
      <c r="B815" s="16">
        <v>134.58339999999998</v>
      </c>
      <c r="C815" s="17">
        <v>43719</v>
      </c>
    </row>
    <row r="816" spans="1:3" s="16" customFormat="1" x14ac:dyDescent="0.25">
      <c r="A816" s="16" t="s">
        <v>408</v>
      </c>
      <c r="B816" s="16">
        <v>91.169399999999953</v>
      </c>
      <c r="C816" s="17">
        <v>43719</v>
      </c>
    </row>
    <row r="817" spans="1:3" s="16" customFormat="1" x14ac:dyDescent="0.25">
      <c r="A817" s="16" t="s">
        <v>409</v>
      </c>
      <c r="B817" s="16">
        <v>60.779599999999931</v>
      </c>
      <c r="C817" s="17">
        <v>43719</v>
      </c>
    </row>
    <row r="818" spans="1:3" s="16" customFormat="1" x14ac:dyDescent="0.25">
      <c r="A818" s="16" t="s">
        <v>410</v>
      </c>
      <c r="B818" s="16">
        <v>97.681499999999971</v>
      </c>
      <c r="C818" s="17">
        <v>43719</v>
      </c>
    </row>
    <row r="819" spans="1:3" s="16" customFormat="1" x14ac:dyDescent="0.25">
      <c r="A819" s="16" t="s">
        <v>411</v>
      </c>
      <c r="B819" s="16">
        <v>80.31590000000007</v>
      </c>
      <c r="C819" s="17">
        <v>43719</v>
      </c>
    </row>
    <row r="820" spans="1:3" s="16" customFormat="1" x14ac:dyDescent="0.25">
      <c r="A820" s="16" t="s">
        <v>412</v>
      </c>
      <c r="B820" s="16">
        <v>32.560500000000026</v>
      </c>
      <c r="C820" s="17">
        <v>43719</v>
      </c>
    </row>
    <row r="821" spans="1:3" s="16" customFormat="1" x14ac:dyDescent="0.25">
      <c r="A821" s="16" t="s">
        <v>413</v>
      </c>
      <c r="B821" s="16">
        <v>147.60760000000002</v>
      </c>
      <c r="C821" s="17">
        <v>43719</v>
      </c>
    </row>
    <row r="822" spans="1:3" s="16" customFormat="1" x14ac:dyDescent="0.25">
      <c r="A822" s="16" t="s">
        <v>414</v>
      </c>
      <c r="B822" s="16">
        <v>149.77830000000012</v>
      </c>
      <c r="C822" s="17">
        <v>43719</v>
      </c>
    </row>
    <row r="823" spans="1:3" s="16" customFormat="1" x14ac:dyDescent="0.25">
      <c r="A823" s="16" t="s">
        <v>415</v>
      </c>
      <c r="B823" s="16">
        <v>145.43690000000015</v>
      </c>
      <c r="C823" s="17">
        <v>43719</v>
      </c>
    </row>
    <row r="824" spans="1:3" s="16" customFormat="1" x14ac:dyDescent="0.25">
      <c r="A824" s="16" t="s">
        <v>416</v>
      </c>
      <c r="B824" s="16">
        <v>102.02290000000009</v>
      </c>
      <c r="C824" s="17">
        <v>43719</v>
      </c>
    </row>
    <row r="825" spans="1:3" s="16" customFormat="1" x14ac:dyDescent="0.25">
      <c r="A825" s="16" t="s">
        <v>417</v>
      </c>
      <c r="B825" s="16">
        <v>520.96799999999996</v>
      </c>
      <c r="C825" s="17">
        <v>43719</v>
      </c>
    </row>
    <row r="826" spans="1:3" s="16" customFormat="1" x14ac:dyDescent="0.25">
      <c r="A826" s="16" t="s">
        <v>418</v>
      </c>
      <c r="B826" s="16">
        <v>56.438199999999931</v>
      </c>
      <c r="C826" s="17">
        <v>43719</v>
      </c>
    </row>
    <row r="827" spans="1:3" s="16" customFormat="1" x14ac:dyDescent="0.25">
      <c r="A827" s="16" t="s">
        <v>419</v>
      </c>
      <c r="B827" s="16">
        <v>60.779599999999988</v>
      </c>
      <c r="C827" s="17">
        <v>43719</v>
      </c>
    </row>
    <row r="828" spans="1:3" s="16" customFormat="1" x14ac:dyDescent="0.25">
      <c r="A828" s="16" t="s">
        <v>420</v>
      </c>
      <c r="B828" s="16">
        <v>73.803799999999953</v>
      </c>
      <c r="C828" s="17">
        <v>43719</v>
      </c>
    </row>
    <row r="829" spans="1:3" s="16" customFormat="1" x14ac:dyDescent="0.25">
      <c r="A829" s="16" t="s">
        <v>421</v>
      </c>
      <c r="B829" s="16">
        <v>-19.536299999999958</v>
      </c>
      <c r="C829" s="17">
        <v>43719</v>
      </c>
    </row>
    <row r="830" spans="1:3" s="16" customFormat="1" x14ac:dyDescent="0.25">
      <c r="A830" s="16" t="s">
        <v>361</v>
      </c>
      <c r="B830" s="16">
        <v>266.99610000000001</v>
      </c>
      <c r="C830" s="17">
        <v>43726</v>
      </c>
    </row>
    <row r="831" spans="1:3" s="16" customFormat="1" x14ac:dyDescent="0.25">
      <c r="A831" s="16" t="s">
        <v>362</v>
      </c>
      <c r="B831" s="16">
        <v>58.608899999999814</v>
      </c>
      <c r="C831" s="17">
        <v>43726</v>
      </c>
    </row>
    <row r="832" spans="1:3" s="16" customFormat="1" x14ac:dyDescent="0.25">
      <c r="A832" s="16" t="s">
        <v>363</v>
      </c>
      <c r="B832" s="16">
        <v>434.13999999999993</v>
      </c>
      <c r="C832" s="17">
        <v>43726</v>
      </c>
    </row>
    <row r="833" spans="1:3" s="16" customFormat="1" x14ac:dyDescent="0.25">
      <c r="A833" s="16" t="s">
        <v>364</v>
      </c>
      <c r="B833" s="16">
        <v>258.31329999999997</v>
      </c>
      <c r="C833" s="17">
        <v>43726</v>
      </c>
    </row>
    <row r="834" spans="1:3" s="16" customFormat="1" x14ac:dyDescent="0.25">
      <c r="A834" s="16" t="s">
        <v>365</v>
      </c>
      <c r="B834" s="16">
        <v>431.96930000000015</v>
      </c>
      <c r="C834" s="17">
        <v>43726</v>
      </c>
    </row>
    <row r="835" spans="1:3" s="16" customFormat="1" x14ac:dyDescent="0.25">
      <c r="A835" s="16" t="s">
        <v>366</v>
      </c>
      <c r="B835" s="16">
        <v>123.72989999999987</v>
      </c>
      <c r="C835" s="17">
        <v>43726</v>
      </c>
    </row>
    <row r="836" spans="1:3" s="16" customFormat="1" x14ac:dyDescent="0.25">
      <c r="A836" s="16" t="s">
        <v>367</v>
      </c>
      <c r="B836" s="16">
        <v>134.58339999999987</v>
      </c>
      <c r="C836" s="17">
        <v>43726</v>
      </c>
    </row>
    <row r="837" spans="1:3" s="16" customFormat="1" x14ac:dyDescent="0.25">
      <c r="A837" s="16" t="s">
        <v>368</v>
      </c>
      <c r="B837" s="16">
        <v>86.82799999999996</v>
      </c>
      <c r="C837" s="17">
        <v>43726</v>
      </c>
    </row>
    <row r="838" spans="1:3" s="16" customFormat="1" x14ac:dyDescent="0.25">
      <c r="A838" s="16" t="s">
        <v>369</v>
      </c>
      <c r="B838" s="16">
        <v>340.79990000000021</v>
      </c>
      <c r="C838" s="17">
        <v>43726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E29CD-CA7B-44EF-9803-AF0E8884774E}">
  <dimension ref="A1:E463"/>
  <sheetViews>
    <sheetView topLeftCell="A50" workbookViewId="0">
      <selection activeCell="A70" sqref="A70"/>
    </sheetView>
  </sheetViews>
  <sheetFormatPr defaultRowHeight="15.75" x14ac:dyDescent="0.25"/>
  <cols>
    <col min="1" max="4" width="11"/>
  </cols>
  <sheetData>
    <row r="1" spans="1:5" x14ac:dyDescent="0.25">
      <c r="A1" t="s">
        <v>4</v>
      </c>
      <c r="B1" t="s">
        <v>34</v>
      </c>
      <c r="C1" t="s">
        <v>31</v>
      </c>
      <c r="D1" t="s">
        <v>103</v>
      </c>
      <c r="E1" t="s">
        <v>817</v>
      </c>
    </row>
    <row r="2" spans="1:5" x14ac:dyDescent="0.25">
      <c r="A2" s="1" t="s">
        <v>809</v>
      </c>
      <c r="B2" s="1" t="s">
        <v>283</v>
      </c>
      <c r="C2" s="1" t="s">
        <v>286</v>
      </c>
      <c r="D2" s="21">
        <v>2017</v>
      </c>
    </row>
    <row r="3" spans="1:5" x14ac:dyDescent="0.25">
      <c r="A3" t="s">
        <v>810</v>
      </c>
      <c r="B3" s="1" t="s">
        <v>283</v>
      </c>
      <c r="C3" s="1" t="s">
        <v>286</v>
      </c>
      <c r="D3" s="21">
        <v>2017</v>
      </c>
    </row>
    <row r="4" spans="1:5" x14ac:dyDescent="0.25">
      <c r="A4" t="s">
        <v>811</v>
      </c>
      <c r="B4" s="1" t="s">
        <v>283</v>
      </c>
      <c r="C4" s="1" t="s">
        <v>286</v>
      </c>
      <c r="D4" s="21">
        <v>2017</v>
      </c>
    </row>
    <row r="5" spans="1:5" x14ac:dyDescent="0.25">
      <c r="A5" t="s">
        <v>812</v>
      </c>
      <c r="B5" s="1" t="s">
        <v>283</v>
      </c>
      <c r="C5" s="1" t="s">
        <v>286</v>
      </c>
      <c r="D5" s="21">
        <v>2017</v>
      </c>
    </row>
    <row r="6" spans="1:5" x14ac:dyDescent="0.25">
      <c r="A6" t="s">
        <v>813</v>
      </c>
      <c r="B6" s="1" t="s">
        <v>283</v>
      </c>
      <c r="C6" s="1" t="s">
        <v>283</v>
      </c>
      <c r="D6" s="21">
        <v>2017</v>
      </c>
    </row>
    <row r="7" spans="1:5" x14ac:dyDescent="0.25">
      <c r="A7" t="s">
        <v>814</v>
      </c>
      <c r="B7" s="1" t="s">
        <v>283</v>
      </c>
      <c r="C7" s="1" t="s">
        <v>283</v>
      </c>
      <c r="D7" s="21">
        <v>2017</v>
      </c>
    </row>
    <row r="8" spans="1:5" x14ac:dyDescent="0.25">
      <c r="A8" t="s">
        <v>815</v>
      </c>
      <c r="B8" s="1" t="s">
        <v>283</v>
      </c>
      <c r="C8" s="1" t="s">
        <v>283</v>
      </c>
      <c r="D8" s="21">
        <v>2017</v>
      </c>
    </row>
    <row r="9" spans="1:5" x14ac:dyDescent="0.25">
      <c r="A9" t="s">
        <v>816</v>
      </c>
      <c r="B9" s="1" t="s">
        <v>283</v>
      </c>
      <c r="C9" s="1" t="s">
        <v>283</v>
      </c>
      <c r="D9" s="21">
        <v>2017</v>
      </c>
    </row>
    <row r="10" spans="1:5" x14ac:dyDescent="0.25">
      <c r="A10" t="s">
        <v>160</v>
      </c>
      <c r="B10" s="1" t="s">
        <v>283</v>
      </c>
      <c r="C10" s="1" t="s">
        <v>286</v>
      </c>
      <c r="D10" s="21">
        <v>2017</v>
      </c>
    </row>
    <row r="11" spans="1:5" x14ac:dyDescent="0.25">
      <c r="A11" t="s">
        <v>161</v>
      </c>
      <c r="B11" s="1" t="s">
        <v>283</v>
      </c>
      <c r="C11" s="1" t="s">
        <v>286</v>
      </c>
      <c r="D11" s="21">
        <v>2017</v>
      </c>
    </row>
    <row r="12" spans="1:5" x14ac:dyDescent="0.25">
      <c r="A12" t="s">
        <v>162</v>
      </c>
      <c r="B12" s="1" t="s">
        <v>283</v>
      </c>
      <c r="C12" s="1" t="s">
        <v>286</v>
      </c>
      <c r="D12" s="21">
        <v>2017</v>
      </c>
    </row>
    <row r="13" spans="1:5" x14ac:dyDescent="0.25">
      <c r="A13" t="s">
        <v>163</v>
      </c>
      <c r="B13" s="1" t="s">
        <v>283</v>
      </c>
      <c r="C13" s="1" t="s">
        <v>286</v>
      </c>
      <c r="D13" s="21">
        <v>2017</v>
      </c>
    </row>
    <row r="14" spans="1:5" x14ac:dyDescent="0.25">
      <c r="A14" t="s">
        <v>164</v>
      </c>
      <c r="B14" s="1" t="s">
        <v>298</v>
      </c>
      <c r="C14" s="1" t="s">
        <v>283</v>
      </c>
      <c r="D14" s="21">
        <v>2017</v>
      </c>
    </row>
    <row r="15" spans="1:5" x14ac:dyDescent="0.25">
      <c r="A15" t="s">
        <v>165</v>
      </c>
      <c r="B15" s="1" t="s">
        <v>298</v>
      </c>
      <c r="C15" s="1" t="s">
        <v>283</v>
      </c>
      <c r="D15" s="21">
        <v>2017</v>
      </c>
    </row>
    <row r="16" spans="1:5" x14ac:dyDescent="0.25">
      <c r="A16" t="s">
        <v>166</v>
      </c>
      <c r="B16" s="1" t="s">
        <v>298</v>
      </c>
      <c r="C16" s="1" t="s">
        <v>283</v>
      </c>
      <c r="D16" s="21">
        <v>2017</v>
      </c>
    </row>
    <row r="17" spans="1:4" x14ac:dyDescent="0.25">
      <c r="A17" t="s">
        <v>167</v>
      </c>
      <c r="B17" s="1" t="s">
        <v>298</v>
      </c>
      <c r="C17" s="1" t="s">
        <v>283</v>
      </c>
      <c r="D17" s="21">
        <v>2017</v>
      </c>
    </row>
    <row r="18" spans="1:4" x14ac:dyDescent="0.25">
      <c r="A18" t="s">
        <v>168</v>
      </c>
      <c r="B18" s="1" t="s">
        <v>283</v>
      </c>
      <c r="C18" s="1" t="s">
        <v>286</v>
      </c>
      <c r="D18" s="21">
        <v>2017</v>
      </c>
    </row>
    <row r="19" spans="1:4" x14ac:dyDescent="0.25">
      <c r="A19" t="s">
        <v>169</v>
      </c>
      <c r="B19" s="1" t="s">
        <v>283</v>
      </c>
      <c r="C19" s="1" t="s">
        <v>286</v>
      </c>
      <c r="D19" s="21">
        <v>2017</v>
      </c>
    </row>
    <row r="20" spans="1:4" x14ac:dyDescent="0.25">
      <c r="A20" t="s">
        <v>170</v>
      </c>
      <c r="B20" s="1" t="s">
        <v>283</v>
      </c>
      <c r="C20" s="1" t="s">
        <v>286</v>
      </c>
      <c r="D20" s="21">
        <v>2017</v>
      </c>
    </row>
    <row r="21" spans="1:4" x14ac:dyDescent="0.25">
      <c r="A21" t="s">
        <v>171</v>
      </c>
      <c r="B21" s="1" t="s">
        <v>283</v>
      </c>
      <c r="C21" s="1" t="s">
        <v>286</v>
      </c>
      <c r="D21" s="21">
        <v>2017</v>
      </c>
    </row>
    <row r="22" spans="1:4" x14ac:dyDescent="0.25">
      <c r="A22" t="s">
        <v>160</v>
      </c>
      <c r="B22" s="1" t="s">
        <v>283</v>
      </c>
      <c r="C22" s="1" t="s">
        <v>286</v>
      </c>
      <c r="D22" s="21">
        <v>2017</v>
      </c>
    </row>
    <row r="23" spans="1:4" x14ac:dyDescent="0.25">
      <c r="A23" t="s">
        <v>161</v>
      </c>
      <c r="B23" s="1" t="s">
        <v>283</v>
      </c>
      <c r="C23" s="1" t="s">
        <v>286</v>
      </c>
      <c r="D23" s="21">
        <v>2017</v>
      </c>
    </row>
    <row r="24" spans="1:4" x14ac:dyDescent="0.25">
      <c r="A24" t="s">
        <v>162</v>
      </c>
      <c r="B24" s="1" t="s">
        <v>283</v>
      </c>
      <c r="C24" s="1" t="s">
        <v>286</v>
      </c>
      <c r="D24" s="21">
        <v>2017</v>
      </c>
    </row>
    <row r="25" spans="1:4" x14ac:dyDescent="0.25">
      <c r="A25" t="s">
        <v>163</v>
      </c>
      <c r="B25" s="1" t="s">
        <v>283</v>
      </c>
      <c r="C25" s="1" t="s">
        <v>286</v>
      </c>
      <c r="D25" s="21">
        <v>2017</v>
      </c>
    </row>
    <row r="26" spans="1:4" x14ac:dyDescent="0.25">
      <c r="A26" t="s">
        <v>164</v>
      </c>
      <c r="B26" s="1" t="s">
        <v>298</v>
      </c>
      <c r="C26" s="1" t="s">
        <v>283</v>
      </c>
      <c r="D26" s="21">
        <v>2017</v>
      </c>
    </row>
    <row r="27" spans="1:4" x14ac:dyDescent="0.25">
      <c r="A27" t="s">
        <v>165</v>
      </c>
      <c r="B27" s="1" t="s">
        <v>298</v>
      </c>
      <c r="C27" s="1" t="s">
        <v>283</v>
      </c>
      <c r="D27" s="21">
        <v>2017</v>
      </c>
    </row>
    <row r="28" spans="1:4" x14ac:dyDescent="0.25">
      <c r="A28" t="s">
        <v>166</v>
      </c>
      <c r="B28" s="1" t="s">
        <v>298</v>
      </c>
      <c r="C28" s="1" t="s">
        <v>283</v>
      </c>
      <c r="D28" s="21">
        <v>2017</v>
      </c>
    </row>
    <row r="29" spans="1:4" x14ac:dyDescent="0.25">
      <c r="A29" t="s">
        <v>167</v>
      </c>
      <c r="B29" s="1" t="s">
        <v>298</v>
      </c>
      <c r="C29" s="1" t="s">
        <v>283</v>
      </c>
      <c r="D29" s="21">
        <v>2017</v>
      </c>
    </row>
    <row r="30" spans="1:4" x14ac:dyDescent="0.25">
      <c r="A30" t="s">
        <v>168</v>
      </c>
      <c r="B30" s="1" t="s">
        <v>283</v>
      </c>
      <c r="C30" s="1" t="s">
        <v>286</v>
      </c>
      <c r="D30" s="21">
        <v>2017</v>
      </c>
    </row>
    <row r="31" spans="1:4" x14ac:dyDescent="0.25">
      <c r="A31" t="s">
        <v>169</v>
      </c>
      <c r="B31" s="1" t="s">
        <v>283</v>
      </c>
      <c r="C31" s="1" t="s">
        <v>286</v>
      </c>
      <c r="D31" s="21">
        <v>2017</v>
      </c>
    </row>
    <row r="32" spans="1:4" x14ac:dyDescent="0.25">
      <c r="A32" t="s">
        <v>170</v>
      </c>
      <c r="B32" s="1" t="s">
        <v>283</v>
      </c>
      <c r="C32" s="1" t="s">
        <v>286</v>
      </c>
      <c r="D32" s="21">
        <v>2017</v>
      </c>
    </row>
    <row r="33" spans="1:4" x14ac:dyDescent="0.25">
      <c r="A33" t="s">
        <v>171</v>
      </c>
      <c r="B33" s="1" t="s">
        <v>283</v>
      </c>
      <c r="C33" s="1" t="s">
        <v>286</v>
      </c>
      <c r="D33" s="21">
        <v>2017</v>
      </c>
    </row>
    <row r="34" spans="1:4" x14ac:dyDescent="0.25">
      <c r="A34" t="s">
        <v>799</v>
      </c>
      <c r="B34" s="1" t="s">
        <v>283</v>
      </c>
      <c r="C34" s="1" t="s">
        <v>286</v>
      </c>
      <c r="D34" s="21">
        <v>2017</v>
      </c>
    </row>
    <row r="35" spans="1:4" x14ac:dyDescent="0.25">
      <c r="A35" t="s">
        <v>800</v>
      </c>
      <c r="B35" s="1" t="s">
        <v>283</v>
      </c>
      <c r="C35" s="1" t="s">
        <v>286</v>
      </c>
      <c r="D35" s="21">
        <v>2017</v>
      </c>
    </row>
    <row r="36" spans="1:4" x14ac:dyDescent="0.25">
      <c r="A36" t="s">
        <v>801</v>
      </c>
      <c r="B36" s="1" t="s">
        <v>283</v>
      </c>
      <c r="C36" s="1" t="s">
        <v>286</v>
      </c>
      <c r="D36" s="21">
        <v>2017</v>
      </c>
    </row>
    <row r="37" spans="1:4" x14ac:dyDescent="0.25">
      <c r="A37" t="s">
        <v>802</v>
      </c>
      <c r="B37" s="1" t="s">
        <v>283</v>
      </c>
      <c r="C37" s="1" t="s">
        <v>286</v>
      </c>
      <c r="D37" s="21">
        <v>2017</v>
      </c>
    </row>
    <row r="38" spans="1:4" x14ac:dyDescent="0.25">
      <c r="A38" t="s">
        <v>803</v>
      </c>
      <c r="B38" s="1" t="s">
        <v>283</v>
      </c>
      <c r="C38" s="1" t="s">
        <v>283</v>
      </c>
      <c r="D38" s="21">
        <v>2017</v>
      </c>
    </row>
    <row r="39" spans="1:4" x14ac:dyDescent="0.25">
      <c r="A39" t="s">
        <v>804</v>
      </c>
      <c r="B39" s="1" t="s">
        <v>283</v>
      </c>
      <c r="C39" s="1" t="s">
        <v>283</v>
      </c>
      <c r="D39" s="21">
        <v>2017</v>
      </c>
    </row>
    <row r="40" spans="1:4" x14ac:dyDescent="0.25">
      <c r="A40" t="s">
        <v>799</v>
      </c>
      <c r="B40" s="1" t="s">
        <v>283</v>
      </c>
      <c r="C40" s="1" t="s">
        <v>286</v>
      </c>
      <c r="D40" s="21">
        <v>2017</v>
      </c>
    </row>
    <row r="41" spans="1:4" x14ac:dyDescent="0.25">
      <c r="A41" t="s">
        <v>800</v>
      </c>
      <c r="B41" s="1" t="s">
        <v>283</v>
      </c>
      <c r="C41" s="1" t="s">
        <v>286</v>
      </c>
      <c r="D41" s="21">
        <v>2017</v>
      </c>
    </row>
    <row r="42" spans="1:4" x14ac:dyDescent="0.25">
      <c r="A42" t="s">
        <v>801</v>
      </c>
      <c r="B42" s="1" t="s">
        <v>283</v>
      </c>
      <c r="C42" s="1" t="s">
        <v>286</v>
      </c>
      <c r="D42" s="21">
        <v>2017</v>
      </c>
    </row>
    <row r="43" spans="1:4" x14ac:dyDescent="0.25">
      <c r="A43" t="s">
        <v>802</v>
      </c>
      <c r="B43" s="1" t="s">
        <v>283</v>
      </c>
      <c r="C43" s="1" t="s">
        <v>286</v>
      </c>
      <c r="D43" s="21">
        <v>2017</v>
      </c>
    </row>
    <row r="44" spans="1:4" x14ac:dyDescent="0.25">
      <c r="A44" t="s">
        <v>803</v>
      </c>
      <c r="B44" s="1" t="s">
        <v>283</v>
      </c>
      <c r="C44" s="1" t="s">
        <v>283</v>
      </c>
      <c r="D44" s="21">
        <v>2017</v>
      </c>
    </row>
    <row r="45" spans="1:4" x14ac:dyDescent="0.25">
      <c r="A45" t="s">
        <v>804</v>
      </c>
      <c r="B45" s="1" t="s">
        <v>283</v>
      </c>
      <c r="C45" s="1" t="s">
        <v>283</v>
      </c>
      <c r="D45" s="21">
        <v>2017</v>
      </c>
    </row>
    <row r="46" spans="1:4" x14ac:dyDescent="0.25">
      <c r="A46" t="s">
        <v>799</v>
      </c>
      <c r="B46" s="1" t="s">
        <v>283</v>
      </c>
      <c r="C46" s="1" t="s">
        <v>286</v>
      </c>
      <c r="D46" s="21">
        <v>2017</v>
      </c>
    </row>
    <row r="47" spans="1:4" x14ac:dyDescent="0.25">
      <c r="A47" t="s">
        <v>800</v>
      </c>
      <c r="B47" s="1" t="s">
        <v>283</v>
      </c>
      <c r="C47" s="1" t="s">
        <v>286</v>
      </c>
      <c r="D47" s="21">
        <v>2017</v>
      </c>
    </row>
    <row r="48" spans="1:4" x14ac:dyDescent="0.25">
      <c r="A48" t="s">
        <v>801</v>
      </c>
      <c r="B48" s="1" t="s">
        <v>283</v>
      </c>
      <c r="C48" s="1" t="s">
        <v>286</v>
      </c>
      <c r="D48" s="21">
        <v>2017</v>
      </c>
    </row>
    <row r="49" spans="1:4" x14ac:dyDescent="0.25">
      <c r="A49" t="s">
        <v>802</v>
      </c>
      <c r="B49" s="1" t="s">
        <v>283</v>
      </c>
      <c r="C49" s="1" t="s">
        <v>286</v>
      </c>
      <c r="D49" s="21">
        <v>2017</v>
      </c>
    </row>
    <row r="50" spans="1:4" x14ac:dyDescent="0.25">
      <c r="A50" t="s">
        <v>803</v>
      </c>
      <c r="B50" s="1" t="s">
        <v>283</v>
      </c>
      <c r="C50" s="1" t="s">
        <v>283</v>
      </c>
      <c r="D50" s="21">
        <v>2017</v>
      </c>
    </row>
    <row r="51" spans="1:4" x14ac:dyDescent="0.25">
      <c r="A51" t="s">
        <v>804</v>
      </c>
      <c r="B51" s="1" t="s">
        <v>283</v>
      </c>
      <c r="C51" s="1" t="s">
        <v>283</v>
      </c>
      <c r="D51" s="21">
        <v>2017</v>
      </c>
    </row>
    <row r="52" spans="1:4" x14ac:dyDescent="0.25">
      <c r="A52" t="s">
        <v>799</v>
      </c>
      <c r="B52" s="1" t="s">
        <v>283</v>
      </c>
      <c r="C52" s="1" t="s">
        <v>286</v>
      </c>
      <c r="D52" s="21">
        <v>2017</v>
      </c>
    </row>
    <row r="53" spans="1:4" x14ac:dyDescent="0.25">
      <c r="A53" t="s">
        <v>800</v>
      </c>
      <c r="B53" s="1" t="s">
        <v>283</v>
      </c>
      <c r="C53" s="1" t="s">
        <v>286</v>
      </c>
      <c r="D53" s="21">
        <v>2017</v>
      </c>
    </row>
    <row r="54" spans="1:4" x14ac:dyDescent="0.25">
      <c r="A54" t="s">
        <v>801</v>
      </c>
      <c r="B54" s="1" t="s">
        <v>283</v>
      </c>
      <c r="C54" s="1" t="s">
        <v>286</v>
      </c>
      <c r="D54" s="21">
        <v>2017</v>
      </c>
    </row>
    <row r="55" spans="1:4" x14ac:dyDescent="0.25">
      <c r="A55" t="s">
        <v>802</v>
      </c>
      <c r="B55" s="1" t="s">
        <v>283</v>
      </c>
      <c r="C55" s="1" t="s">
        <v>286</v>
      </c>
      <c r="D55" s="21">
        <v>2017</v>
      </c>
    </row>
    <row r="56" spans="1:4" x14ac:dyDescent="0.25">
      <c r="A56" t="s">
        <v>803</v>
      </c>
      <c r="B56" s="1" t="s">
        <v>283</v>
      </c>
      <c r="C56" s="1" t="s">
        <v>283</v>
      </c>
      <c r="D56" s="21">
        <v>2017</v>
      </c>
    </row>
    <row r="57" spans="1:4" x14ac:dyDescent="0.25">
      <c r="A57" t="s">
        <v>804</v>
      </c>
      <c r="B57" s="1" t="s">
        <v>283</v>
      </c>
      <c r="C57" s="1" t="s">
        <v>283</v>
      </c>
      <c r="D57" s="21">
        <v>2017</v>
      </c>
    </row>
    <row r="58" spans="1:4" x14ac:dyDescent="0.25">
      <c r="A58" s="8" t="s">
        <v>805</v>
      </c>
      <c r="B58" s="22" t="s">
        <v>286</v>
      </c>
      <c r="C58" s="22" t="s">
        <v>283</v>
      </c>
      <c r="D58" s="21">
        <v>2017</v>
      </c>
    </row>
    <row r="59" spans="1:4" x14ac:dyDescent="0.25">
      <c r="A59" s="8" t="s">
        <v>806</v>
      </c>
      <c r="B59" s="22" t="s">
        <v>286</v>
      </c>
      <c r="C59" s="22" t="s">
        <v>283</v>
      </c>
      <c r="D59" s="21">
        <v>2017</v>
      </c>
    </row>
    <row r="60" spans="1:4" x14ac:dyDescent="0.25">
      <c r="A60" s="8" t="s">
        <v>807</v>
      </c>
      <c r="B60" s="22" t="s">
        <v>286</v>
      </c>
      <c r="C60" s="22" t="s">
        <v>286</v>
      </c>
      <c r="D60" s="21">
        <v>2017</v>
      </c>
    </row>
    <row r="61" spans="1:4" x14ac:dyDescent="0.25">
      <c r="A61" s="8" t="s">
        <v>808</v>
      </c>
      <c r="B61" s="22" t="s">
        <v>286</v>
      </c>
      <c r="C61" s="22" t="s">
        <v>286</v>
      </c>
      <c r="D61" s="21">
        <v>2017</v>
      </c>
    </row>
    <row r="62" spans="1:4" x14ac:dyDescent="0.25">
      <c r="A62" t="s">
        <v>799</v>
      </c>
      <c r="B62" s="22" t="s">
        <v>283</v>
      </c>
      <c r="C62" s="1" t="s">
        <v>286</v>
      </c>
      <c r="D62" s="21">
        <v>2017</v>
      </c>
    </row>
    <row r="63" spans="1:4" x14ac:dyDescent="0.25">
      <c r="A63" t="s">
        <v>800</v>
      </c>
      <c r="B63" s="22" t="s">
        <v>283</v>
      </c>
      <c r="C63" s="1" t="s">
        <v>286</v>
      </c>
      <c r="D63" s="21">
        <v>2017</v>
      </c>
    </row>
    <row r="64" spans="1:4" x14ac:dyDescent="0.25">
      <c r="A64" t="s">
        <v>801</v>
      </c>
      <c r="B64" s="22" t="s">
        <v>283</v>
      </c>
      <c r="C64" s="1" t="s">
        <v>286</v>
      </c>
      <c r="D64" s="21">
        <v>2017</v>
      </c>
    </row>
    <row r="65" spans="1:4" x14ac:dyDescent="0.25">
      <c r="A65" t="s">
        <v>802</v>
      </c>
      <c r="B65" s="22" t="s">
        <v>283</v>
      </c>
      <c r="C65" s="1" t="s">
        <v>286</v>
      </c>
      <c r="D65" s="21">
        <v>2017</v>
      </c>
    </row>
    <row r="66" spans="1:4" x14ac:dyDescent="0.25">
      <c r="A66" t="s">
        <v>803</v>
      </c>
      <c r="B66" s="22" t="s">
        <v>283</v>
      </c>
      <c r="C66" s="1" t="s">
        <v>283</v>
      </c>
      <c r="D66" s="21">
        <v>2017</v>
      </c>
    </row>
    <row r="67" spans="1:4" x14ac:dyDescent="0.25">
      <c r="A67" t="s">
        <v>804</v>
      </c>
      <c r="B67" s="22" t="s">
        <v>283</v>
      </c>
      <c r="C67" s="1" t="s">
        <v>283</v>
      </c>
      <c r="D67" s="21">
        <v>2017</v>
      </c>
    </row>
    <row r="68" spans="1:4" x14ac:dyDescent="0.25">
      <c r="A68" s="8" t="s">
        <v>805</v>
      </c>
      <c r="B68" s="22" t="s">
        <v>286</v>
      </c>
      <c r="C68" s="22" t="s">
        <v>283</v>
      </c>
      <c r="D68" s="21">
        <v>2017</v>
      </c>
    </row>
    <row r="69" spans="1:4" x14ac:dyDescent="0.25">
      <c r="A69" s="8" t="s">
        <v>806</v>
      </c>
      <c r="B69" s="22" t="s">
        <v>286</v>
      </c>
      <c r="C69" s="22" t="s">
        <v>283</v>
      </c>
      <c r="D69" s="21">
        <v>2017</v>
      </c>
    </row>
    <row r="70" spans="1:4" x14ac:dyDescent="0.25">
      <c r="A70" s="8" t="s">
        <v>807</v>
      </c>
      <c r="B70" s="22" t="s">
        <v>286</v>
      </c>
      <c r="C70" s="22" t="s">
        <v>286</v>
      </c>
      <c r="D70" s="21">
        <v>2017</v>
      </c>
    </row>
    <row r="71" spans="1:4" x14ac:dyDescent="0.25">
      <c r="A71" s="8" t="s">
        <v>808</v>
      </c>
      <c r="B71" s="22" t="s">
        <v>286</v>
      </c>
      <c r="C71" s="22" t="s">
        <v>286</v>
      </c>
      <c r="D71" s="21">
        <v>2017</v>
      </c>
    </row>
    <row r="72" spans="1:4" x14ac:dyDescent="0.25">
      <c r="A72" t="s">
        <v>799</v>
      </c>
      <c r="B72" s="22" t="s">
        <v>283</v>
      </c>
      <c r="C72" s="1" t="s">
        <v>286</v>
      </c>
      <c r="D72" s="21">
        <v>2017</v>
      </c>
    </row>
    <row r="73" spans="1:4" x14ac:dyDescent="0.25">
      <c r="A73" t="s">
        <v>800</v>
      </c>
      <c r="B73" s="22" t="s">
        <v>283</v>
      </c>
      <c r="C73" s="1" t="s">
        <v>286</v>
      </c>
      <c r="D73" s="21">
        <v>2017</v>
      </c>
    </row>
    <row r="74" spans="1:4" x14ac:dyDescent="0.25">
      <c r="A74" t="s">
        <v>801</v>
      </c>
      <c r="B74" s="22" t="s">
        <v>283</v>
      </c>
      <c r="C74" s="1" t="s">
        <v>286</v>
      </c>
      <c r="D74" s="21">
        <v>2017</v>
      </c>
    </row>
    <row r="75" spans="1:4" x14ac:dyDescent="0.25">
      <c r="A75" t="s">
        <v>802</v>
      </c>
      <c r="B75" s="22" t="s">
        <v>283</v>
      </c>
      <c r="C75" s="1" t="s">
        <v>286</v>
      </c>
      <c r="D75" s="21">
        <v>2017</v>
      </c>
    </row>
    <row r="76" spans="1:4" x14ac:dyDescent="0.25">
      <c r="A76" t="s">
        <v>803</v>
      </c>
      <c r="B76" s="22" t="s">
        <v>283</v>
      </c>
      <c r="C76" s="1" t="s">
        <v>283</v>
      </c>
      <c r="D76" s="21">
        <v>2017</v>
      </c>
    </row>
    <row r="77" spans="1:4" x14ac:dyDescent="0.25">
      <c r="A77" t="s">
        <v>804</v>
      </c>
      <c r="B77" s="22" t="s">
        <v>283</v>
      </c>
      <c r="C77" s="1" t="s">
        <v>283</v>
      </c>
      <c r="D77" s="21">
        <v>2017</v>
      </c>
    </row>
    <row r="78" spans="1:4" x14ac:dyDescent="0.25">
      <c r="A78" s="8" t="s">
        <v>805</v>
      </c>
      <c r="B78" s="22" t="s">
        <v>286</v>
      </c>
      <c r="C78" s="22" t="s">
        <v>283</v>
      </c>
      <c r="D78" s="21">
        <v>2017</v>
      </c>
    </row>
    <row r="79" spans="1:4" x14ac:dyDescent="0.25">
      <c r="A79" s="8" t="s">
        <v>806</v>
      </c>
      <c r="B79" s="22" t="s">
        <v>286</v>
      </c>
      <c r="C79" s="22" t="s">
        <v>283</v>
      </c>
      <c r="D79" s="21">
        <v>2017</v>
      </c>
    </row>
    <row r="80" spans="1:4" x14ac:dyDescent="0.25">
      <c r="A80" s="8" t="s">
        <v>807</v>
      </c>
      <c r="B80" s="22" t="s">
        <v>286</v>
      </c>
      <c r="C80" s="22" t="s">
        <v>286</v>
      </c>
      <c r="D80" s="21">
        <v>2017</v>
      </c>
    </row>
    <row r="81" spans="1:4" x14ac:dyDescent="0.25">
      <c r="A81" s="8" t="s">
        <v>808</v>
      </c>
      <c r="B81" s="22" t="s">
        <v>286</v>
      </c>
      <c r="C81" s="22" t="s">
        <v>286</v>
      </c>
      <c r="D81" s="21">
        <v>2017</v>
      </c>
    </row>
    <row r="82" spans="1:4" x14ac:dyDescent="0.25">
      <c r="A82" t="s">
        <v>215</v>
      </c>
      <c r="B82" s="22" t="s">
        <v>286</v>
      </c>
      <c r="C82" s="22" t="s">
        <v>283</v>
      </c>
      <c r="D82" s="21">
        <v>2018</v>
      </c>
    </row>
    <row r="83" spans="1:4" x14ac:dyDescent="0.25">
      <c r="A83" t="s">
        <v>216</v>
      </c>
      <c r="B83" s="22" t="s">
        <v>286</v>
      </c>
      <c r="C83" s="22" t="s">
        <v>283</v>
      </c>
      <c r="D83" s="21">
        <v>2018</v>
      </c>
    </row>
    <row r="84" spans="1:4" x14ac:dyDescent="0.25">
      <c r="A84" t="s">
        <v>217</v>
      </c>
      <c r="B84" s="22" t="s">
        <v>286</v>
      </c>
      <c r="C84" s="22" t="s">
        <v>283</v>
      </c>
      <c r="D84" s="21">
        <v>2018</v>
      </c>
    </row>
    <row r="85" spans="1:4" x14ac:dyDescent="0.25">
      <c r="A85" t="s">
        <v>263</v>
      </c>
      <c r="B85" s="22" t="s">
        <v>286</v>
      </c>
      <c r="C85" s="22" t="s">
        <v>283</v>
      </c>
      <c r="D85" s="21">
        <v>2018</v>
      </c>
    </row>
    <row r="86" spans="1:4" x14ac:dyDescent="0.25">
      <c r="A86" t="s">
        <v>218</v>
      </c>
      <c r="B86" s="22" t="s">
        <v>286</v>
      </c>
      <c r="C86" s="22" t="s">
        <v>286</v>
      </c>
      <c r="D86" s="21">
        <v>2018</v>
      </c>
    </row>
    <row r="87" spans="1:4" x14ac:dyDescent="0.25">
      <c r="A87" t="s">
        <v>219</v>
      </c>
      <c r="B87" s="22" t="s">
        <v>286</v>
      </c>
      <c r="C87" s="22" t="s">
        <v>286</v>
      </c>
      <c r="D87" s="21">
        <v>2018</v>
      </c>
    </row>
    <row r="88" spans="1:4" x14ac:dyDescent="0.25">
      <c r="A88" t="s">
        <v>220</v>
      </c>
      <c r="B88" s="22" t="s">
        <v>286</v>
      </c>
      <c r="C88" s="22" t="s">
        <v>286</v>
      </c>
      <c r="D88" s="21">
        <v>2018</v>
      </c>
    </row>
    <row r="89" spans="1:4" x14ac:dyDescent="0.25">
      <c r="A89" t="s">
        <v>221</v>
      </c>
      <c r="B89" s="22" t="s">
        <v>286</v>
      </c>
      <c r="C89" s="22" t="s">
        <v>286</v>
      </c>
      <c r="D89" s="21">
        <v>2018</v>
      </c>
    </row>
    <row r="90" spans="1:4" x14ac:dyDescent="0.25">
      <c r="A90" t="s">
        <v>222</v>
      </c>
      <c r="B90" s="22" t="s">
        <v>286</v>
      </c>
      <c r="C90" s="22" t="s">
        <v>283</v>
      </c>
      <c r="D90" s="21">
        <v>2018</v>
      </c>
    </row>
    <row r="91" spans="1:4" x14ac:dyDescent="0.25">
      <c r="A91" t="s">
        <v>223</v>
      </c>
      <c r="B91" s="22" t="s">
        <v>286</v>
      </c>
      <c r="C91" s="22" t="s">
        <v>283</v>
      </c>
      <c r="D91" s="21">
        <v>2018</v>
      </c>
    </row>
    <row r="92" spans="1:4" x14ac:dyDescent="0.25">
      <c r="A92" t="s">
        <v>224</v>
      </c>
      <c r="B92" s="22" t="s">
        <v>286</v>
      </c>
      <c r="C92" s="22" t="s">
        <v>283</v>
      </c>
      <c r="D92" s="21">
        <v>2018</v>
      </c>
    </row>
    <row r="93" spans="1:4" x14ac:dyDescent="0.25">
      <c r="A93" t="s">
        <v>225</v>
      </c>
      <c r="B93" s="22" t="s">
        <v>286</v>
      </c>
      <c r="C93" s="22" t="s">
        <v>283</v>
      </c>
      <c r="D93" s="21">
        <v>2018</v>
      </c>
    </row>
    <row r="94" spans="1:4" x14ac:dyDescent="0.25">
      <c r="A94" t="s">
        <v>227</v>
      </c>
      <c r="B94" s="22" t="s">
        <v>298</v>
      </c>
      <c r="C94" s="22" t="s">
        <v>283</v>
      </c>
      <c r="D94" s="21">
        <v>2018</v>
      </c>
    </row>
    <row r="95" spans="1:4" x14ac:dyDescent="0.25">
      <c r="A95" t="s">
        <v>228</v>
      </c>
      <c r="B95" s="22" t="s">
        <v>298</v>
      </c>
      <c r="C95" s="22" t="s">
        <v>283</v>
      </c>
      <c r="D95" s="21">
        <v>2018</v>
      </c>
    </row>
    <row r="96" spans="1:4" x14ac:dyDescent="0.25">
      <c r="A96" t="s">
        <v>229</v>
      </c>
      <c r="B96" s="22" t="s">
        <v>298</v>
      </c>
      <c r="C96" s="22" t="s">
        <v>283</v>
      </c>
      <c r="D96" s="21">
        <v>2018</v>
      </c>
    </row>
    <row r="97" spans="1:4" x14ac:dyDescent="0.25">
      <c r="A97" t="s">
        <v>230</v>
      </c>
      <c r="B97" s="22" t="s">
        <v>283</v>
      </c>
      <c r="C97" s="22" t="s">
        <v>286</v>
      </c>
      <c r="D97" s="21">
        <v>2018</v>
      </c>
    </row>
    <row r="98" spans="1:4" x14ac:dyDescent="0.25">
      <c r="A98" t="s">
        <v>231</v>
      </c>
      <c r="B98" s="22" t="s">
        <v>283</v>
      </c>
      <c r="C98" s="22" t="s">
        <v>286</v>
      </c>
      <c r="D98" s="21">
        <v>2018</v>
      </c>
    </row>
    <row r="99" spans="1:4" x14ac:dyDescent="0.25">
      <c r="A99" t="s">
        <v>232</v>
      </c>
      <c r="B99" s="22" t="s">
        <v>283</v>
      </c>
      <c r="C99" s="22" t="s">
        <v>286</v>
      </c>
      <c r="D99" s="21">
        <v>2018</v>
      </c>
    </row>
    <row r="100" spans="1:4" x14ac:dyDescent="0.25">
      <c r="A100" t="s">
        <v>233</v>
      </c>
      <c r="B100" s="22" t="s">
        <v>283</v>
      </c>
      <c r="C100" t="s">
        <v>286</v>
      </c>
      <c r="D100" s="21">
        <v>2018</v>
      </c>
    </row>
    <row r="101" spans="1:4" x14ac:dyDescent="0.25">
      <c r="A101" t="s">
        <v>234</v>
      </c>
      <c r="B101" s="22" t="s">
        <v>283</v>
      </c>
      <c r="C101" s="22" t="s">
        <v>283</v>
      </c>
      <c r="D101" s="21">
        <v>2018</v>
      </c>
    </row>
    <row r="102" spans="1:4" x14ac:dyDescent="0.25">
      <c r="A102" t="s">
        <v>235</v>
      </c>
      <c r="B102" s="22" t="s">
        <v>283</v>
      </c>
      <c r="C102" s="22" t="s">
        <v>283</v>
      </c>
      <c r="D102" s="21">
        <v>2018</v>
      </c>
    </row>
    <row r="103" spans="1:4" x14ac:dyDescent="0.25">
      <c r="A103" t="s">
        <v>236</v>
      </c>
      <c r="B103" s="22" t="s">
        <v>283</v>
      </c>
      <c r="C103" s="22" t="s">
        <v>283</v>
      </c>
      <c r="D103" s="21">
        <v>2018</v>
      </c>
    </row>
    <row r="104" spans="1:4" x14ac:dyDescent="0.25">
      <c r="A104" t="s">
        <v>237</v>
      </c>
      <c r="B104" s="22" t="s">
        <v>283</v>
      </c>
      <c r="C104" s="22" t="s">
        <v>283</v>
      </c>
      <c r="D104" s="21">
        <v>2018</v>
      </c>
    </row>
    <row r="105" spans="1:4" x14ac:dyDescent="0.25">
      <c r="A105" t="s">
        <v>238</v>
      </c>
      <c r="B105" s="22" t="s">
        <v>283</v>
      </c>
      <c r="C105" s="22" t="s">
        <v>286</v>
      </c>
      <c r="D105" s="21">
        <v>2018</v>
      </c>
    </row>
    <row r="106" spans="1:4" x14ac:dyDescent="0.25">
      <c r="A106" t="s">
        <v>239</v>
      </c>
      <c r="B106" s="22" t="s">
        <v>283</v>
      </c>
      <c r="C106" s="22" t="s">
        <v>286</v>
      </c>
      <c r="D106" s="21">
        <v>2018</v>
      </c>
    </row>
    <row r="107" spans="1:4" x14ac:dyDescent="0.25">
      <c r="A107" t="s">
        <v>240</v>
      </c>
      <c r="B107" s="22" t="s">
        <v>283</v>
      </c>
      <c r="C107" s="22" t="s">
        <v>286</v>
      </c>
      <c r="D107" s="21">
        <v>2018</v>
      </c>
    </row>
    <row r="108" spans="1:4" x14ac:dyDescent="0.25">
      <c r="A108" t="s">
        <v>241</v>
      </c>
      <c r="B108" s="22" t="s">
        <v>283</v>
      </c>
      <c r="C108" s="22" t="s">
        <v>286</v>
      </c>
      <c r="D108" s="21">
        <v>2018</v>
      </c>
    </row>
    <row r="109" spans="1:4" x14ac:dyDescent="0.25">
      <c r="A109" t="s">
        <v>264</v>
      </c>
      <c r="B109" s="22" t="s">
        <v>283</v>
      </c>
      <c r="C109" s="22" t="s">
        <v>286</v>
      </c>
      <c r="D109" s="21">
        <v>2018</v>
      </c>
    </row>
    <row r="110" spans="1:4" x14ac:dyDescent="0.25">
      <c r="A110" t="s">
        <v>242</v>
      </c>
      <c r="B110" s="22" t="s">
        <v>283</v>
      </c>
      <c r="C110" s="22" t="s">
        <v>286</v>
      </c>
      <c r="D110" s="21">
        <v>2018</v>
      </c>
    </row>
    <row r="111" spans="1:4" x14ac:dyDescent="0.25">
      <c r="A111" t="s">
        <v>243</v>
      </c>
      <c r="B111" s="22" t="s">
        <v>283</v>
      </c>
      <c r="C111" s="22" t="s">
        <v>286</v>
      </c>
      <c r="D111" s="21">
        <v>2018</v>
      </c>
    </row>
    <row r="112" spans="1:4" x14ac:dyDescent="0.25">
      <c r="A112" t="s">
        <v>244</v>
      </c>
      <c r="B112" s="22" t="s">
        <v>283</v>
      </c>
      <c r="C112" s="22" t="s">
        <v>286</v>
      </c>
      <c r="D112" s="21">
        <v>2018</v>
      </c>
    </row>
    <row r="113" spans="1:4" x14ac:dyDescent="0.25">
      <c r="A113" t="s">
        <v>245</v>
      </c>
      <c r="B113" s="22" t="s">
        <v>283</v>
      </c>
      <c r="C113" s="22" t="s">
        <v>286</v>
      </c>
      <c r="D113" s="21">
        <v>2018</v>
      </c>
    </row>
    <row r="114" spans="1:4" x14ac:dyDescent="0.25">
      <c r="A114" t="s">
        <v>246</v>
      </c>
      <c r="B114" s="22" t="s">
        <v>283</v>
      </c>
      <c r="C114" s="22" t="s">
        <v>286</v>
      </c>
      <c r="D114" s="21">
        <v>2018</v>
      </c>
    </row>
    <row r="115" spans="1:4" x14ac:dyDescent="0.25">
      <c r="A115" t="s">
        <v>249</v>
      </c>
      <c r="B115" s="22" t="s">
        <v>283</v>
      </c>
      <c r="C115" s="22" t="s">
        <v>286</v>
      </c>
      <c r="D115" s="21">
        <v>2018</v>
      </c>
    </row>
    <row r="116" spans="1:4" x14ac:dyDescent="0.25">
      <c r="A116" t="s">
        <v>265</v>
      </c>
      <c r="B116" s="22" t="s">
        <v>283</v>
      </c>
      <c r="C116" s="22" t="s">
        <v>286</v>
      </c>
      <c r="D116" s="21">
        <v>2018</v>
      </c>
    </row>
    <row r="117" spans="1:4" x14ac:dyDescent="0.25">
      <c r="A117" t="s">
        <v>266</v>
      </c>
      <c r="B117" s="22" t="s">
        <v>283</v>
      </c>
      <c r="C117" s="22" t="s">
        <v>286</v>
      </c>
      <c r="D117" s="21">
        <v>2018</v>
      </c>
    </row>
    <row r="118" spans="1:4" x14ac:dyDescent="0.25">
      <c r="A118" t="s">
        <v>250</v>
      </c>
      <c r="B118" s="22" t="s">
        <v>286</v>
      </c>
      <c r="C118" s="22" t="s">
        <v>286</v>
      </c>
      <c r="D118" s="21">
        <v>2018</v>
      </c>
    </row>
    <row r="119" spans="1:4" x14ac:dyDescent="0.25">
      <c r="A119" t="s">
        <v>251</v>
      </c>
      <c r="B119" s="22" t="s">
        <v>286</v>
      </c>
      <c r="C119" s="22" t="s">
        <v>286</v>
      </c>
      <c r="D119" s="21">
        <v>2018</v>
      </c>
    </row>
    <row r="120" spans="1:4" x14ac:dyDescent="0.25">
      <c r="A120" t="s">
        <v>252</v>
      </c>
      <c r="B120" s="22" t="s">
        <v>286</v>
      </c>
      <c r="C120" s="22" t="s">
        <v>286</v>
      </c>
      <c r="D120" s="21">
        <v>2018</v>
      </c>
    </row>
    <row r="121" spans="1:4" x14ac:dyDescent="0.25">
      <c r="A121" t="s">
        <v>253</v>
      </c>
      <c r="B121" s="22" t="s">
        <v>286</v>
      </c>
      <c r="C121" s="22" t="s">
        <v>286</v>
      </c>
      <c r="D121" s="21">
        <v>2018</v>
      </c>
    </row>
    <row r="122" spans="1:4" x14ac:dyDescent="0.25">
      <c r="A122" t="s">
        <v>254</v>
      </c>
      <c r="B122" s="22" t="s">
        <v>298</v>
      </c>
      <c r="C122" s="22" t="s">
        <v>286</v>
      </c>
      <c r="D122" s="21">
        <v>2018</v>
      </c>
    </row>
    <row r="123" spans="1:4" x14ac:dyDescent="0.25">
      <c r="A123" t="s">
        <v>255</v>
      </c>
      <c r="B123" s="22" t="s">
        <v>298</v>
      </c>
      <c r="C123" s="22" t="s">
        <v>286</v>
      </c>
      <c r="D123" s="21">
        <v>2018</v>
      </c>
    </row>
    <row r="124" spans="1:4" x14ac:dyDescent="0.25">
      <c r="A124" t="s">
        <v>256</v>
      </c>
      <c r="B124" s="22" t="s">
        <v>298</v>
      </c>
      <c r="C124" s="22" t="s">
        <v>286</v>
      </c>
      <c r="D124" s="21">
        <v>2018</v>
      </c>
    </row>
    <row r="125" spans="1:4" x14ac:dyDescent="0.25">
      <c r="A125" t="s">
        <v>257</v>
      </c>
      <c r="B125" s="22" t="s">
        <v>298</v>
      </c>
      <c r="C125" s="22" t="s">
        <v>286</v>
      </c>
      <c r="D125" s="21">
        <v>2018</v>
      </c>
    </row>
    <row r="126" spans="1:4" x14ac:dyDescent="0.25">
      <c r="A126" t="s">
        <v>258</v>
      </c>
      <c r="B126" s="22" t="s">
        <v>298</v>
      </c>
      <c r="C126" s="22" t="s">
        <v>286</v>
      </c>
      <c r="D126" s="21">
        <v>2018</v>
      </c>
    </row>
    <row r="127" spans="1:4" x14ac:dyDescent="0.25">
      <c r="A127" t="s">
        <v>259</v>
      </c>
      <c r="B127" s="22" t="s">
        <v>298</v>
      </c>
      <c r="C127" s="22" t="s">
        <v>286</v>
      </c>
      <c r="D127" s="21">
        <v>2018</v>
      </c>
    </row>
    <row r="128" spans="1:4" x14ac:dyDescent="0.25">
      <c r="A128" t="s">
        <v>260</v>
      </c>
      <c r="B128" s="22" t="s">
        <v>298</v>
      </c>
      <c r="C128" s="22" t="s">
        <v>286</v>
      </c>
      <c r="D128" s="21">
        <v>2018</v>
      </c>
    </row>
    <row r="129" spans="1:4" x14ac:dyDescent="0.25">
      <c r="A129" t="s">
        <v>261</v>
      </c>
      <c r="B129" s="22" t="s">
        <v>298</v>
      </c>
      <c r="C129" s="22" t="s">
        <v>286</v>
      </c>
      <c r="D129" s="21">
        <v>2018</v>
      </c>
    </row>
    <row r="130" spans="1:4" x14ac:dyDescent="0.25">
      <c r="A130" t="s">
        <v>212</v>
      </c>
      <c r="B130" s="22" t="s">
        <v>286</v>
      </c>
      <c r="C130" s="22" t="s">
        <v>286</v>
      </c>
      <c r="D130" s="21">
        <v>2018</v>
      </c>
    </row>
    <row r="131" spans="1:4" x14ac:dyDescent="0.25">
      <c r="A131" t="s">
        <v>262</v>
      </c>
      <c r="B131" s="22" t="s">
        <v>286</v>
      </c>
      <c r="C131" s="22" t="s">
        <v>286</v>
      </c>
      <c r="D131" s="21">
        <v>2018</v>
      </c>
    </row>
    <row r="132" spans="1:4" x14ac:dyDescent="0.25">
      <c r="A132" t="s">
        <v>213</v>
      </c>
      <c r="B132" s="22" t="s">
        <v>286</v>
      </c>
      <c r="C132" s="22" t="s">
        <v>286</v>
      </c>
      <c r="D132" s="21">
        <v>2018</v>
      </c>
    </row>
    <row r="133" spans="1:4" x14ac:dyDescent="0.25">
      <c r="A133" t="s">
        <v>214</v>
      </c>
      <c r="B133" s="22" t="s">
        <v>286</v>
      </c>
      <c r="C133" s="22" t="s">
        <v>286</v>
      </c>
      <c r="D133" s="21">
        <v>2018</v>
      </c>
    </row>
    <row r="134" spans="1:4" x14ac:dyDescent="0.25">
      <c r="A134" t="s">
        <v>208</v>
      </c>
      <c r="B134" t="s">
        <v>283</v>
      </c>
      <c r="C134" s="22" t="s">
        <v>283</v>
      </c>
      <c r="D134" s="21">
        <v>2018</v>
      </c>
    </row>
    <row r="135" spans="1:4" x14ac:dyDescent="0.25">
      <c r="A135" t="s">
        <v>209</v>
      </c>
      <c r="B135" t="s">
        <v>283</v>
      </c>
      <c r="C135" s="22" t="s">
        <v>283</v>
      </c>
      <c r="D135" s="21">
        <v>2018</v>
      </c>
    </row>
    <row r="136" spans="1:4" x14ac:dyDescent="0.25">
      <c r="A136" t="s">
        <v>210</v>
      </c>
      <c r="B136" t="s">
        <v>283</v>
      </c>
      <c r="C136" s="22" t="s">
        <v>283</v>
      </c>
      <c r="D136" s="21">
        <v>2018</v>
      </c>
    </row>
    <row r="137" spans="1:4" x14ac:dyDescent="0.25">
      <c r="A137" t="s">
        <v>211</v>
      </c>
      <c r="B137" t="s">
        <v>283</v>
      </c>
      <c r="C137" s="22" t="s">
        <v>283</v>
      </c>
      <c r="D137" s="21">
        <v>2018</v>
      </c>
    </row>
    <row r="138" spans="1:4" x14ac:dyDescent="0.25">
      <c r="A138" t="s">
        <v>196</v>
      </c>
      <c r="B138" t="s">
        <v>283</v>
      </c>
      <c r="C138" s="22" t="s">
        <v>286</v>
      </c>
      <c r="D138" s="21">
        <v>2018</v>
      </c>
    </row>
    <row r="139" spans="1:4" x14ac:dyDescent="0.25">
      <c r="A139" t="s">
        <v>197</v>
      </c>
      <c r="B139" t="s">
        <v>283</v>
      </c>
      <c r="C139" s="22" t="s">
        <v>286</v>
      </c>
      <c r="D139" s="21">
        <v>2018</v>
      </c>
    </row>
    <row r="140" spans="1:4" x14ac:dyDescent="0.25">
      <c r="A140" t="s">
        <v>198</v>
      </c>
      <c r="B140" t="s">
        <v>283</v>
      </c>
      <c r="C140" s="22" t="s">
        <v>286</v>
      </c>
      <c r="D140" s="21">
        <v>2018</v>
      </c>
    </row>
    <row r="141" spans="1:4" x14ac:dyDescent="0.25">
      <c r="A141" t="s">
        <v>199</v>
      </c>
      <c r="B141" t="s">
        <v>283</v>
      </c>
      <c r="C141" s="22" t="s">
        <v>286</v>
      </c>
      <c r="D141" s="21">
        <v>2018</v>
      </c>
    </row>
    <row r="142" spans="1:4" x14ac:dyDescent="0.25">
      <c r="A142" t="s">
        <v>200</v>
      </c>
      <c r="B142" t="s">
        <v>283</v>
      </c>
      <c r="C142" s="22" t="s">
        <v>286</v>
      </c>
      <c r="D142" s="21">
        <v>2018</v>
      </c>
    </row>
    <row r="143" spans="1:4" x14ac:dyDescent="0.25">
      <c r="A143" t="s">
        <v>201</v>
      </c>
      <c r="B143" t="s">
        <v>283</v>
      </c>
      <c r="C143" s="22" t="s">
        <v>286</v>
      </c>
      <c r="D143" s="21">
        <v>2018</v>
      </c>
    </row>
    <row r="144" spans="1:4" x14ac:dyDescent="0.25">
      <c r="A144" t="s">
        <v>202</v>
      </c>
      <c r="B144" t="s">
        <v>283</v>
      </c>
      <c r="C144" s="22" t="s">
        <v>286</v>
      </c>
      <c r="D144" s="21">
        <v>2018</v>
      </c>
    </row>
    <row r="145" spans="1:4" x14ac:dyDescent="0.25">
      <c r="A145" t="s">
        <v>203</v>
      </c>
      <c r="B145" t="s">
        <v>283</v>
      </c>
      <c r="C145" s="22" t="s">
        <v>286</v>
      </c>
      <c r="D145" s="21">
        <v>2018</v>
      </c>
    </row>
    <row r="146" spans="1:4" x14ac:dyDescent="0.25">
      <c r="A146" t="s">
        <v>204</v>
      </c>
      <c r="B146" t="s">
        <v>283</v>
      </c>
      <c r="C146" s="22" t="s">
        <v>286</v>
      </c>
      <c r="D146" s="21">
        <v>2018</v>
      </c>
    </row>
    <row r="147" spans="1:4" x14ac:dyDescent="0.25">
      <c r="A147" t="s">
        <v>205</v>
      </c>
      <c r="B147" t="s">
        <v>283</v>
      </c>
      <c r="C147" s="22" t="s">
        <v>286</v>
      </c>
      <c r="D147" s="21">
        <v>2018</v>
      </c>
    </row>
    <row r="148" spans="1:4" x14ac:dyDescent="0.25">
      <c r="A148" t="s">
        <v>206</v>
      </c>
      <c r="B148" t="s">
        <v>283</v>
      </c>
      <c r="C148" s="22" t="s">
        <v>286</v>
      </c>
      <c r="D148" s="21">
        <v>2018</v>
      </c>
    </row>
    <row r="149" spans="1:4" x14ac:dyDescent="0.25">
      <c r="A149" t="s">
        <v>207</v>
      </c>
      <c r="B149" t="s">
        <v>283</v>
      </c>
      <c r="C149" s="22" t="s">
        <v>286</v>
      </c>
      <c r="D149" s="21">
        <v>2018</v>
      </c>
    </row>
    <row r="150" spans="1:4" x14ac:dyDescent="0.25">
      <c r="A150" t="s">
        <v>226</v>
      </c>
      <c r="B150" t="s">
        <v>298</v>
      </c>
      <c r="C150" s="22" t="s">
        <v>283</v>
      </c>
      <c r="D150" s="21">
        <v>2018</v>
      </c>
    </row>
    <row r="151" spans="1:4" x14ac:dyDescent="0.25">
      <c r="A151" t="s">
        <v>247</v>
      </c>
      <c r="B151" t="s">
        <v>283</v>
      </c>
      <c r="C151" s="22" t="s">
        <v>286</v>
      </c>
      <c r="D151" s="21">
        <v>2018</v>
      </c>
    </row>
    <row r="152" spans="1:4" x14ac:dyDescent="0.25">
      <c r="A152" t="s">
        <v>248</v>
      </c>
      <c r="B152" t="s">
        <v>283</v>
      </c>
      <c r="C152" s="22" t="s">
        <v>286</v>
      </c>
      <c r="D152" s="21">
        <v>2018</v>
      </c>
    </row>
    <row r="153" spans="1:4" x14ac:dyDescent="0.25">
      <c r="A153" t="s">
        <v>267</v>
      </c>
      <c r="B153" t="s">
        <v>283</v>
      </c>
      <c r="C153" s="22" t="s">
        <v>286</v>
      </c>
      <c r="D153" s="21">
        <v>2018</v>
      </c>
    </row>
    <row r="154" spans="1:4" x14ac:dyDescent="0.25">
      <c r="A154" t="s">
        <v>135</v>
      </c>
      <c r="B154" t="s">
        <v>283</v>
      </c>
      <c r="C154" s="22" t="s">
        <v>286</v>
      </c>
      <c r="D154" s="21">
        <v>2018</v>
      </c>
    </row>
    <row r="155" spans="1:4" x14ac:dyDescent="0.25">
      <c r="A155" t="s">
        <v>136</v>
      </c>
      <c r="B155" t="s">
        <v>283</v>
      </c>
      <c r="C155" s="22" t="s">
        <v>286</v>
      </c>
      <c r="D155" s="21">
        <v>2018</v>
      </c>
    </row>
    <row r="156" spans="1:4" x14ac:dyDescent="0.25">
      <c r="A156" t="s">
        <v>137</v>
      </c>
      <c r="B156" t="s">
        <v>283</v>
      </c>
      <c r="C156" s="22" t="s">
        <v>286</v>
      </c>
      <c r="D156" s="21">
        <v>2018</v>
      </c>
    </row>
    <row r="157" spans="1:4" x14ac:dyDescent="0.25">
      <c r="A157" t="s">
        <v>138</v>
      </c>
      <c r="B157" t="s">
        <v>283</v>
      </c>
      <c r="C157" s="22" t="s">
        <v>286</v>
      </c>
      <c r="D157" s="21">
        <v>2018</v>
      </c>
    </row>
    <row r="158" spans="1:4" x14ac:dyDescent="0.25">
      <c r="A158" s="11" t="s">
        <v>139</v>
      </c>
      <c r="B158" s="23" t="s">
        <v>286</v>
      </c>
      <c r="C158" s="22" t="s">
        <v>286</v>
      </c>
      <c r="D158" s="21">
        <v>2018</v>
      </c>
    </row>
    <row r="159" spans="1:4" x14ac:dyDescent="0.25">
      <c r="A159" t="s">
        <v>140</v>
      </c>
      <c r="B159" s="23" t="s">
        <v>286</v>
      </c>
      <c r="C159" s="22" t="s">
        <v>286</v>
      </c>
      <c r="D159" s="21">
        <v>2018</v>
      </c>
    </row>
    <row r="160" spans="1:4" x14ac:dyDescent="0.25">
      <c r="A160" t="s">
        <v>141</v>
      </c>
      <c r="B160" s="23" t="s">
        <v>286</v>
      </c>
      <c r="C160" s="22" t="s">
        <v>286</v>
      </c>
      <c r="D160" s="21">
        <v>2018</v>
      </c>
    </row>
    <row r="161" spans="1:4" x14ac:dyDescent="0.25">
      <c r="A161" t="s">
        <v>142</v>
      </c>
      <c r="B161" s="23" t="s">
        <v>286</v>
      </c>
      <c r="C161" s="22" t="s">
        <v>286</v>
      </c>
      <c r="D161" s="21">
        <v>2018</v>
      </c>
    </row>
    <row r="162" spans="1:4" x14ac:dyDescent="0.25">
      <c r="A162" t="s">
        <v>143</v>
      </c>
      <c r="B162" s="23" t="s">
        <v>283</v>
      </c>
      <c r="C162" s="22" t="s">
        <v>286</v>
      </c>
      <c r="D162" s="21">
        <v>2018</v>
      </c>
    </row>
    <row r="163" spans="1:4" x14ac:dyDescent="0.25">
      <c r="A163" t="s">
        <v>144</v>
      </c>
      <c r="B163" s="23" t="s">
        <v>283</v>
      </c>
      <c r="C163" s="22" t="s">
        <v>286</v>
      </c>
      <c r="D163" s="21">
        <v>2018</v>
      </c>
    </row>
    <row r="164" spans="1:4" x14ac:dyDescent="0.25">
      <c r="A164" t="s">
        <v>145</v>
      </c>
      <c r="B164" s="23" t="s">
        <v>283</v>
      </c>
      <c r="C164" s="22" t="s">
        <v>286</v>
      </c>
      <c r="D164" s="21">
        <v>2018</v>
      </c>
    </row>
    <row r="165" spans="1:4" x14ac:dyDescent="0.25">
      <c r="A165" t="s">
        <v>146</v>
      </c>
      <c r="B165" s="23" t="s">
        <v>283</v>
      </c>
      <c r="C165" s="22" t="s">
        <v>286</v>
      </c>
      <c r="D165" s="21">
        <v>2018</v>
      </c>
    </row>
    <row r="166" spans="1:4" x14ac:dyDescent="0.25">
      <c r="A166" t="s">
        <v>147</v>
      </c>
      <c r="B166" s="23" t="s">
        <v>283</v>
      </c>
      <c r="C166" s="22" t="s">
        <v>286</v>
      </c>
      <c r="D166" s="21">
        <v>2018</v>
      </c>
    </row>
    <row r="167" spans="1:4" x14ac:dyDescent="0.25">
      <c r="A167" t="s">
        <v>148</v>
      </c>
      <c r="B167" s="23" t="s">
        <v>283</v>
      </c>
      <c r="C167" s="22" t="s">
        <v>286</v>
      </c>
      <c r="D167" s="21">
        <v>2018</v>
      </c>
    </row>
    <row r="168" spans="1:4" x14ac:dyDescent="0.25">
      <c r="A168" t="s">
        <v>149</v>
      </c>
      <c r="B168" s="23" t="s">
        <v>283</v>
      </c>
      <c r="C168" s="22" t="s">
        <v>286</v>
      </c>
      <c r="D168" s="21">
        <v>2018</v>
      </c>
    </row>
    <row r="169" spans="1:4" x14ac:dyDescent="0.25">
      <c r="A169" t="s">
        <v>150</v>
      </c>
      <c r="B169" s="23" t="s">
        <v>283</v>
      </c>
      <c r="C169" s="22" t="s">
        <v>286</v>
      </c>
      <c r="D169" s="21">
        <v>2018</v>
      </c>
    </row>
    <row r="170" spans="1:4" x14ac:dyDescent="0.25">
      <c r="A170" t="s">
        <v>151</v>
      </c>
      <c r="B170" s="23" t="s">
        <v>298</v>
      </c>
      <c r="C170" s="22" t="s">
        <v>286</v>
      </c>
      <c r="D170" s="21">
        <v>2018</v>
      </c>
    </row>
    <row r="171" spans="1:4" x14ac:dyDescent="0.25">
      <c r="A171" t="s">
        <v>152</v>
      </c>
      <c r="B171" s="23" t="s">
        <v>298</v>
      </c>
      <c r="C171" s="22" t="s">
        <v>286</v>
      </c>
      <c r="D171" s="21">
        <v>2018</v>
      </c>
    </row>
    <row r="172" spans="1:4" x14ac:dyDescent="0.25">
      <c r="A172" t="s">
        <v>153</v>
      </c>
      <c r="B172" s="23" t="s">
        <v>298</v>
      </c>
      <c r="C172" s="22" t="s">
        <v>286</v>
      </c>
      <c r="D172" s="21">
        <v>2018</v>
      </c>
    </row>
    <row r="173" spans="1:4" x14ac:dyDescent="0.25">
      <c r="A173" t="s">
        <v>154</v>
      </c>
      <c r="B173" s="23" t="s">
        <v>298</v>
      </c>
      <c r="C173" s="22" t="s">
        <v>286</v>
      </c>
      <c r="D173" s="21">
        <v>2018</v>
      </c>
    </row>
    <row r="174" spans="1:4" x14ac:dyDescent="0.25">
      <c r="A174" t="s">
        <v>155</v>
      </c>
      <c r="B174" s="23" t="s">
        <v>283</v>
      </c>
      <c r="C174" s="22" t="s">
        <v>286</v>
      </c>
      <c r="D174" s="21">
        <v>2018</v>
      </c>
    </row>
    <row r="175" spans="1:4" x14ac:dyDescent="0.25">
      <c r="A175" t="s">
        <v>156</v>
      </c>
      <c r="B175" s="23" t="s">
        <v>283</v>
      </c>
      <c r="C175" s="22" t="s">
        <v>286</v>
      </c>
      <c r="D175" s="21">
        <v>2018</v>
      </c>
    </row>
    <row r="176" spans="1:4" x14ac:dyDescent="0.25">
      <c r="A176" t="s">
        <v>157</v>
      </c>
      <c r="B176" s="23" t="s">
        <v>283</v>
      </c>
      <c r="C176" s="22" t="s">
        <v>286</v>
      </c>
      <c r="D176" s="21">
        <v>2018</v>
      </c>
    </row>
    <row r="177" spans="1:4" x14ac:dyDescent="0.25">
      <c r="A177" t="s">
        <v>158</v>
      </c>
      <c r="B177" s="23" t="s">
        <v>283</v>
      </c>
      <c r="C177" s="22" t="s">
        <v>286</v>
      </c>
      <c r="D177" s="21">
        <v>2018</v>
      </c>
    </row>
    <row r="178" spans="1:4" x14ac:dyDescent="0.25">
      <c r="A178" t="s">
        <v>160</v>
      </c>
      <c r="B178" s="23" t="s">
        <v>283</v>
      </c>
      <c r="C178" s="22" t="s">
        <v>286</v>
      </c>
      <c r="D178" s="21">
        <v>2018</v>
      </c>
    </row>
    <row r="179" spans="1:4" x14ac:dyDescent="0.25">
      <c r="A179" t="s">
        <v>161</v>
      </c>
      <c r="B179" s="23" t="s">
        <v>283</v>
      </c>
      <c r="C179" s="22" t="s">
        <v>286</v>
      </c>
      <c r="D179" s="21">
        <v>2018</v>
      </c>
    </row>
    <row r="180" spans="1:4" x14ac:dyDescent="0.25">
      <c r="A180" t="s">
        <v>162</v>
      </c>
      <c r="B180" s="23" t="s">
        <v>283</v>
      </c>
      <c r="C180" s="22" t="s">
        <v>286</v>
      </c>
      <c r="D180" s="21">
        <v>2018</v>
      </c>
    </row>
    <row r="181" spans="1:4" x14ac:dyDescent="0.25">
      <c r="A181" t="s">
        <v>163</v>
      </c>
      <c r="B181" s="23" t="s">
        <v>283</v>
      </c>
      <c r="C181" s="22" t="s">
        <v>286</v>
      </c>
      <c r="D181" s="21">
        <v>2018</v>
      </c>
    </row>
    <row r="182" spans="1:4" x14ac:dyDescent="0.25">
      <c r="A182" t="s">
        <v>164</v>
      </c>
      <c r="B182" s="23" t="s">
        <v>283</v>
      </c>
      <c r="C182" s="22" t="s">
        <v>283</v>
      </c>
      <c r="D182" s="21">
        <v>2018</v>
      </c>
    </row>
    <row r="183" spans="1:4" x14ac:dyDescent="0.25">
      <c r="A183" t="s">
        <v>165</v>
      </c>
      <c r="B183" s="23" t="s">
        <v>283</v>
      </c>
      <c r="C183" s="22" t="s">
        <v>283</v>
      </c>
      <c r="D183" s="21">
        <v>2018</v>
      </c>
    </row>
    <row r="184" spans="1:4" x14ac:dyDescent="0.25">
      <c r="A184" t="s">
        <v>166</v>
      </c>
      <c r="B184" s="23" t="s">
        <v>283</v>
      </c>
      <c r="C184" s="22" t="s">
        <v>283</v>
      </c>
      <c r="D184" s="21">
        <v>2018</v>
      </c>
    </row>
    <row r="185" spans="1:4" x14ac:dyDescent="0.25">
      <c r="A185" t="s">
        <v>167</v>
      </c>
      <c r="B185" s="23" t="s">
        <v>283</v>
      </c>
      <c r="C185" s="22" t="s">
        <v>283</v>
      </c>
      <c r="D185" s="21">
        <v>2018</v>
      </c>
    </row>
    <row r="186" spans="1:4" x14ac:dyDescent="0.25">
      <c r="A186" t="s">
        <v>168</v>
      </c>
      <c r="B186" s="23" t="s">
        <v>298</v>
      </c>
      <c r="C186" s="22" t="s">
        <v>286</v>
      </c>
      <c r="D186" s="21">
        <v>2018</v>
      </c>
    </row>
    <row r="187" spans="1:4" x14ac:dyDescent="0.25">
      <c r="A187" t="s">
        <v>169</v>
      </c>
      <c r="B187" s="23" t="s">
        <v>298</v>
      </c>
      <c r="C187" s="22" t="s">
        <v>286</v>
      </c>
      <c r="D187" s="21">
        <v>2018</v>
      </c>
    </row>
    <row r="188" spans="1:4" x14ac:dyDescent="0.25">
      <c r="A188" t="s">
        <v>170</v>
      </c>
      <c r="B188" s="23" t="s">
        <v>298</v>
      </c>
      <c r="C188" s="22" t="s">
        <v>286</v>
      </c>
      <c r="D188" s="21">
        <v>2018</v>
      </c>
    </row>
    <row r="189" spans="1:4" x14ac:dyDescent="0.25">
      <c r="A189" t="s">
        <v>171</v>
      </c>
      <c r="B189" s="23" t="s">
        <v>298</v>
      </c>
      <c r="C189" s="22" t="s">
        <v>286</v>
      </c>
      <c r="D189" s="21">
        <v>2018</v>
      </c>
    </row>
    <row r="190" spans="1:4" x14ac:dyDescent="0.25">
      <c r="A190" t="s">
        <v>172</v>
      </c>
      <c r="B190" s="23" t="s">
        <v>298</v>
      </c>
      <c r="C190" s="22" t="s">
        <v>283</v>
      </c>
      <c r="D190" s="21">
        <v>2018</v>
      </c>
    </row>
    <row r="191" spans="1:4" x14ac:dyDescent="0.25">
      <c r="A191" t="s">
        <v>173</v>
      </c>
      <c r="B191" s="23" t="s">
        <v>298</v>
      </c>
      <c r="C191" s="22" t="s">
        <v>283</v>
      </c>
      <c r="D191" s="21">
        <v>2018</v>
      </c>
    </row>
    <row r="192" spans="1:4" x14ac:dyDescent="0.25">
      <c r="A192" t="s">
        <v>174</v>
      </c>
      <c r="B192" s="23" t="s">
        <v>298</v>
      </c>
      <c r="C192" s="22" t="s">
        <v>283</v>
      </c>
      <c r="D192" s="21">
        <v>2018</v>
      </c>
    </row>
    <row r="193" spans="1:4" x14ac:dyDescent="0.25">
      <c r="A193" t="s">
        <v>175</v>
      </c>
      <c r="B193" s="23" t="s">
        <v>298</v>
      </c>
      <c r="C193" s="22" t="s">
        <v>283</v>
      </c>
      <c r="D193" s="21">
        <v>2018</v>
      </c>
    </row>
    <row r="194" spans="1:4" x14ac:dyDescent="0.25">
      <c r="A194" t="s">
        <v>176</v>
      </c>
      <c r="B194" s="23" t="s">
        <v>298</v>
      </c>
      <c r="C194" s="22" t="s">
        <v>283</v>
      </c>
      <c r="D194" s="21">
        <v>2018</v>
      </c>
    </row>
    <row r="195" spans="1:4" x14ac:dyDescent="0.25">
      <c r="A195" t="s">
        <v>177</v>
      </c>
      <c r="B195" s="23" t="s">
        <v>298</v>
      </c>
      <c r="C195" s="22" t="s">
        <v>283</v>
      </c>
      <c r="D195" s="21">
        <v>2018</v>
      </c>
    </row>
    <row r="196" spans="1:4" x14ac:dyDescent="0.25">
      <c r="A196" t="s">
        <v>178</v>
      </c>
      <c r="B196" s="23" t="s">
        <v>298</v>
      </c>
      <c r="C196" s="22" t="s">
        <v>283</v>
      </c>
      <c r="D196" s="21">
        <v>2018</v>
      </c>
    </row>
    <row r="197" spans="1:4" x14ac:dyDescent="0.25">
      <c r="A197" t="s">
        <v>179</v>
      </c>
      <c r="B197" s="23" t="s">
        <v>298</v>
      </c>
      <c r="C197" s="22" t="s">
        <v>283</v>
      </c>
      <c r="D197" s="21">
        <v>2018</v>
      </c>
    </row>
    <row r="198" spans="1:4" x14ac:dyDescent="0.25">
      <c r="A198" t="s">
        <v>180</v>
      </c>
      <c r="B198" s="23" t="s">
        <v>298</v>
      </c>
      <c r="C198" s="22" t="s">
        <v>283</v>
      </c>
      <c r="D198" s="21">
        <v>2018</v>
      </c>
    </row>
    <row r="199" spans="1:4" x14ac:dyDescent="0.25">
      <c r="A199" t="s">
        <v>181</v>
      </c>
      <c r="B199" s="23" t="s">
        <v>298</v>
      </c>
      <c r="C199" s="22" t="s">
        <v>283</v>
      </c>
      <c r="D199" s="21">
        <v>2018</v>
      </c>
    </row>
    <row r="200" spans="1:4" x14ac:dyDescent="0.25">
      <c r="A200" t="s">
        <v>182</v>
      </c>
      <c r="B200" s="23" t="s">
        <v>298</v>
      </c>
      <c r="C200" s="22" t="s">
        <v>283</v>
      </c>
      <c r="D200" s="21">
        <v>2018</v>
      </c>
    </row>
    <row r="201" spans="1:4" x14ac:dyDescent="0.25">
      <c r="A201" t="s">
        <v>183</v>
      </c>
      <c r="B201" s="23" t="s">
        <v>298</v>
      </c>
      <c r="C201" s="22" t="s">
        <v>283</v>
      </c>
      <c r="D201" s="21">
        <v>2018</v>
      </c>
    </row>
    <row r="202" spans="1:4" x14ac:dyDescent="0.25">
      <c r="A202" t="s">
        <v>184</v>
      </c>
      <c r="B202" s="23" t="s">
        <v>283</v>
      </c>
      <c r="C202" s="22" t="s">
        <v>286</v>
      </c>
      <c r="D202" s="21">
        <v>2018</v>
      </c>
    </row>
    <row r="203" spans="1:4" x14ac:dyDescent="0.25">
      <c r="A203" t="s">
        <v>185</v>
      </c>
      <c r="B203" s="23" t="s">
        <v>283</v>
      </c>
      <c r="C203" s="22" t="s">
        <v>286</v>
      </c>
      <c r="D203" s="21">
        <v>2018</v>
      </c>
    </row>
    <row r="204" spans="1:4" x14ac:dyDescent="0.25">
      <c r="A204" t="s">
        <v>186</v>
      </c>
      <c r="B204" s="23" t="s">
        <v>283</v>
      </c>
      <c r="C204" s="22" t="s">
        <v>286</v>
      </c>
      <c r="D204" s="21">
        <v>2018</v>
      </c>
    </row>
    <row r="205" spans="1:4" x14ac:dyDescent="0.25">
      <c r="A205" t="s">
        <v>187</v>
      </c>
      <c r="B205" s="23" t="s">
        <v>283</v>
      </c>
      <c r="C205" s="22" t="s">
        <v>286</v>
      </c>
      <c r="D205" s="21">
        <v>2018</v>
      </c>
    </row>
    <row r="206" spans="1:4" x14ac:dyDescent="0.25">
      <c r="A206" t="s">
        <v>188</v>
      </c>
      <c r="B206" s="23" t="s">
        <v>283</v>
      </c>
      <c r="C206" s="22" t="s">
        <v>286</v>
      </c>
      <c r="D206" s="21">
        <v>2018</v>
      </c>
    </row>
    <row r="207" spans="1:4" x14ac:dyDescent="0.25">
      <c r="A207" t="s">
        <v>189</v>
      </c>
      <c r="B207" s="23" t="s">
        <v>283</v>
      </c>
      <c r="C207" s="22" t="s">
        <v>286</v>
      </c>
      <c r="D207" s="21">
        <v>2018</v>
      </c>
    </row>
    <row r="208" spans="1:4" x14ac:dyDescent="0.25">
      <c r="A208" t="s">
        <v>190</v>
      </c>
      <c r="B208" s="23" t="s">
        <v>283</v>
      </c>
      <c r="C208" s="22" t="s">
        <v>286</v>
      </c>
      <c r="D208" s="21">
        <v>2018</v>
      </c>
    </row>
    <row r="209" spans="1:4" x14ac:dyDescent="0.25">
      <c r="A209" t="s">
        <v>191</v>
      </c>
      <c r="B209" s="23" t="s">
        <v>283</v>
      </c>
      <c r="C209" s="22" t="s">
        <v>286</v>
      </c>
      <c r="D209" s="21">
        <v>2018</v>
      </c>
    </row>
    <row r="210" spans="1:4" x14ac:dyDescent="0.25">
      <c r="A210" t="s">
        <v>192</v>
      </c>
      <c r="B210" s="23" t="s">
        <v>283</v>
      </c>
      <c r="C210" s="22" t="s">
        <v>286</v>
      </c>
      <c r="D210" s="21">
        <v>2018</v>
      </c>
    </row>
    <row r="211" spans="1:4" x14ac:dyDescent="0.25">
      <c r="A211" t="s">
        <v>193</v>
      </c>
      <c r="B211" s="23" t="s">
        <v>283</v>
      </c>
      <c r="C211" s="22" t="s">
        <v>286</v>
      </c>
      <c r="D211" s="21">
        <v>2018</v>
      </c>
    </row>
    <row r="212" spans="1:4" x14ac:dyDescent="0.25">
      <c r="A212" t="s">
        <v>194</v>
      </c>
      <c r="B212" s="23" t="s">
        <v>283</v>
      </c>
      <c r="C212" s="22" t="s">
        <v>286</v>
      </c>
      <c r="D212" s="21">
        <v>2018</v>
      </c>
    </row>
    <row r="213" spans="1:4" x14ac:dyDescent="0.25">
      <c r="A213" t="s">
        <v>195</v>
      </c>
      <c r="B213" s="23" t="s">
        <v>283</v>
      </c>
      <c r="C213" s="22" t="s">
        <v>286</v>
      </c>
      <c r="D213" s="21">
        <v>2018</v>
      </c>
    </row>
    <row r="214" spans="1:4" x14ac:dyDescent="0.25">
      <c r="A214" t="s">
        <v>135</v>
      </c>
      <c r="B214" s="23" t="s">
        <v>283</v>
      </c>
      <c r="C214" s="22" t="s">
        <v>286</v>
      </c>
      <c r="D214" s="21">
        <v>2018</v>
      </c>
    </row>
    <row r="215" spans="1:4" x14ac:dyDescent="0.25">
      <c r="A215" t="s">
        <v>136</v>
      </c>
      <c r="B215" s="23" t="s">
        <v>283</v>
      </c>
      <c r="C215" s="22" t="s">
        <v>286</v>
      </c>
      <c r="D215" s="21">
        <v>2018</v>
      </c>
    </row>
    <row r="216" spans="1:4" x14ac:dyDescent="0.25">
      <c r="A216" t="s">
        <v>137</v>
      </c>
      <c r="B216" s="23" t="s">
        <v>283</v>
      </c>
      <c r="C216" s="22" t="s">
        <v>286</v>
      </c>
      <c r="D216" s="21">
        <v>2018</v>
      </c>
    </row>
    <row r="217" spans="1:4" x14ac:dyDescent="0.25">
      <c r="A217" t="s">
        <v>138</v>
      </c>
      <c r="B217" s="23" t="s">
        <v>283</v>
      </c>
      <c r="C217" s="22" t="s">
        <v>286</v>
      </c>
      <c r="D217" s="21">
        <v>2018</v>
      </c>
    </row>
    <row r="218" spans="1:4" x14ac:dyDescent="0.25">
      <c r="A218" t="s">
        <v>139</v>
      </c>
      <c r="B218" s="23" t="s">
        <v>286</v>
      </c>
      <c r="C218" s="22" t="s">
        <v>286</v>
      </c>
      <c r="D218" s="21">
        <v>2018</v>
      </c>
    </row>
    <row r="219" spans="1:4" x14ac:dyDescent="0.25">
      <c r="A219" t="s">
        <v>140</v>
      </c>
      <c r="B219" s="23" t="s">
        <v>286</v>
      </c>
      <c r="C219" s="22" t="s">
        <v>286</v>
      </c>
      <c r="D219" s="21">
        <v>2018</v>
      </c>
    </row>
    <row r="220" spans="1:4" x14ac:dyDescent="0.25">
      <c r="A220" t="s">
        <v>141</v>
      </c>
      <c r="B220" s="23" t="s">
        <v>286</v>
      </c>
      <c r="C220" s="22" t="s">
        <v>286</v>
      </c>
      <c r="D220" s="21">
        <v>2018</v>
      </c>
    </row>
    <row r="221" spans="1:4" x14ac:dyDescent="0.25">
      <c r="A221" t="s">
        <v>142</v>
      </c>
      <c r="B221" s="23" t="s">
        <v>286</v>
      </c>
      <c r="C221" s="22" t="s">
        <v>286</v>
      </c>
      <c r="D221" s="21">
        <v>2018</v>
      </c>
    </row>
    <row r="222" spans="1:4" x14ac:dyDescent="0.25">
      <c r="A222" t="s">
        <v>143</v>
      </c>
      <c r="B222" s="23" t="s">
        <v>283</v>
      </c>
      <c r="C222" s="22" t="s">
        <v>286</v>
      </c>
      <c r="D222" s="21">
        <v>2018</v>
      </c>
    </row>
    <row r="223" spans="1:4" x14ac:dyDescent="0.25">
      <c r="A223" t="s">
        <v>144</v>
      </c>
      <c r="B223" s="23" t="s">
        <v>283</v>
      </c>
      <c r="C223" s="22" t="s">
        <v>286</v>
      </c>
      <c r="D223" s="21">
        <v>2018</v>
      </c>
    </row>
    <row r="224" spans="1:4" x14ac:dyDescent="0.25">
      <c r="A224" t="s">
        <v>145</v>
      </c>
      <c r="B224" s="23" t="s">
        <v>283</v>
      </c>
      <c r="C224" s="22" t="s">
        <v>286</v>
      </c>
      <c r="D224" s="21">
        <v>2018</v>
      </c>
    </row>
    <row r="225" spans="1:4" x14ac:dyDescent="0.25">
      <c r="A225" t="s">
        <v>146</v>
      </c>
      <c r="B225" s="23" t="s">
        <v>283</v>
      </c>
      <c r="C225" s="22" t="s">
        <v>286</v>
      </c>
      <c r="D225" s="21">
        <v>2018</v>
      </c>
    </row>
    <row r="226" spans="1:4" x14ac:dyDescent="0.25">
      <c r="A226" t="s">
        <v>147</v>
      </c>
      <c r="B226" s="23" t="s">
        <v>283</v>
      </c>
      <c r="C226" s="22" t="s">
        <v>286</v>
      </c>
      <c r="D226" s="21">
        <v>2018</v>
      </c>
    </row>
    <row r="227" spans="1:4" x14ac:dyDescent="0.25">
      <c r="A227" t="s">
        <v>149</v>
      </c>
      <c r="B227" s="23" t="s">
        <v>283</v>
      </c>
      <c r="C227" s="22" t="s">
        <v>286</v>
      </c>
      <c r="D227" s="21">
        <v>2018</v>
      </c>
    </row>
    <row r="228" spans="1:4" x14ac:dyDescent="0.25">
      <c r="A228" t="s">
        <v>150</v>
      </c>
      <c r="B228" s="23" t="s">
        <v>283</v>
      </c>
      <c r="C228" s="22" t="s">
        <v>286</v>
      </c>
      <c r="D228" s="21">
        <v>2018</v>
      </c>
    </row>
    <row r="229" spans="1:4" x14ac:dyDescent="0.25">
      <c r="A229" t="s">
        <v>151</v>
      </c>
      <c r="B229" s="23" t="s">
        <v>298</v>
      </c>
      <c r="C229" s="22" t="s">
        <v>286</v>
      </c>
      <c r="D229" s="21">
        <v>2018</v>
      </c>
    </row>
    <row r="230" spans="1:4" x14ac:dyDescent="0.25">
      <c r="A230" t="s">
        <v>152</v>
      </c>
      <c r="B230" s="23" t="s">
        <v>298</v>
      </c>
      <c r="C230" s="22" t="s">
        <v>286</v>
      </c>
      <c r="D230" s="21">
        <v>2018</v>
      </c>
    </row>
    <row r="231" spans="1:4" x14ac:dyDescent="0.25">
      <c r="A231" t="s">
        <v>153</v>
      </c>
      <c r="B231" s="23" t="s">
        <v>298</v>
      </c>
      <c r="C231" s="22" t="s">
        <v>286</v>
      </c>
      <c r="D231" s="21">
        <v>2018</v>
      </c>
    </row>
    <row r="232" spans="1:4" x14ac:dyDescent="0.25">
      <c r="A232" t="s">
        <v>154</v>
      </c>
      <c r="B232" s="23" t="s">
        <v>298</v>
      </c>
      <c r="C232" s="22" t="s">
        <v>286</v>
      </c>
      <c r="D232" s="21">
        <v>2018</v>
      </c>
    </row>
    <row r="233" spans="1:4" x14ac:dyDescent="0.25">
      <c r="A233" t="s">
        <v>155</v>
      </c>
      <c r="B233" s="23" t="s">
        <v>283</v>
      </c>
      <c r="C233" s="22" t="s">
        <v>286</v>
      </c>
      <c r="D233" s="21">
        <v>2018</v>
      </c>
    </row>
    <row r="234" spans="1:4" x14ac:dyDescent="0.25">
      <c r="A234" t="s">
        <v>156</v>
      </c>
      <c r="B234" s="23" t="s">
        <v>283</v>
      </c>
      <c r="C234" s="22" t="s">
        <v>286</v>
      </c>
      <c r="D234" s="21">
        <v>2018</v>
      </c>
    </row>
    <row r="235" spans="1:4" x14ac:dyDescent="0.25">
      <c r="A235" t="s">
        <v>157</v>
      </c>
      <c r="B235" s="23" t="s">
        <v>283</v>
      </c>
      <c r="C235" s="22" t="s">
        <v>286</v>
      </c>
      <c r="D235" s="21">
        <v>2018</v>
      </c>
    </row>
    <row r="236" spans="1:4" x14ac:dyDescent="0.25">
      <c r="A236" t="s">
        <v>158</v>
      </c>
      <c r="B236" s="23" t="s">
        <v>283</v>
      </c>
      <c r="C236" s="22" t="s">
        <v>286</v>
      </c>
      <c r="D236" s="21">
        <v>2018</v>
      </c>
    </row>
    <row r="237" spans="1:4" x14ac:dyDescent="0.25">
      <c r="A237" t="s">
        <v>172</v>
      </c>
      <c r="B237" t="s">
        <v>298</v>
      </c>
      <c r="C237" s="22" t="s">
        <v>283</v>
      </c>
      <c r="D237" s="21">
        <v>2018</v>
      </c>
    </row>
    <row r="238" spans="1:4" x14ac:dyDescent="0.25">
      <c r="A238" t="s">
        <v>173</v>
      </c>
      <c r="B238" t="s">
        <v>298</v>
      </c>
      <c r="C238" s="22" t="s">
        <v>283</v>
      </c>
      <c r="D238" s="21">
        <v>2018</v>
      </c>
    </row>
    <row r="239" spans="1:4" x14ac:dyDescent="0.25">
      <c r="A239" t="s">
        <v>174</v>
      </c>
      <c r="B239" t="s">
        <v>298</v>
      </c>
      <c r="C239" s="22" t="s">
        <v>283</v>
      </c>
      <c r="D239" s="21">
        <v>2018</v>
      </c>
    </row>
    <row r="240" spans="1:4" x14ac:dyDescent="0.25">
      <c r="A240" t="s">
        <v>176</v>
      </c>
      <c r="B240" t="s">
        <v>298</v>
      </c>
      <c r="C240" s="22" t="s">
        <v>283</v>
      </c>
      <c r="D240" s="21">
        <v>2018</v>
      </c>
    </row>
    <row r="241" spans="1:4" x14ac:dyDescent="0.25">
      <c r="A241" t="s">
        <v>177</v>
      </c>
      <c r="B241" t="s">
        <v>298</v>
      </c>
      <c r="C241" s="22" t="s">
        <v>283</v>
      </c>
      <c r="D241" s="21">
        <v>2018</v>
      </c>
    </row>
    <row r="242" spans="1:4" x14ac:dyDescent="0.25">
      <c r="A242" t="s">
        <v>178</v>
      </c>
      <c r="B242" t="s">
        <v>298</v>
      </c>
      <c r="C242" s="22" t="s">
        <v>283</v>
      </c>
      <c r="D242" s="21">
        <v>2018</v>
      </c>
    </row>
    <row r="243" spans="1:4" x14ac:dyDescent="0.25">
      <c r="A243" t="s">
        <v>179</v>
      </c>
      <c r="B243" t="s">
        <v>298</v>
      </c>
      <c r="C243" s="22" t="s">
        <v>283</v>
      </c>
      <c r="D243" s="21">
        <v>2018</v>
      </c>
    </row>
    <row r="244" spans="1:4" x14ac:dyDescent="0.25">
      <c r="A244" t="s">
        <v>180</v>
      </c>
      <c r="B244" t="s">
        <v>298</v>
      </c>
      <c r="C244" s="22" t="s">
        <v>283</v>
      </c>
      <c r="D244" s="21">
        <v>2018</v>
      </c>
    </row>
    <row r="245" spans="1:4" x14ac:dyDescent="0.25">
      <c r="A245" t="s">
        <v>181</v>
      </c>
      <c r="B245" t="s">
        <v>298</v>
      </c>
      <c r="C245" s="22" t="s">
        <v>283</v>
      </c>
      <c r="D245" s="21">
        <v>2018</v>
      </c>
    </row>
    <row r="246" spans="1:4" x14ac:dyDescent="0.25">
      <c r="A246" t="s">
        <v>182</v>
      </c>
      <c r="B246" t="s">
        <v>298</v>
      </c>
      <c r="C246" s="22" t="s">
        <v>283</v>
      </c>
      <c r="D246" s="21">
        <v>2018</v>
      </c>
    </row>
    <row r="247" spans="1:4" x14ac:dyDescent="0.25">
      <c r="A247" t="s">
        <v>183</v>
      </c>
      <c r="B247" t="s">
        <v>298</v>
      </c>
      <c r="C247" s="22" t="s">
        <v>283</v>
      </c>
      <c r="D247" s="21">
        <v>2018</v>
      </c>
    </row>
    <row r="248" spans="1:4" x14ac:dyDescent="0.25">
      <c r="A248" t="s">
        <v>184</v>
      </c>
      <c r="B248" t="s">
        <v>283</v>
      </c>
      <c r="C248" s="22" t="s">
        <v>286</v>
      </c>
      <c r="D248" s="21">
        <v>2018</v>
      </c>
    </row>
    <row r="249" spans="1:4" x14ac:dyDescent="0.25">
      <c r="A249" t="s">
        <v>185</v>
      </c>
      <c r="B249" t="s">
        <v>283</v>
      </c>
      <c r="C249" s="22" t="s">
        <v>286</v>
      </c>
      <c r="D249" s="21">
        <v>2018</v>
      </c>
    </row>
    <row r="250" spans="1:4" x14ac:dyDescent="0.25">
      <c r="A250" t="s">
        <v>186</v>
      </c>
      <c r="B250" t="s">
        <v>283</v>
      </c>
      <c r="C250" s="22" t="s">
        <v>286</v>
      </c>
      <c r="D250" s="21">
        <v>2018</v>
      </c>
    </row>
    <row r="251" spans="1:4" x14ac:dyDescent="0.25">
      <c r="A251" t="s">
        <v>187</v>
      </c>
      <c r="B251" t="s">
        <v>283</v>
      </c>
      <c r="C251" s="22" t="s">
        <v>286</v>
      </c>
      <c r="D251" s="21">
        <v>2018</v>
      </c>
    </row>
    <row r="252" spans="1:4" x14ac:dyDescent="0.25">
      <c r="A252" t="s">
        <v>188</v>
      </c>
      <c r="B252" t="s">
        <v>283</v>
      </c>
      <c r="C252" s="22" t="s">
        <v>286</v>
      </c>
      <c r="D252" s="21">
        <v>2018</v>
      </c>
    </row>
    <row r="253" spans="1:4" x14ac:dyDescent="0.25">
      <c r="A253" t="s">
        <v>189</v>
      </c>
      <c r="B253" t="s">
        <v>283</v>
      </c>
      <c r="C253" s="22" t="s">
        <v>286</v>
      </c>
      <c r="D253" s="21">
        <v>2018</v>
      </c>
    </row>
    <row r="254" spans="1:4" x14ac:dyDescent="0.25">
      <c r="A254" t="s">
        <v>190</v>
      </c>
      <c r="B254" t="s">
        <v>283</v>
      </c>
      <c r="C254" s="22" t="s">
        <v>286</v>
      </c>
      <c r="D254" s="21">
        <v>2018</v>
      </c>
    </row>
    <row r="255" spans="1:4" x14ac:dyDescent="0.25">
      <c r="A255" t="s">
        <v>191</v>
      </c>
      <c r="B255" t="s">
        <v>283</v>
      </c>
      <c r="C255" s="22" t="s">
        <v>286</v>
      </c>
      <c r="D255" s="21">
        <v>2018</v>
      </c>
    </row>
    <row r="256" spans="1:4" x14ac:dyDescent="0.25">
      <c r="A256" t="s">
        <v>192</v>
      </c>
      <c r="B256" t="s">
        <v>283</v>
      </c>
      <c r="C256" s="22" t="s">
        <v>286</v>
      </c>
      <c r="D256" s="21">
        <v>2018</v>
      </c>
    </row>
    <row r="257" spans="1:4" x14ac:dyDescent="0.25">
      <c r="A257" t="s">
        <v>193</v>
      </c>
      <c r="B257" t="s">
        <v>283</v>
      </c>
      <c r="C257" s="22" t="s">
        <v>286</v>
      </c>
      <c r="D257" s="21">
        <v>2018</v>
      </c>
    </row>
    <row r="258" spans="1:4" x14ac:dyDescent="0.25">
      <c r="A258" t="s">
        <v>194</v>
      </c>
      <c r="B258" t="s">
        <v>283</v>
      </c>
      <c r="C258" s="22" t="s">
        <v>286</v>
      </c>
      <c r="D258" s="21">
        <v>2018</v>
      </c>
    </row>
    <row r="259" spans="1:4" x14ac:dyDescent="0.25">
      <c r="A259" t="s">
        <v>195</v>
      </c>
      <c r="B259" t="s">
        <v>283</v>
      </c>
      <c r="C259" s="22" t="s">
        <v>286</v>
      </c>
      <c r="D259" s="21">
        <v>2018</v>
      </c>
    </row>
    <row r="260" spans="1:4" x14ac:dyDescent="0.25">
      <c r="A260" t="s">
        <v>196</v>
      </c>
      <c r="B260" t="s">
        <v>283</v>
      </c>
      <c r="C260" s="22" t="s">
        <v>286</v>
      </c>
      <c r="D260" s="21">
        <v>2018</v>
      </c>
    </row>
    <row r="261" spans="1:4" x14ac:dyDescent="0.25">
      <c r="A261" t="s">
        <v>197</v>
      </c>
      <c r="B261" t="s">
        <v>283</v>
      </c>
      <c r="C261" s="22" t="s">
        <v>286</v>
      </c>
      <c r="D261" s="21">
        <v>2018</v>
      </c>
    </row>
    <row r="262" spans="1:4" x14ac:dyDescent="0.25">
      <c r="A262" t="s">
        <v>198</v>
      </c>
      <c r="B262" t="s">
        <v>283</v>
      </c>
      <c r="C262" s="22" t="s">
        <v>286</v>
      </c>
      <c r="D262" s="21">
        <v>2018</v>
      </c>
    </row>
    <row r="263" spans="1:4" x14ac:dyDescent="0.25">
      <c r="A263" t="s">
        <v>199</v>
      </c>
      <c r="B263" t="s">
        <v>283</v>
      </c>
      <c r="C263" s="22" t="s">
        <v>286</v>
      </c>
      <c r="D263" s="21">
        <v>2018</v>
      </c>
    </row>
    <row r="264" spans="1:4" x14ac:dyDescent="0.25">
      <c r="A264" t="s">
        <v>200</v>
      </c>
      <c r="B264" t="s">
        <v>283</v>
      </c>
      <c r="C264" s="22" t="s">
        <v>286</v>
      </c>
      <c r="D264" s="21">
        <v>2018</v>
      </c>
    </row>
    <row r="265" spans="1:4" x14ac:dyDescent="0.25">
      <c r="A265" t="s">
        <v>201</v>
      </c>
      <c r="B265" t="s">
        <v>283</v>
      </c>
      <c r="C265" s="22" t="s">
        <v>286</v>
      </c>
      <c r="D265" s="21">
        <v>2018</v>
      </c>
    </row>
    <row r="266" spans="1:4" x14ac:dyDescent="0.25">
      <c r="A266" t="s">
        <v>202</v>
      </c>
      <c r="B266" t="s">
        <v>283</v>
      </c>
      <c r="C266" s="22" t="s">
        <v>286</v>
      </c>
      <c r="D266" s="21">
        <v>2018</v>
      </c>
    </row>
    <row r="267" spans="1:4" x14ac:dyDescent="0.25">
      <c r="A267" t="s">
        <v>203</v>
      </c>
      <c r="B267" t="s">
        <v>283</v>
      </c>
      <c r="C267" s="22" t="s">
        <v>286</v>
      </c>
      <c r="D267" s="21">
        <v>2018</v>
      </c>
    </row>
    <row r="268" spans="1:4" x14ac:dyDescent="0.25">
      <c r="A268" t="s">
        <v>204</v>
      </c>
      <c r="B268" t="s">
        <v>283</v>
      </c>
      <c r="C268" s="22" t="s">
        <v>286</v>
      </c>
      <c r="D268" s="21">
        <v>2018</v>
      </c>
    </row>
    <row r="269" spans="1:4" x14ac:dyDescent="0.25">
      <c r="A269" t="s">
        <v>205</v>
      </c>
      <c r="B269" t="s">
        <v>283</v>
      </c>
      <c r="C269" s="22" t="s">
        <v>286</v>
      </c>
      <c r="D269" s="21">
        <v>2018</v>
      </c>
    </row>
    <row r="270" spans="1:4" x14ac:dyDescent="0.25">
      <c r="A270" t="s">
        <v>206</v>
      </c>
      <c r="B270" t="s">
        <v>283</v>
      </c>
      <c r="C270" s="22" t="s">
        <v>286</v>
      </c>
      <c r="D270" s="21">
        <v>2018</v>
      </c>
    </row>
    <row r="271" spans="1:4" x14ac:dyDescent="0.25">
      <c r="A271" t="s">
        <v>207</v>
      </c>
      <c r="B271" t="s">
        <v>283</v>
      </c>
      <c r="C271" s="22" t="s">
        <v>286</v>
      </c>
      <c r="D271" s="21">
        <v>2018</v>
      </c>
    </row>
    <row r="272" spans="1:4" x14ac:dyDescent="0.25">
      <c r="A272" t="s">
        <v>208</v>
      </c>
      <c r="B272" t="s">
        <v>283</v>
      </c>
      <c r="C272" s="22" t="s">
        <v>283</v>
      </c>
      <c r="D272" s="21">
        <v>2018</v>
      </c>
    </row>
    <row r="273" spans="1:4" x14ac:dyDescent="0.25">
      <c r="A273" t="s">
        <v>209</v>
      </c>
      <c r="B273" t="s">
        <v>283</v>
      </c>
      <c r="C273" s="22" t="s">
        <v>283</v>
      </c>
      <c r="D273" s="21">
        <v>2018</v>
      </c>
    </row>
    <row r="274" spans="1:4" x14ac:dyDescent="0.25">
      <c r="A274" t="s">
        <v>210</v>
      </c>
      <c r="B274" t="s">
        <v>283</v>
      </c>
      <c r="C274" s="22" t="s">
        <v>283</v>
      </c>
      <c r="D274" s="21">
        <v>2018</v>
      </c>
    </row>
    <row r="275" spans="1:4" x14ac:dyDescent="0.25">
      <c r="A275" t="s">
        <v>211</v>
      </c>
      <c r="B275" t="s">
        <v>283</v>
      </c>
      <c r="C275" s="22" t="s">
        <v>283</v>
      </c>
      <c r="D275" s="21">
        <v>2018</v>
      </c>
    </row>
    <row r="276" spans="1:4" x14ac:dyDescent="0.25">
      <c r="A276" t="s">
        <v>212</v>
      </c>
      <c r="B276" t="s">
        <v>286</v>
      </c>
      <c r="C276" s="22" t="s">
        <v>286</v>
      </c>
      <c r="D276" s="21">
        <v>2018</v>
      </c>
    </row>
    <row r="277" spans="1:4" x14ac:dyDescent="0.25">
      <c r="A277" t="s">
        <v>262</v>
      </c>
      <c r="B277" t="s">
        <v>286</v>
      </c>
      <c r="C277" s="22" t="s">
        <v>286</v>
      </c>
      <c r="D277" s="21">
        <v>2018</v>
      </c>
    </row>
    <row r="278" spans="1:4" x14ac:dyDescent="0.25">
      <c r="A278" t="s">
        <v>213</v>
      </c>
      <c r="B278" t="s">
        <v>286</v>
      </c>
      <c r="C278" s="22" t="s">
        <v>286</v>
      </c>
      <c r="D278" s="21">
        <v>2018</v>
      </c>
    </row>
    <row r="279" spans="1:4" x14ac:dyDescent="0.25">
      <c r="A279" t="s">
        <v>214</v>
      </c>
      <c r="B279" t="s">
        <v>286</v>
      </c>
      <c r="C279" s="22" t="s">
        <v>286</v>
      </c>
      <c r="D279" s="21">
        <v>2018</v>
      </c>
    </row>
    <row r="280" spans="1:4" x14ac:dyDescent="0.25">
      <c r="A280" t="s">
        <v>215</v>
      </c>
      <c r="B280" t="s">
        <v>286</v>
      </c>
      <c r="C280" s="22" t="s">
        <v>283</v>
      </c>
      <c r="D280" s="21">
        <v>2018</v>
      </c>
    </row>
    <row r="281" spans="1:4" x14ac:dyDescent="0.25">
      <c r="A281" t="s">
        <v>216</v>
      </c>
      <c r="B281" t="s">
        <v>286</v>
      </c>
      <c r="C281" s="22" t="s">
        <v>283</v>
      </c>
      <c r="D281" s="21">
        <v>2018</v>
      </c>
    </row>
    <row r="282" spans="1:4" x14ac:dyDescent="0.25">
      <c r="A282" t="s">
        <v>217</v>
      </c>
      <c r="B282" t="s">
        <v>286</v>
      </c>
      <c r="C282" s="22" t="s">
        <v>283</v>
      </c>
      <c r="D282" s="21">
        <v>2018</v>
      </c>
    </row>
    <row r="283" spans="1:4" x14ac:dyDescent="0.25">
      <c r="A283" t="s">
        <v>263</v>
      </c>
      <c r="B283" t="s">
        <v>286</v>
      </c>
      <c r="C283" s="22" t="s">
        <v>283</v>
      </c>
      <c r="D283" s="21">
        <v>2018</v>
      </c>
    </row>
    <row r="284" spans="1:4" x14ac:dyDescent="0.25">
      <c r="A284" t="s">
        <v>230</v>
      </c>
      <c r="B284" t="s">
        <v>283</v>
      </c>
      <c r="C284" s="22" t="s">
        <v>286</v>
      </c>
      <c r="D284" s="21">
        <v>2018</v>
      </c>
    </row>
    <row r="285" spans="1:4" x14ac:dyDescent="0.25">
      <c r="A285" t="s">
        <v>231</v>
      </c>
      <c r="B285" t="s">
        <v>283</v>
      </c>
      <c r="C285" s="22" t="s">
        <v>286</v>
      </c>
      <c r="D285" s="21">
        <v>2018</v>
      </c>
    </row>
    <row r="286" spans="1:4" x14ac:dyDescent="0.25">
      <c r="A286" t="s">
        <v>232</v>
      </c>
      <c r="B286" t="s">
        <v>283</v>
      </c>
      <c r="C286" s="22" t="s">
        <v>286</v>
      </c>
      <c r="D286" s="21">
        <v>2018</v>
      </c>
    </row>
    <row r="287" spans="1:4" x14ac:dyDescent="0.25">
      <c r="A287" t="s">
        <v>233</v>
      </c>
      <c r="B287" t="s">
        <v>283</v>
      </c>
      <c r="C287" s="22" t="s">
        <v>286</v>
      </c>
      <c r="D287" s="21">
        <v>2018</v>
      </c>
    </row>
    <row r="288" spans="1:4" x14ac:dyDescent="0.25">
      <c r="A288" t="s">
        <v>234</v>
      </c>
      <c r="B288" t="s">
        <v>283</v>
      </c>
      <c r="C288" s="22" t="s">
        <v>283</v>
      </c>
      <c r="D288" s="21">
        <v>2018</v>
      </c>
    </row>
    <row r="289" spans="1:4" x14ac:dyDescent="0.25">
      <c r="A289" t="s">
        <v>235</v>
      </c>
      <c r="B289" t="s">
        <v>283</v>
      </c>
      <c r="C289" s="22" t="s">
        <v>283</v>
      </c>
      <c r="D289" s="21">
        <v>2018</v>
      </c>
    </row>
    <row r="290" spans="1:4" x14ac:dyDescent="0.25">
      <c r="A290" t="s">
        <v>236</v>
      </c>
      <c r="B290" t="s">
        <v>283</v>
      </c>
      <c r="C290" s="22" t="s">
        <v>283</v>
      </c>
      <c r="D290" s="21">
        <v>2018</v>
      </c>
    </row>
    <row r="291" spans="1:4" x14ac:dyDescent="0.25">
      <c r="A291" t="s">
        <v>237</v>
      </c>
      <c r="B291" t="s">
        <v>283</v>
      </c>
      <c r="C291" s="22" t="s">
        <v>283</v>
      </c>
      <c r="D291" s="21">
        <v>2018</v>
      </c>
    </row>
    <row r="292" spans="1:4" x14ac:dyDescent="0.25">
      <c r="A292" t="s">
        <v>238</v>
      </c>
      <c r="B292" t="s">
        <v>283</v>
      </c>
      <c r="C292" s="22" t="s">
        <v>286</v>
      </c>
      <c r="D292" s="21">
        <v>2018</v>
      </c>
    </row>
    <row r="293" spans="1:4" x14ac:dyDescent="0.25">
      <c r="A293" t="s">
        <v>239</v>
      </c>
      <c r="B293" t="s">
        <v>283</v>
      </c>
      <c r="C293" s="22" t="s">
        <v>286</v>
      </c>
      <c r="D293" s="21">
        <v>2018</v>
      </c>
    </row>
    <row r="294" spans="1:4" x14ac:dyDescent="0.25">
      <c r="A294" t="s">
        <v>240</v>
      </c>
      <c r="B294" t="s">
        <v>283</v>
      </c>
      <c r="C294" s="22" t="s">
        <v>286</v>
      </c>
      <c r="D294" s="21">
        <v>2018</v>
      </c>
    </row>
    <row r="295" spans="1:4" x14ac:dyDescent="0.25">
      <c r="A295" s="11" t="s">
        <v>241</v>
      </c>
      <c r="B295" t="s">
        <v>283</v>
      </c>
      <c r="C295" s="22" t="s">
        <v>286</v>
      </c>
      <c r="D295" s="21">
        <v>2018</v>
      </c>
    </row>
    <row r="296" spans="1:4" x14ac:dyDescent="0.25">
      <c r="A296" t="s">
        <v>264</v>
      </c>
      <c r="B296" t="s">
        <v>283</v>
      </c>
      <c r="C296" s="22" t="s">
        <v>286</v>
      </c>
      <c r="D296" s="21">
        <v>2018</v>
      </c>
    </row>
    <row r="297" spans="1:4" x14ac:dyDescent="0.25">
      <c r="A297" t="s">
        <v>242</v>
      </c>
      <c r="B297" t="s">
        <v>283</v>
      </c>
      <c r="C297" s="22" t="s">
        <v>286</v>
      </c>
      <c r="D297" s="21">
        <v>2018</v>
      </c>
    </row>
    <row r="298" spans="1:4" x14ac:dyDescent="0.25">
      <c r="A298" t="s">
        <v>245</v>
      </c>
      <c r="B298" t="s">
        <v>283</v>
      </c>
      <c r="C298" s="22" t="s">
        <v>286</v>
      </c>
      <c r="D298" s="21">
        <v>2018</v>
      </c>
    </row>
    <row r="299" spans="1:4" x14ac:dyDescent="0.25">
      <c r="A299" t="s">
        <v>246</v>
      </c>
      <c r="B299" t="s">
        <v>283</v>
      </c>
      <c r="C299" s="22" t="s">
        <v>286</v>
      </c>
      <c r="D299" s="21">
        <v>2018</v>
      </c>
    </row>
    <row r="300" spans="1:4" x14ac:dyDescent="0.25">
      <c r="A300" t="s">
        <v>247</v>
      </c>
      <c r="B300" t="s">
        <v>283</v>
      </c>
      <c r="C300" s="22" t="s">
        <v>286</v>
      </c>
      <c r="D300" s="21">
        <v>2018</v>
      </c>
    </row>
    <row r="301" spans="1:4" x14ac:dyDescent="0.25">
      <c r="A301" t="s">
        <v>248</v>
      </c>
      <c r="B301" t="s">
        <v>283</v>
      </c>
      <c r="C301" s="22" t="s">
        <v>286</v>
      </c>
      <c r="D301" s="21">
        <v>2018</v>
      </c>
    </row>
    <row r="302" spans="1:4" x14ac:dyDescent="0.25">
      <c r="A302" t="s">
        <v>249</v>
      </c>
      <c r="B302" t="s">
        <v>283</v>
      </c>
      <c r="C302" s="22" t="s">
        <v>286</v>
      </c>
      <c r="D302" s="21">
        <v>2018</v>
      </c>
    </row>
    <row r="303" spans="1:4" x14ac:dyDescent="0.25">
      <c r="A303" t="s">
        <v>265</v>
      </c>
      <c r="B303" t="s">
        <v>283</v>
      </c>
      <c r="C303" s="22" t="s">
        <v>286</v>
      </c>
      <c r="D303" s="21">
        <v>2018</v>
      </c>
    </row>
    <row r="304" spans="1:4" x14ac:dyDescent="0.25">
      <c r="A304" t="s">
        <v>266</v>
      </c>
      <c r="B304" t="s">
        <v>283</v>
      </c>
      <c r="C304" s="22" t="s">
        <v>286</v>
      </c>
      <c r="D304" s="21">
        <v>2018</v>
      </c>
    </row>
    <row r="305" spans="1:4" x14ac:dyDescent="0.25">
      <c r="A305" t="s">
        <v>267</v>
      </c>
      <c r="B305" t="s">
        <v>283</v>
      </c>
      <c r="C305" s="22" t="s">
        <v>286</v>
      </c>
      <c r="D305" s="21">
        <v>2018</v>
      </c>
    </row>
    <row r="306" spans="1:4" x14ac:dyDescent="0.25">
      <c r="A306" t="s">
        <v>148</v>
      </c>
      <c r="B306" t="s">
        <v>283</v>
      </c>
      <c r="C306" s="22" t="s">
        <v>286</v>
      </c>
      <c r="D306" s="21">
        <v>2018</v>
      </c>
    </row>
    <row r="307" spans="1:4" x14ac:dyDescent="0.25">
      <c r="A307" s="11" t="s">
        <v>241</v>
      </c>
      <c r="B307" t="s">
        <v>283</v>
      </c>
      <c r="C307" s="22" t="s">
        <v>286</v>
      </c>
      <c r="D307" s="21">
        <v>2018</v>
      </c>
    </row>
    <row r="308" spans="1:4" x14ac:dyDescent="0.25">
      <c r="A308" t="s">
        <v>243</v>
      </c>
      <c r="B308" t="s">
        <v>283</v>
      </c>
      <c r="C308" s="22" t="s">
        <v>286</v>
      </c>
      <c r="D308" s="21">
        <v>2018</v>
      </c>
    </row>
    <row r="309" spans="1:4" x14ac:dyDescent="0.25">
      <c r="A309" t="s">
        <v>244</v>
      </c>
      <c r="B309" t="s">
        <v>283</v>
      </c>
      <c r="C309" s="22" t="s">
        <v>286</v>
      </c>
      <c r="D309" s="21">
        <v>2018</v>
      </c>
    </row>
    <row r="310" spans="1:4" x14ac:dyDescent="0.25">
      <c r="A310" t="s">
        <v>218</v>
      </c>
      <c r="B310" t="s">
        <v>286</v>
      </c>
      <c r="C310" s="22" t="s">
        <v>286</v>
      </c>
      <c r="D310" s="21">
        <v>2018</v>
      </c>
    </row>
    <row r="311" spans="1:4" x14ac:dyDescent="0.25">
      <c r="A311" t="s">
        <v>219</v>
      </c>
      <c r="B311" t="s">
        <v>286</v>
      </c>
      <c r="C311" s="22" t="s">
        <v>286</v>
      </c>
      <c r="D311" s="21">
        <v>2018</v>
      </c>
    </row>
    <row r="312" spans="1:4" x14ac:dyDescent="0.25">
      <c r="A312" t="s">
        <v>220</v>
      </c>
      <c r="B312" t="s">
        <v>286</v>
      </c>
      <c r="C312" s="22" t="s">
        <v>286</v>
      </c>
      <c r="D312" s="21">
        <v>2018</v>
      </c>
    </row>
    <row r="313" spans="1:4" x14ac:dyDescent="0.25">
      <c r="A313" t="s">
        <v>221</v>
      </c>
      <c r="B313" t="s">
        <v>286</v>
      </c>
      <c r="C313" s="22" t="s">
        <v>286</v>
      </c>
      <c r="D313" s="21">
        <v>2018</v>
      </c>
    </row>
    <row r="314" spans="1:4" x14ac:dyDescent="0.25">
      <c r="A314" t="s">
        <v>222</v>
      </c>
      <c r="B314" t="s">
        <v>286</v>
      </c>
      <c r="C314" s="22" t="s">
        <v>283</v>
      </c>
      <c r="D314" s="21">
        <v>2018</v>
      </c>
    </row>
    <row r="315" spans="1:4" x14ac:dyDescent="0.25">
      <c r="A315" t="s">
        <v>223</v>
      </c>
      <c r="B315" t="s">
        <v>286</v>
      </c>
      <c r="C315" s="22" t="s">
        <v>283</v>
      </c>
      <c r="D315" s="21">
        <v>2018</v>
      </c>
    </row>
    <row r="316" spans="1:4" x14ac:dyDescent="0.25">
      <c r="A316" t="s">
        <v>224</v>
      </c>
      <c r="B316" t="s">
        <v>286</v>
      </c>
      <c r="C316" s="22" t="s">
        <v>283</v>
      </c>
      <c r="D316" s="21">
        <v>2018</v>
      </c>
    </row>
    <row r="317" spans="1:4" x14ac:dyDescent="0.25">
      <c r="A317" t="s">
        <v>225</v>
      </c>
      <c r="B317" t="s">
        <v>286</v>
      </c>
      <c r="C317" s="22" t="s">
        <v>283</v>
      </c>
      <c r="D317" s="21">
        <v>2018</v>
      </c>
    </row>
    <row r="318" spans="1:4" x14ac:dyDescent="0.25">
      <c r="A318" t="s">
        <v>226</v>
      </c>
      <c r="B318" t="s">
        <v>298</v>
      </c>
      <c r="C318" s="22" t="s">
        <v>283</v>
      </c>
      <c r="D318" s="21">
        <v>2018</v>
      </c>
    </row>
    <row r="319" spans="1:4" x14ac:dyDescent="0.25">
      <c r="A319" t="s">
        <v>227</v>
      </c>
      <c r="B319" t="s">
        <v>298</v>
      </c>
      <c r="C319" s="22" t="s">
        <v>283</v>
      </c>
      <c r="D319" s="21">
        <v>2018</v>
      </c>
    </row>
    <row r="320" spans="1:4" x14ac:dyDescent="0.25">
      <c r="A320" t="s">
        <v>228</v>
      </c>
      <c r="B320" t="s">
        <v>298</v>
      </c>
      <c r="C320" s="22" t="s">
        <v>283</v>
      </c>
      <c r="D320" s="21">
        <v>2018</v>
      </c>
    </row>
    <row r="321" spans="1:4" x14ac:dyDescent="0.25">
      <c r="A321" t="s">
        <v>229</v>
      </c>
      <c r="B321" t="s">
        <v>298</v>
      </c>
      <c r="C321" s="22" t="s">
        <v>283</v>
      </c>
      <c r="D321" s="21">
        <v>2018</v>
      </c>
    </row>
    <row r="322" spans="1:4" x14ac:dyDescent="0.25">
      <c r="A322" t="s">
        <v>250</v>
      </c>
      <c r="B322" t="s">
        <v>286</v>
      </c>
      <c r="C322" s="22" t="s">
        <v>286</v>
      </c>
      <c r="D322" s="21">
        <v>2018</v>
      </c>
    </row>
    <row r="323" spans="1:4" x14ac:dyDescent="0.25">
      <c r="A323" t="s">
        <v>251</v>
      </c>
      <c r="B323" t="s">
        <v>286</v>
      </c>
      <c r="C323" s="22" t="s">
        <v>286</v>
      </c>
      <c r="D323" s="21">
        <v>2018</v>
      </c>
    </row>
    <row r="324" spans="1:4" x14ac:dyDescent="0.25">
      <c r="A324" t="s">
        <v>252</v>
      </c>
      <c r="B324" t="s">
        <v>286</v>
      </c>
      <c r="C324" s="22" t="s">
        <v>286</v>
      </c>
      <c r="D324" s="21">
        <v>2018</v>
      </c>
    </row>
    <row r="325" spans="1:4" x14ac:dyDescent="0.25">
      <c r="A325" t="s">
        <v>253</v>
      </c>
      <c r="B325" t="s">
        <v>286</v>
      </c>
      <c r="C325" s="22" t="s">
        <v>286</v>
      </c>
      <c r="D325" s="21">
        <v>2018</v>
      </c>
    </row>
    <row r="326" spans="1:4" x14ac:dyDescent="0.25">
      <c r="A326" t="s">
        <v>258</v>
      </c>
      <c r="B326" t="s">
        <v>298</v>
      </c>
      <c r="C326" s="22" t="s">
        <v>286</v>
      </c>
      <c r="D326" s="21">
        <v>2018</v>
      </c>
    </row>
    <row r="327" spans="1:4" x14ac:dyDescent="0.25">
      <c r="A327" t="s">
        <v>259</v>
      </c>
      <c r="B327" t="s">
        <v>298</v>
      </c>
      <c r="C327" s="22" t="s">
        <v>286</v>
      </c>
      <c r="D327" s="21">
        <v>2018</v>
      </c>
    </row>
    <row r="328" spans="1:4" x14ac:dyDescent="0.25">
      <c r="A328" t="s">
        <v>260</v>
      </c>
      <c r="B328" t="s">
        <v>298</v>
      </c>
      <c r="C328" s="22" t="s">
        <v>286</v>
      </c>
      <c r="D328" s="21">
        <v>2018</v>
      </c>
    </row>
    <row r="329" spans="1:4" x14ac:dyDescent="0.25">
      <c r="A329" t="s">
        <v>261</v>
      </c>
      <c r="B329" t="s">
        <v>298</v>
      </c>
      <c r="C329" s="22" t="s">
        <v>286</v>
      </c>
      <c r="D329" s="21">
        <v>2018</v>
      </c>
    </row>
    <row r="330" spans="1:4" x14ac:dyDescent="0.25">
      <c r="A330" t="s">
        <v>254</v>
      </c>
      <c r="B330" t="s">
        <v>298</v>
      </c>
      <c r="C330" s="22" t="s">
        <v>286</v>
      </c>
      <c r="D330" s="21">
        <v>2018</v>
      </c>
    </row>
    <row r="331" spans="1:4" x14ac:dyDescent="0.25">
      <c r="A331" t="s">
        <v>255</v>
      </c>
      <c r="B331" t="s">
        <v>298</v>
      </c>
      <c r="C331" s="22" t="s">
        <v>286</v>
      </c>
      <c r="D331" s="21">
        <v>2018</v>
      </c>
    </row>
    <row r="332" spans="1:4" x14ac:dyDescent="0.25">
      <c r="A332" t="s">
        <v>256</v>
      </c>
      <c r="B332" t="s">
        <v>298</v>
      </c>
      <c r="C332" s="22" t="s">
        <v>286</v>
      </c>
      <c r="D332" s="21">
        <v>2018</v>
      </c>
    </row>
    <row r="333" spans="1:4" x14ac:dyDescent="0.25">
      <c r="A333" t="s">
        <v>257</v>
      </c>
      <c r="B333" t="s">
        <v>298</v>
      </c>
      <c r="C333" s="22" t="s">
        <v>286</v>
      </c>
      <c r="D333" s="21">
        <v>2018</v>
      </c>
    </row>
    <row r="334" spans="1:4" x14ac:dyDescent="0.25">
      <c r="A334" t="s">
        <v>135</v>
      </c>
      <c r="B334" t="s">
        <v>283</v>
      </c>
      <c r="C334" s="22" t="s">
        <v>286</v>
      </c>
      <c r="D334" s="21">
        <v>2018</v>
      </c>
    </row>
    <row r="335" spans="1:4" x14ac:dyDescent="0.25">
      <c r="A335" t="s">
        <v>136</v>
      </c>
      <c r="B335" t="s">
        <v>283</v>
      </c>
      <c r="C335" s="22" t="s">
        <v>286</v>
      </c>
      <c r="D335" s="21">
        <v>2018</v>
      </c>
    </row>
    <row r="336" spans="1:4" x14ac:dyDescent="0.25">
      <c r="A336" t="s">
        <v>137</v>
      </c>
      <c r="B336" t="s">
        <v>283</v>
      </c>
      <c r="C336" s="22" t="s">
        <v>286</v>
      </c>
      <c r="D336" s="21">
        <v>2018</v>
      </c>
    </row>
    <row r="337" spans="1:4" x14ac:dyDescent="0.25">
      <c r="A337" t="s">
        <v>138</v>
      </c>
      <c r="B337" t="s">
        <v>283</v>
      </c>
      <c r="C337" s="22" t="s">
        <v>286</v>
      </c>
      <c r="D337" s="21">
        <v>2018</v>
      </c>
    </row>
    <row r="338" spans="1:4" x14ac:dyDescent="0.25">
      <c r="A338" t="s">
        <v>139</v>
      </c>
      <c r="B338" t="s">
        <v>286</v>
      </c>
      <c r="C338" s="22" t="s">
        <v>286</v>
      </c>
      <c r="D338" s="21">
        <v>2018</v>
      </c>
    </row>
    <row r="339" spans="1:4" x14ac:dyDescent="0.25">
      <c r="A339" t="s">
        <v>140</v>
      </c>
      <c r="B339" t="s">
        <v>286</v>
      </c>
      <c r="C339" s="22" t="s">
        <v>286</v>
      </c>
      <c r="D339" s="21">
        <v>2018</v>
      </c>
    </row>
    <row r="340" spans="1:4" x14ac:dyDescent="0.25">
      <c r="A340" t="s">
        <v>141</v>
      </c>
      <c r="B340" t="s">
        <v>286</v>
      </c>
      <c r="C340" s="22" t="s">
        <v>286</v>
      </c>
      <c r="D340" s="21">
        <v>2018</v>
      </c>
    </row>
    <row r="341" spans="1:4" x14ac:dyDescent="0.25">
      <c r="A341" t="s">
        <v>142</v>
      </c>
      <c r="B341" t="s">
        <v>286</v>
      </c>
      <c r="C341" s="22" t="s">
        <v>286</v>
      </c>
      <c r="D341" s="21">
        <v>2018</v>
      </c>
    </row>
    <row r="342" spans="1:4" x14ac:dyDescent="0.25">
      <c r="A342" t="s">
        <v>143</v>
      </c>
      <c r="B342" t="s">
        <v>283</v>
      </c>
      <c r="C342" s="22" t="s">
        <v>286</v>
      </c>
      <c r="D342" s="21">
        <v>2018</v>
      </c>
    </row>
    <row r="343" spans="1:4" x14ac:dyDescent="0.25">
      <c r="A343" t="s">
        <v>144</v>
      </c>
      <c r="B343" t="s">
        <v>283</v>
      </c>
      <c r="C343" s="22" t="s">
        <v>286</v>
      </c>
      <c r="D343" s="21">
        <v>2018</v>
      </c>
    </row>
    <row r="344" spans="1:4" x14ac:dyDescent="0.25">
      <c r="A344" t="s">
        <v>145</v>
      </c>
      <c r="B344" t="s">
        <v>283</v>
      </c>
      <c r="C344" s="22" t="s">
        <v>286</v>
      </c>
      <c r="D344" s="21">
        <v>2018</v>
      </c>
    </row>
    <row r="345" spans="1:4" x14ac:dyDescent="0.25">
      <c r="A345" t="s">
        <v>146</v>
      </c>
      <c r="B345" t="s">
        <v>283</v>
      </c>
      <c r="C345" s="22" t="s">
        <v>286</v>
      </c>
      <c r="D345" s="21">
        <v>2018</v>
      </c>
    </row>
    <row r="346" spans="1:4" x14ac:dyDescent="0.25">
      <c r="A346" t="s">
        <v>147</v>
      </c>
      <c r="B346" t="s">
        <v>283</v>
      </c>
      <c r="C346" s="22" t="s">
        <v>286</v>
      </c>
      <c r="D346" s="21">
        <v>2018</v>
      </c>
    </row>
    <row r="347" spans="1:4" x14ac:dyDescent="0.25">
      <c r="A347" t="s">
        <v>148</v>
      </c>
      <c r="B347" t="s">
        <v>283</v>
      </c>
      <c r="C347" s="22" t="s">
        <v>286</v>
      </c>
      <c r="D347" s="21">
        <v>2018</v>
      </c>
    </row>
    <row r="348" spans="1:4" x14ac:dyDescent="0.25">
      <c r="A348" t="s">
        <v>149</v>
      </c>
      <c r="B348" t="s">
        <v>283</v>
      </c>
      <c r="C348" s="22" t="s">
        <v>286</v>
      </c>
      <c r="D348" s="21">
        <v>2018</v>
      </c>
    </row>
    <row r="349" spans="1:4" x14ac:dyDescent="0.25">
      <c r="A349" t="s">
        <v>150</v>
      </c>
      <c r="B349" t="s">
        <v>283</v>
      </c>
      <c r="C349" s="22" t="s">
        <v>286</v>
      </c>
      <c r="D349" s="21">
        <v>2018</v>
      </c>
    </row>
    <row r="350" spans="1:4" x14ac:dyDescent="0.25">
      <c r="A350" t="s">
        <v>151</v>
      </c>
      <c r="B350" t="s">
        <v>298</v>
      </c>
      <c r="C350" s="22" t="s">
        <v>286</v>
      </c>
      <c r="D350" s="21">
        <v>2018</v>
      </c>
    </row>
    <row r="351" spans="1:4" x14ac:dyDescent="0.25">
      <c r="A351" t="s">
        <v>152</v>
      </c>
      <c r="B351" t="s">
        <v>298</v>
      </c>
      <c r="C351" s="22" t="s">
        <v>286</v>
      </c>
      <c r="D351" s="21">
        <v>2018</v>
      </c>
    </row>
    <row r="352" spans="1:4" x14ac:dyDescent="0.25">
      <c r="A352" t="s">
        <v>153</v>
      </c>
      <c r="B352" t="s">
        <v>298</v>
      </c>
      <c r="C352" s="22" t="s">
        <v>286</v>
      </c>
      <c r="D352" s="21">
        <v>2018</v>
      </c>
    </row>
    <row r="353" spans="1:4" x14ac:dyDescent="0.25">
      <c r="A353" t="s">
        <v>154</v>
      </c>
      <c r="B353" t="s">
        <v>298</v>
      </c>
      <c r="C353" s="22" t="s">
        <v>286</v>
      </c>
      <c r="D353" s="21">
        <v>2018</v>
      </c>
    </row>
    <row r="354" spans="1:4" x14ac:dyDescent="0.25">
      <c r="A354" t="s">
        <v>155</v>
      </c>
      <c r="B354" t="s">
        <v>283</v>
      </c>
      <c r="C354" s="22" t="s">
        <v>286</v>
      </c>
      <c r="D354" s="21">
        <v>2018</v>
      </c>
    </row>
    <row r="355" spans="1:4" x14ac:dyDescent="0.25">
      <c r="A355" t="s">
        <v>156</v>
      </c>
      <c r="B355" t="s">
        <v>283</v>
      </c>
      <c r="C355" s="22" t="s">
        <v>286</v>
      </c>
      <c r="D355" s="21">
        <v>2018</v>
      </c>
    </row>
    <row r="356" spans="1:4" x14ac:dyDescent="0.25">
      <c r="A356" t="s">
        <v>157</v>
      </c>
      <c r="B356" t="s">
        <v>283</v>
      </c>
      <c r="C356" s="22" t="s">
        <v>286</v>
      </c>
      <c r="D356" s="21">
        <v>2018</v>
      </c>
    </row>
    <row r="357" spans="1:4" x14ac:dyDescent="0.25">
      <c r="A357" t="s">
        <v>158</v>
      </c>
      <c r="B357" t="s">
        <v>283</v>
      </c>
      <c r="C357" s="22" t="s">
        <v>286</v>
      </c>
      <c r="D357" s="21">
        <v>2018</v>
      </c>
    </row>
    <row r="358" spans="1:4" x14ac:dyDescent="0.25">
      <c r="A358" t="s">
        <v>230</v>
      </c>
      <c r="B358" t="s">
        <v>283</v>
      </c>
      <c r="C358" s="22" t="s">
        <v>286</v>
      </c>
      <c r="D358" s="21">
        <v>2018</v>
      </c>
    </row>
    <row r="359" spans="1:4" x14ac:dyDescent="0.25">
      <c r="A359" t="s">
        <v>231</v>
      </c>
      <c r="B359" t="s">
        <v>283</v>
      </c>
      <c r="C359" s="22" t="s">
        <v>286</v>
      </c>
      <c r="D359" s="21">
        <v>2018</v>
      </c>
    </row>
    <row r="360" spans="1:4" x14ac:dyDescent="0.25">
      <c r="A360" t="s">
        <v>232</v>
      </c>
      <c r="B360" t="s">
        <v>283</v>
      </c>
      <c r="C360" s="22" t="s">
        <v>286</v>
      </c>
      <c r="D360" s="21">
        <v>2018</v>
      </c>
    </row>
    <row r="361" spans="1:4" x14ac:dyDescent="0.25">
      <c r="A361" t="s">
        <v>233</v>
      </c>
      <c r="B361" t="s">
        <v>283</v>
      </c>
      <c r="C361" s="22" t="s">
        <v>286</v>
      </c>
      <c r="D361" s="21">
        <v>2018</v>
      </c>
    </row>
    <row r="362" spans="1:4" x14ac:dyDescent="0.25">
      <c r="A362" t="s">
        <v>234</v>
      </c>
      <c r="B362" t="s">
        <v>283</v>
      </c>
      <c r="C362" s="22" t="s">
        <v>283</v>
      </c>
      <c r="D362" s="21">
        <v>2018</v>
      </c>
    </row>
    <row r="363" spans="1:4" x14ac:dyDescent="0.25">
      <c r="A363" t="s">
        <v>235</v>
      </c>
      <c r="B363" t="s">
        <v>283</v>
      </c>
      <c r="C363" s="22" t="s">
        <v>283</v>
      </c>
      <c r="D363" s="21">
        <v>2018</v>
      </c>
    </row>
    <row r="364" spans="1:4" x14ac:dyDescent="0.25">
      <c r="A364" t="s">
        <v>236</v>
      </c>
      <c r="B364" t="s">
        <v>283</v>
      </c>
      <c r="C364" s="22" t="s">
        <v>283</v>
      </c>
      <c r="D364" s="21">
        <v>2018</v>
      </c>
    </row>
    <row r="365" spans="1:4" x14ac:dyDescent="0.25">
      <c r="A365" t="s">
        <v>237</v>
      </c>
      <c r="B365" t="s">
        <v>283</v>
      </c>
      <c r="C365" s="22" t="s">
        <v>283</v>
      </c>
      <c r="D365" s="21">
        <v>2018</v>
      </c>
    </row>
    <row r="366" spans="1:4" x14ac:dyDescent="0.25">
      <c r="A366" t="s">
        <v>238</v>
      </c>
      <c r="B366" t="s">
        <v>283</v>
      </c>
      <c r="C366" s="22" t="s">
        <v>286</v>
      </c>
      <c r="D366" s="21">
        <v>2018</v>
      </c>
    </row>
    <row r="367" spans="1:4" x14ac:dyDescent="0.25">
      <c r="A367" t="s">
        <v>239</v>
      </c>
      <c r="B367" t="s">
        <v>283</v>
      </c>
      <c r="C367" s="22" t="s">
        <v>286</v>
      </c>
      <c r="D367" s="21">
        <v>2018</v>
      </c>
    </row>
    <row r="368" spans="1:4" x14ac:dyDescent="0.25">
      <c r="A368" t="s">
        <v>240</v>
      </c>
      <c r="B368" t="s">
        <v>283</v>
      </c>
      <c r="C368" s="22" t="s">
        <v>286</v>
      </c>
      <c r="D368" s="21">
        <v>2018</v>
      </c>
    </row>
    <row r="369" spans="1:4" x14ac:dyDescent="0.25">
      <c r="A369" t="s">
        <v>241</v>
      </c>
      <c r="B369" t="s">
        <v>283</v>
      </c>
      <c r="C369" s="22" t="s">
        <v>286</v>
      </c>
      <c r="D369" s="21">
        <v>2018</v>
      </c>
    </row>
    <row r="370" spans="1:4" x14ac:dyDescent="0.25">
      <c r="A370" t="s">
        <v>264</v>
      </c>
      <c r="B370" t="s">
        <v>283</v>
      </c>
      <c r="C370" s="22" t="s">
        <v>286</v>
      </c>
      <c r="D370" s="21">
        <v>2018</v>
      </c>
    </row>
    <row r="371" spans="1:4" x14ac:dyDescent="0.25">
      <c r="A371" t="s">
        <v>242</v>
      </c>
      <c r="B371" t="s">
        <v>283</v>
      </c>
      <c r="C371" s="22" t="s">
        <v>286</v>
      </c>
      <c r="D371" s="21">
        <v>2018</v>
      </c>
    </row>
    <row r="372" spans="1:4" x14ac:dyDescent="0.25">
      <c r="A372" t="s">
        <v>243</v>
      </c>
      <c r="B372" t="s">
        <v>283</v>
      </c>
      <c r="C372" s="22" t="s">
        <v>286</v>
      </c>
      <c r="D372" s="21">
        <v>2018</v>
      </c>
    </row>
    <row r="373" spans="1:4" x14ac:dyDescent="0.25">
      <c r="A373" t="s">
        <v>244</v>
      </c>
      <c r="B373" t="s">
        <v>283</v>
      </c>
      <c r="C373" s="22" t="s">
        <v>286</v>
      </c>
      <c r="D373" s="21">
        <v>2018</v>
      </c>
    </row>
    <row r="374" spans="1:4" x14ac:dyDescent="0.25">
      <c r="A374" t="s">
        <v>245</v>
      </c>
      <c r="B374" t="s">
        <v>283</v>
      </c>
      <c r="C374" s="22" t="s">
        <v>286</v>
      </c>
      <c r="D374" s="21">
        <v>2018</v>
      </c>
    </row>
    <row r="375" spans="1:4" x14ac:dyDescent="0.25">
      <c r="A375" t="s">
        <v>246</v>
      </c>
      <c r="B375" t="s">
        <v>283</v>
      </c>
      <c r="C375" s="22" t="s">
        <v>286</v>
      </c>
      <c r="D375" s="21">
        <v>2018</v>
      </c>
    </row>
    <row r="376" spans="1:4" x14ac:dyDescent="0.25">
      <c r="A376" t="s">
        <v>247</v>
      </c>
      <c r="B376" t="s">
        <v>283</v>
      </c>
      <c r="C376" s="22" t="s">
        <v>286</v>
      </c>
      <c r="D376" s="21">
        <v>2018</v>
      </c>
    </row>
    <row r="377" spans="1:4" x14ac:dyDescent="0.25">
      <c r="A377" t="s">
        <v>248</v>
      </c>
      <c r="B377" t="s">
        <v>283</v>
      </c>
      <c r="C377" s="22" t="s">
        <v>286</v>
      </c>
      <c r="D377" s="21">
        <v>2018</v>
      </c>
    </row>
    <row r="378" spans="1:4" x14ac:dyDescent="0.25">
      <c r="A378" t="s">
        <v>249</v>
      </c>
      <c r="B378" t="s">
        <v>283</v>
      </c>
      <c r="C378" s="22" t="s">
        <v>286</v>
      </c>
      <c r="D378" s="21">
        <v>2018</v>
      </c>
    </row>
    <row r="379" spans="1:4" x14ac:dyDescent="0.25">
      <c r="A379" t="s">
        <v>265</v>
      </c>
      <c r="B379" t="s">
        <v>283</v>
      </c>
      <c r="C379" s="22" t="s">
        <v>286</v>
      </c>
      <c r="D379" s="21">
        <v>2018</v>
      </c>
    </row>
    <row r="380" spans="1:4" x14ac:dyDescent="0.25">
      <c r="A380" t="s">
        <v>266</v>
      </c>
      <c r="B380" t="s">
        <v>283</v>
      </c>
      <c r="C380" s="22" t="s">
        <v>286</v>
      </c>
      <c r="D380" s="21">
        <v>2018</v>
      </c>
    </row>
    <row r="381" spans="1:4" x14ac:dyDescent="0.25">
      <c r="A381" t="s">
        <v>267</v>
      </c>
      <c r="B381" t="s">
        <v>283</v>
      </c>
      <c r="C381" s="22" t="s">
        <v>286</v>
      </c>
      <c r="D381" s="21">
        <v>2018</v>
      </c>
    </row>
    <row r="382" spans="1:4" x14ac:dyDescent="0.25">
      <c r="A382" t="s">
        <v>172</v>
      </c>
      <c r="B382" t="s">
        <v>298</v>
      </c>
      <c r="C382" s="22" t="s">
        <v>283</v>
      </c>
      <c r="D382" s="21">
        <v>2018</v>
      </c>
    </row>
    <row r="383" spans="1:4" x14ac:dyDescent="0.25">
      <c r="A383" t="s">
        <v>173</v>
      </c>
      <c r="B383" t="s">
        <v>298</v>
      </c>
      <c r="C383" s="22" t="s">
        <v>283</v>
      </c>
      <c r="D383" s="21">
        <v>2018</v>
      </c>
    </row>
    <row r="384" spans="1:4" x14ac:dyDescent="0.25">
      <c r="A384" t="s">
        <v>174</v>
      </c>
      <c r="B384" t="s">
        <v>298</v>
      </c>
      <c r="C384" s="22" t="s">
        <v>283</v>
      </c>
      <c r="D384" s="21">
        <v>2018</v>
      </c>
    </row>
    <row r="385" spans="1:4" x14ac:dyDescent="0.25">
      <c r="A385" t="s">
        <v>175</v>
      </c>
      <c r="B385" t="s">
        <v>298</v>
      </c>
      <c r="C385" s="22" t="s">
        <v>283</v>
      </c>
      <c r="D385" s="21">
        <v>2018</v>
      </c>
    </row>
    <row r="386" spans="1:4" x14ac:dyDescent="0.25">
      <c r="A386" t="s">
        <v>176</v>
      </c>
      <c r="B386" t="s">
        <v>298</v>
      </c>
      <c r="C386" s="22" t="s">
        <v>283</v>
      </c>
      <c r="D386" s="21">
        <v>2018</v>
      </c>
    </row>
    <row r="387" spans="1:4" x14ac:dyDescent="0.25">
      <c r="A387" t="s">
        <v>177</v>
      </c>
      <c r="B387" t="s">
        <v>298</v>
      </c>
      <c r="C387" s="22" t="s">
        <v>283</v>
      </c>
      <c r="D387" s="21">
        <v>2018</v>
      </c>
    </row>
    <row r="388" spans="1:4" x14ac:dyDescent="0.25">
      <c r="A388" t="s">
        <v>178</v>
      </c>
      <c r="B388" t="s">
        <v>298</v>
      </c>
      <c r="C388" s="22" t="s">
        <v>283</v>
      </c>
      <c r="D388" s="21">
        <v>2018</v>
      </c>
    </row>
    <row r="389" spans="1:4" x14ac:dyDescent="0.25">
      <c r="A389" t="s">
        <v>179</v>
      </c>
      <c r="B389" t="s">
        <v>298</v>
      </c>
      <c r="C389" s="22" t="s">
        <v>283</v>
      </c>
      <c r="D389" s="21">
        <v>2018</v>
      </c>
    </row>
    <row r="390" spans="1:4" x14ac:dyDescent="0.25">
      <c r="A390" t="s">
        <v>180</v>
      </c>
      <c r="B390" t="s">
        <v>298</v>
      </c>
      <c r="C390" s="22" t="s">
        <v>283</v>
      </c>
      <c r="D390" s="21">
        <v>2018</v>
      </c>
    </row>
    <row r="391" spans="1:4" x14ac:dyDescent="0.25">
      <c r="A391" t="s">
        <v>181</v>
      </c>
      <c r="B391" t="s">
        <v>298</v>
      </c>
      <c r="C391" s="22" t="s">
        <v>283</v>
      </c>
      <c r="D391" s="21">
        <v>2018</v>
      </c>
    </row>
    <row r="392" spans="1:4" x14ac:dyDescent="0.25">
      <c r="A392" t="s">
        <v>182</v>
      </c>
      <c r="B392" t="s">
        <v>298</v>
      </c>
      <c r="C392" s="22" t="s">
        <v>283</v>
      </c>
      <c r="D392" s="21">
        <v>2018</v>
      </c>
    </row>
    <row r="393" spans="1:4" x14ac:dyDescent="0.25">
      <c r="A393" t="s">
        <v>183</v>
      </c>
      <c r="B393" t="s">
        <v>298</v>
      </c>
      <c r="C393" s="22" t="s">
        <v>283</v>
      </c>
      <c r="D393" s="21">
        <v>2018</v>
      </c>
    </row>
    <row r="394" spans="1:4" x14ac:dyDescent="0.25">
      <c r="A394" t="s">
        <v>250</v>
      </c>
      <c r="B394" t="s">
        <v>286</v>
      </c>
      <c r="C394" s="22" t="s">
        <v>286</v>
      </c>
      <c r="D394" s="21">
        <v>2018</v>
      </c>
    </row>
    <row r="395" spans="1:4" x14ac:dyDescent="0.25">
      <c r="A395" t="s">
        <v>251</v>
      </c>
      <c r="B395" t="s">
        <v>286</v>
      </c>
      <c r="C395" s="22" t="s">
        <v>286</v>
      </c>
      <c r="D395" s="21">
        <v>2018</v>
      </c>
    </row>
    <row r="396" spans="1:4" x14ac:dyDescent="0.25">
      <c r="A396" t="s">
        <v>252</v>
      </c>
      <c r="B396" t="s">
        <v>286</v>
      </c>
      <c r="C396" s="22" t="s">
        <v>286</v>
      </c>
      <c r="D396" s="21">
        <v>2018</v>
      </c>
    </row>
    <row r="397" spans="1:4" x14ac:dyDescent="0.25">
      <c r="A397" t="s">
        <v>253</v>
      </c>
      <c r="B397" t="s">
        <v>286</v>
      </c>
      <c r="C397" s="22" t="s">
        <v>286</v>
      </c>
      <c r="D397" s="21">
        <v>2018</v>
      </c>
    </row>
    <row r="398" spans="1:4" x14ac:dyDescent="0.25">
      <c r="A398" t="s">
        <v>254</v>
      </c>
      <c r="B398" t="s">
        <v>298</v>
      </c>
      <c r="C398" s="22" t="s">
        <v>286</v>
      </c>
      <c r="D398" s="21">
        <v>2018</v>
      </c>
    </row>
    <row r="399" spans="1:4" x14ac:dyDescent="0.25">
      <c r="A399" t="s">
        <v>255</v>
      </c>
      <c r="B399" t="s">
        <v>298</v>
      </c>
      <c r="C399" s="22" t="s">
        <v>286</v>
      </c>
      <c r="D399" s="21">
        <v>2018</v>
      </c>
    </row>
    <row r="400" spans="1:4" x14ac:dyDescent="0.25">
      <c r="A400" t="s">
        <v>256</v>
      </c>
      <c r="B400" t="s">
        <v>298</v>
      </c>
      <c r="C400" s="22" t="s">
        <v>286</v>
      </c>
      <c r="D400" s="21">
        <v>2018</v>
      </c>
    </row>
    <row r="401" spans="1:4" x14ac:dyDescent="0.25">
      <c r="A401" t="s">
        <v>257</v>
      </c>
      <c r="B401" t="s">
        <v>298</v>
      </c>
      <c r="C401" s="22" t="s">
        <v>286</v>
      </c>
      <c r="D401" s="21">
        <v>2018</v>
      </c>
    </row>
    <row r="402" spans="1:4" x14ac:dyDescent="0.25">
      <c r="A402" t="s">
        <v>258</v>
      </c>
      <c r="B402" t="s">
        <v>298</v>
      </c>
      <c r="C402" s="22" t="s">
        <v>286</v>
      </c>
      <c r="D402" s="21">
        <v>2018</v>
      </c>
    </row>
    <row r="403" spans="1:4" x14ac:dyDescent="0.25">
      <c r="A403" t="s">
        <v>259</v>
      </c>
      <c r="B403" t="s">
        <v>298</v>
      </c>
      <c r="C403" s="22" t="s">
        <v>286</v>
      </c>
      <c r="D403" s="21">
        <v>2018</v>
      </c>
    </row>
    <row r="404" spans="1:4" x14ac:dyDescent="0.25">
      <c r="A404" t="s">
        <v>260</v>
      </c>
      <c r="B404" t="s">
        <v>298</v>
      </c>
      <c r="C404" s="22" t="s">
        <v>286</v>
      </c>
      <c r="D404" s="21">
        <v>2018</v>
      </c>
    </row>
    <row r="405" spans="1:4" x14ac:dyDescent="0.25">
      <c r="A405" t="s">
        <v>261</v>
      </c>
      <c r="B405" t="s">
        <v>298</v>
      </c>
      <c r="C405" s="22" t="s">
        <v>286</v>
      </c>
      <c r="D405" s="21">
        <v>2018</v>
      </c>
    </row>
    <row r="406" spans="1:4" x14ac:dyDescent="0.25">
      <c r="A406" t="s">
        <v>208</v>
      </c>
      <c r="B406" t="s">
        <v>283</v>
      </c>
      <c r="C406" s="22" t="s">
        <v>283</v>
      </c>
      <c r="D406" s="21">
        <v>2018</v>
      </c>
    </row>
    <row r="407" spans="1:4" x14ac:dyDescent="0.25">
      <c r="A407" t="s">
        <v>209</v>
      </c>
      <c r="B407" t="s">
        <v>283</v>
      </c>
      <c r="C407" s="22" t="s">
        <v>283</v>
      </c>
      <c r="D407" s="21">
        <v>2018</v>
      </c>
    </row>
    <row r="408" spans="1:4" x14ac:dyDescent="0.25">
      <c r="A408" t="s">
        <v>210</v>
      </c>
      <c r="B408" t="s">
        <v>283</v>
      </c>
      <c r="C408" s="22" t="s">
        <v>283</v>
      </c>
      <c r="D408" s="21">
        <v>2018</v>
      </c>
    </row>
    <row r="409" spans="1:4" x14ac:dyDescent="0.25">
      <c r="A409" t="s">
        <v>211</v>
      </c>
      <c r="B409" t="s">
        <v>283</v>
      </c>
      <c r="C409" s="22" t="s">
        <v>283</v>
      </c>
      <c r="D409" s="21">
        <v>2018</v>
      </c>
    </row>
    <row r="410" spans="1:4" x14ac:dyDescent="0.25">
      <c r="A410" t="s">
        <v>212</v>
      </c>
      <c r="B410" t="s">
        <v>286</v>
      </c>
      <c r="C410" s="22" t="s">
        <v>286</v>
      </c>
      <c r="D410" s="21">
        <v>2018</v>
      </c>
    </row>
    <row r="411" spans="1:4" x14ac:dyDescent="0.25">
      <c r="A411" t="s">
        <v>262</v>
      </c>
      <c r="B411" t="s">
        <v>286</v>
      </c>
      <c r="C411" s="22" t="s">
        <v>286</v>
      </c>
      <c r="D411" s="21">
        <v>2018</v>
      </c>
    </row>
    <row r="412" spans="1:4" x14ac:dyDescent="0.25">
      <c r="A412" t="s">
        <v>213</v>
      </c>
      <c r="B412" t="s">
        <v>286</v>
      </c>
      <c r="C412" s="22" t="s">
        <v>286</v>
      </c>
      <c r="D412" s="21">
        <v>2018</v>
      </c>
    </row>
    <row r="413" spans="1:4" x14ac:dyDescent="0.25">
      <c r="A413" t="s">
        <v>214</v>
      </c>
      <c r="B413" t="s">
        <v>286</v>
      </c>
      <c r="C413" s="22" t="s">
        <v>286</v>
      </c>
      <c r="D413" s="21">
        <v>2018</v>
      </c>
    </row>
    <row r="414" spans="1:4" x14ac:dyDescent="0.25">
      <c r="A414" t="s">
        <v>215</v>
      </c>
      <c r="B414" t="s">
        <v>286</v>
      </c>
      <c r="C414" s="22" t="s">
        <v>283</v>
      </c>
      <c r="D414" s="21">
        <v>2018</v>
      </c>
    </row>
    <row r="415" spans="1:4" x14ac:dyDescent="0.25">
      <c r="A415" t="s">
        <v>216</v>
      </c>
      <c r="B415" t="s">
        <v>286</v>
      </c>
      <c r="C415" s="22" t="s">
        <v>283</v>
      </c>
      <c r="D415" s="21">
        <v>2018</v>
      </c>
    </row>
    <row r="416" spans="1:4" x14ac:dyDescent="0.25">
      <c r="A416" t="s">
        <v>217</v>
      </c>
      <c r="B416" t="s">
        <v>286</v>
      </c>
      <c r="C416" s="22" t="s">
        <v>283</v>
      </c>
      <c r="D416" s="21">
        <v>2018</v>
      </c>
    </row>
    <row r="417" spans="1:4" x14ac:dyDescent="0.25">
      <c r="A417" t="s">
        <v>263</v>
      </c>
      <c r="B417" t="s">
        <v>286</v>
      </c>
      <c r="C417" s="22" t="s">
        <v>283</v>
      </c>
      <c r="D417" s="21">
        <v>2018</v>
      </c>
    </row>
    <row r="418" spans="1:4" x14ac:dyDescent="0.25">
      <c r="A418" t="s">
        <v>218</v>
      </c>
      <c r="B418" t="s">
        <v>286</v>
      </c>
      <c r="C418" s="22" t="s">
        <v>286</v>
      </c>
      <c r="D418" s="21">
        <v>2018</v>
      </c>
    </row>
    <row r="419" spans="1:4" x14ac:dyDescent="0.25">
      <c r="A419" t="s">
        <v>219</v>
      </c>
      <c r="B419" t="s">
        <v>286</v>
      </c>
      <c r="C419" s="22" t="s">
        <v>286</v>
      </c>
      <c r="D419" s="21">
        <v>2018</v>
      </c>
    </row>
    <row r="420" spans="1:4" x14ac:dyDescent="0.25">
      <c r="A420" t="s">
        <v>220</v>
      </c>
      <c r="B420" t="s">
        <v>286</v>
      </c>
      <c r="C420" s="22" t="s">
        <v>286</v>
      </c>
      <c r="D420" s="21">
        <v>2018</v>
      </c>
    </row>
    <row r="421" spans="1:4" x14ac:dyDescent="0.25">
      <c r="A421" t="s">
        <v>221</v>
      </c>
      <c r="B421" t="s">
        <v>286</v>
      </c>
      <c r="C421" s="22" t="s">
        <v>286</v>
      </c>
      <c r="D421" s="21">
        <v>2018</v>
      </c>
    </row>
    <row r="422" spans="1:4" x14ac:dyDescent="0.25">
      <c r="A422" t="s">
        <v>222</v>
      </c>
      <c r="B422" t="s">
        <v>286</v>
      </c>
      <c r="C422" s="22" t="s">
        <v>283</v>
      </c>
      <c r="D422" s="21">
        <v>2018</v>
      </c>
    </row>
    <row r="423" spans="1:4" x14ac:dyDescent="0.25">
      <c r="A423" t="s">
        <v>223</v>
      </c>
      <c r="B423" t="s">
        <v>286</v>
      </c>
      <c r="C423" s="22" t="s">
        <v>283</v>
      </c>
      <c r="D423" s="21">
        <v>2018</v>
      </c>
    </row>
    <row r="424" spans="1:4" x14ac:dyDescent="0.25">
      <c r="A424" t="s">
        <v>224</v>
      </c>
      <c r="B424" t="s">
        <v>286</v>
      </c>
      <c r="C424" s="22" t="s">
        <v>283</v>
      </c>
      <c r="D424" s="21">
        <v>2018</v>
      </c>
    </row>
    <row r="425" spans="1:4" x14ac:dyDescent="0.25">
      <c r="A425" t="s">
        <v>225</v>
      </c>
      <c r="B425" t="s">
        <v>286</v>
      </c>
      <c r="C425" s="22" t="s">
        <v>283</v>
      </c>
      <c r="D425" s="21">
        <v>2018</v>
      </c>
    </row>
    <row r="426" spans="1:4" x14ac:dyDescent="0.25">
      <c r="A426" t="s">
        <v>226</v>
      </c>
      <c r="B426" t="s">
        <v>298</v>
      </c>
      <c r="C426" s="22" t="s">
        <v>283</v>
      </c>
      <c r="D426" s="21">
        <v>2018</v>
      </c>
    </row>
    <row r="427" spans="1:4" x14ac:dyDescent="0.25">
      <c r="A427" t="s">
        <v>227</v>
      </c>
      <c r="B427" t="s">
        <v>298</v>
      </c>
      <c r="C427" s="22" t="s">
        <v>283</v>
      </c>
      <c r="D427" s="21">
        <v>2018</v>
      </c>
    </row>
    <row r="428" spans="1:4" x14ac:dyDescent="0.25">
      <c r="A428" t="s">
        <v>228</v>
      </c>
      <c r="B428" t="s">
        <v>298</v>
      </c>
      <c r="C428" s="22" t="s">
        <v>283</v>
      </c>
      <c r="D428" s="21">
        <v>2018</v>
      </c>
    </row>
    <row r="429" spans="1:4" x14ac:dyDescent="0.25">
      <c r="A429" t="s">
        <v>229</v>
      </c>
      <c r="B429" t="s">
        <v>298</v>
      </c>
      <c r="C429" s="22" t="s">
        <v>283</v>
      </c>
      <c r="D429" s="21">
        <v>2018</v>
      </c>
    </row>
    <row r="430" spans="1:4" x14ac:dyDescent="0.25">
      <c r="A430" t="s">
        <v>196</v>
      </c>
      <c r="B430" t="s">
        <v>283</v>
      </c>
      <c r="C430" s="22" t="s">
        <v>286</v>
      </c>
      <c r="D430" s="21">
        <v>2018</v>
      </c>
    </row>
    <row r="431" spans="1:4" x14ac:dyDescent="0.25">
      <c r="A431" t="s">
        <v>197</v>
      </c>
      <c r="B431" t="s">
        <v>283</v>
      </c>
      <c r="C431" s="22" t="s">
        <v>286</v>
      </c>
      <c r="D431" s="21">
        <v>2018</v>
      </c>
    </row>
    <row r="432" spans="1:4" x14ac:dyDescent="0.25">
      <c r="A432" t="s">
        <v>198</v>
      </c>
      <c r="B432" t="s">
        <v>283</v>
      </c>
      <c r="C432" s="22" t="s">
        <v>286</v>
      </c>
      <c r="D432" s="21">
        <v>2018</v>
      </c>
    </row>
    <row r="433" spans="1:4" x14ac:dyDescent="0.25">
      <c r="A433" t="s">
        <v>199</v>
      </c>
      <c r="B433" t="s">
        <v>283</v>
      </c>
      <c r="C433" s="22" t="s">
        <v>286</v>
      </c>
      <c r="D433" s="21">
        <v>2018</v>
      </c>
    </row>
    <row r="434" spans="1:4" x14ac:dyDescent="0.25">
      <c r="A434" t="s">
        <v>200</v>
      </c>
      <c r="B434" t="s">
        <v>283</v>
      </c>
      <c r="C434" s="22" t="s">
        <v>286</v>
      </c>
      <c r="D434" s="21">
        <v>2018</v>
      </c>
    </row>
    <row r="435" spans="1:4" x14ac:dyDescent="0.25">
      <c r="A435" t="s">
        <v>201</v>
      </c>
      <c r="B435" t="s">
        <v>283</v>
      </c>
      <c r="C435" s="22" t="s">
        <v>286</v>
      </c>
      <c r="D435" s="21">
        <v>2018</v>
      </c>
    </row>
    <row r="436" spans="1:4" x14ac:dyDescent="0.25">
      <c r="A436" t="s">
        <v>202</v>
      </c>
      <c r="B436" t="s">
        <v>283</v>
      </c>
      <c r="C436" s="22" t="s">
        <v>286</v>
      </c>
      <c r="D436" s="21">
        <v>2018</v>
      </c>
    </row>
    <row r="437" spans="1:4" x14ac:dyDescent="0.25">
      <c r="A437" t="s">
        <v>203</v>
      </c>
      <c r="B437" t="s">
        <v>283</v>
      </c>
      <c r="C437" s="22" t="s">
        <v>286</v>
      </c>
      <c r="D437" s="21">
        <v>2018</v>
      </c>
    </row>
    <row r="438" spans="1:4" x14ac:dyDescent="0.25">
      <c r="A438" t="s">
        <v>204</v>
      </c>
      <c r="B438" t="s">
        <v>283</v>
      </c>
      <c r="C438" s="22" t="s">
        <v>286</v>
      </c>
      <c r="D438" s="21">
        <v>2018</v>
      </c>
    </row>
    <row r="439" spans="1:4" x14ac:dyDescent="0.25">
      <c r="A439" t="s">
        <v>205</v>
      </c>
      <c r="B439" t="s">
        <v>283</v>
      </c>
      <c r="C439" s="22" t="s">
        <v>286</v>
      </c>
      <c r="D439" s="21">
        <v>2018</v>
      </c>
    </row>
    <row r="440" spans="1:4" x14ac:dyDescent="0.25">
      <c r="A440" t="s">
        <v>206</v>
      </c>
      <c r="B440" t="s">
        <v>283</v>
      </c>
      <c r="C440" s="22" t="s">
        <v>286</v>
      </c>
      <c r="D440" s="21">
        <v>2018</v>
      </c>
    </row>
    <row r="441" spans="1:4" x14ac:dyDescent="0.25">
      <c r="A441" t="s">
        <v>207</v>
      </c>
      <c r="B441" t="s">
        <v>283</v>
      </c>
      <c r="C441" s="22" t="s">
        <v>286</v>
      </c>
      <c r="D441" s="21">
        <v>2018</v>
      </c>
    </row>
    <row r="442" spans="1:4" x14ac:dyDescent="0.25">
      <c r="A442" t="s">
        <v>185</v>
      </c>
      <c r="B442" t="s">
        <v>283</v>
      </c>
      <c r="C442" s="22" t="s">
        <v>286</v>
      </c>
      <c r="D442" s="21">
        <v>2018</v>
      </c>
    </row>
    <row r="443" spans="1:4" x14ac:dyDescent="0.25">
      <c r="A443" t="s">
        <v>186</v>
      </c>
      <c r="B443" t="s">
        <v>283</v>
      </c>
      <c r="C443" s="22" t="s">
        <v>286</v>
      </c>
      <c r="D443" s="21">
        <v>2018</v>
      </c>
    </row>
    <row r="444" spans="1:4" x14ac:dyDescent="0.25">
      <c r="A444" t="s">
        <v>187</v>
      </c>
      <c r="B444" t="s">
        <v>283</v>
      </c>
      <c r="C444" s="22" t="s">
        <v>286</v>
      </c>
      <c r="D444" s="21">
        <v>2018</v>
      </c>
    </row>
    <row r="445" spans="1:4" x14ac:dyDescent="0.25">
      <c r="A445" t="s">
        <v>188</v>
      </c>
      <c r="B445" t="s">
        <v>283</v>
      </c>
      <c r="C445" s="22" t="s">
        <v>286</v>
      </c>
      <c r="D445" s="21">
        <v>2018</v>
      </c>
    </row>
    <row r="446" spans="1:4" x14ac:dyDescent="0.25">
      <c r="A446" t="s">
        <v>190</v>
      </c>
      <c r="B446" t="s">
        <v>283</v>
      </c>
      <c r="C446" s="22" t="s">
        <v>286</v>
      </c>
      <c r="D446" s="21">
        <v>2018</v>
      </c>
    </row>
    <row r="447" spans="1:4" x14ac:dyDescent="0.25">
      <c r="A447" t="s">
        <v>191</v>
      </c>
      <c r="B447" t="s">
        <v>283</v>
      </c>
      <c r="C447" s="22" t="s">
        <v>286</v>
      </c>
      <c r="D447" s="21">
        <v>2018</v>
      </c>
    </row>
    <row r="448" spans="1:4" x14ac:dyDescent="0.25">
      <c r="A448" t="s">
        <v>192</v>
      </c>
      <c r="B448" t="s">
        <v>283</v>
      </c>
      <c r="C448" s="22" t="s">
        <v>286</v>
      </c>
      <c r="D448" s="21">
        <v>2018</v>
      </c>
    </row>
    <row r="449" spans="1:4" x14ac:dyDescent="0.25">
      <c r="A449" t="s">
        <v>193</v>
      </c>
      <c r="B449" t="s">
        <v>283</v>
      </c>
      <c r="C449" s="22" t="s">
        <v>286</v>
      </c>
      <c r="D449" s="21">
        <v>2018</v>
      </c>
    </row>
    <row r="450" spans="1:4" x14ac:dyDescent="0.25">
      <c r="A450" t="s">
        <v>194</v>
      </c>
      <c r="B450" t="s">
        <v>283</v>
      </c>
      <c r="C450" s="22" t="s">
        <v>286</v>
      </c>
      <c r="D450" s="21">
        <v>2018</v>
      </c>
    </row>
    <row r="451" spans="1:4" x14ac:dyDescent="0.25">
      <c r="A451" t="s">
        <v>195</v>
      </c>
      <c r="B451" t="s">
        <v>283</v>
      </c>
      <c r="C451" s="22" t="s">
        <v>286</v>
      </c>
      <c r="D451" s="21">
        <v>2018</v>
      </c>
    </row>
    <row r="452" spans="1:4" x14ac:dyDescent="0.25">
      <c r="A452" t="s">
        <v>160</v>
      </c>
      <c r="B452" t="s">
        <v>283</v>
      </c>
      <c r="C452" s="22" t="s">
        <v>286</v>
      </c>
      <c r="D452" s="21">
        <v>2018</v>
      </c>
    </row>
    <row r="453" spans="1:4" x14ac:dyDescent="0.25">
      <c r="A453" t="s">
        <v>161</v>
      </c>
      <c r="B453" t="s">
        <v>283</v>
      </c>
      <c r="C453" s="22" t="s">
        <v>286</v>
      </c>
      <c r="D453" s="21">
        <v>2018</v>
      </c>
    </row>
    <row r="454" spans="1:4" x14ac:dyDescent="0.25">
      <c r="A454" t="s">
        <v>162</v>
      </c>
      <c r="B454" t="s">
        <v>283</v>
      </c>
      <c r="C454" s="22" t="s">
        <v>286</v>
      </c>
      <c r="D454" s="21">
        <v>2018</v>
      </c>
    </row>
    <row r="455" spans="1:4" x14ac:dyDescent="0.25">
      <c r="A455" t="s">
        <v>163</v>
      </c>
      <c r="B455" t="s">
        <v>283</v>
      </c>
      <c r="C455" s="22" t="s">
        <v>286</v>
      </c>
      <c r="D455" s="21">
        <v>2018</v>
      </c>
    </row>
    <row r="456" spans="1:4" x14ac:dyDescent="0.25">
      <c r="A456" t="s">
        <v>164</v>
      </c>
      <c r="B456" t="s">
        <v>283</v>
      </c>
      <c r="C456" s="22" t="s">
        <v>283</v>
      </c>
      <c r="D456" s="21">
        <v>2018</v>
      </c>
    </row>
    <row r="457" spans="1:4" x14ac:dyDescent="0.25">
      <c r="A457" t="s">
        <v>165</v>
      </c>
      <c r="B457" t="s">
        <v>283</v>
      </c>
      <c r="C457" s="22" t="s">
        <v>283</v>
      </c>
      <c r="D457" s="21">
        <v>2018</v>
      </c>
    </row>
    <row r="458" spans="1:4" x14ac:dyDescent="0.25">
      <c r="A458" t="s">
        <v>166</v>
      </c>
      <c r="B458" t="s">
        <v>283</v>
      </c>
      <c r="C458" s="22" t="s">
        <v>283</v>
      </c>
      <c r="D458" s="21">
        <v>2018</v>
      </c>
    </row>
    <row r="459" spans="1:4" x14ac:dyDescent="0.25">
      <c r="A459" t="s">
        <v>167</v>
      </c>
      <c r="B459" t="s">
        <v>283</v>
      </c>
      <c r="C459" s="22" t="s">
        <v>283</v>
      </c>
      <c r="D459" s="21">
        <v>2018</v>
      </c>
    </row>
    <row r="460" spans="1:4" x14ac:dyDescent="0.25">
      <c r="A460" t="s">
        <v>168</v>
      </c>
      <c r="B460" t="s">
        <v>298</v>
      </c>
      <c r="C460" s="22" t="s">
        <v>286</v>
      </c>
      <c r="D460" s="21">
        <v>2018</v>
      </c>
    </row>
    <row r="461" spans="1:4" x14ac:dyDescent="0.25">
      <c r="A461" t="s">
        <v>169</v>
      </c>
      <c r="B461" t="s">
        <v>298</v>
      </c>
      <c r="C461" s="22" t="s">
        <v>286</v>
      </c>
      <c r="D461" s="21">
        <v>2018</v>
      </c>
    </row>
    <row r="462" spans="1:4" x14ac:dyDescent="0.25">
      <c r="A462" t="s">
        <v>170</v>
      </c>
      <c r="B462" t="s">
        <v>298</v>
      </c>
      <c r="C462" s="22" t="s">
        <v>286</v>
      </c>
      <c r="D462" s="21">
        <v>2018</v>
      </c>
    </row>
    <row r="463" spans="1:4" x14ac:dyDescent="0.25">
      <c r="A463" t="s">
        <v>171</v>
      </c>
      <c r="B463" t="s">
        <v>298</v>
      </c>
      <c r="C463" s="22" t="s">
        <v>286</v>
      </c>
      <c r="D463" s="21">
        <v>2018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838"/>
  <sheetViews>
    <sheetView zoomScale="95" zoomScaleNormal="95" workbookViewId="0">
      <pane xSplit="1" ySplit="1" topLeftCell="B504" activePane="bottomRight" state="frozen"/>
      <selection pane="topRight" activeCell="B1" sqref="B1"/>
      <selection pane="bottomLeft" activeCell="A2" sqref="A2"/>
      <selection pane="bottomRight" activeCell="B520" sqref="B520"/>
    </sheetView>
  </sheetViews>
  <sheetFormatPr defaultColWidth="11" defaultRowHeight="15.75" x14ac:dyDescent="0.25"/>
  <cols>
    <col min="4" max="23" width="10.875" customWidth="1"/>
  </cols>
  <sheetData>
    <row r="1" spans="1:24" x14ac:dyDescent="0.25">
      <c r="A1" t="s">
        <v>4</v>
      </c>
      <c r="B1" t="s">
        <v>103</v>
      </c>
      <c r="C1" t="s">
        <v>336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  <c r="T1" t="s">
        <v>52</v>
      </c>
      <c r="U1" t="s">
        <v>53</v>
      </c>
      <c r="V1" t="s">
        <v>54</v>
      </c>
      <c r="W1" t="s">
        <v>55</v>
      </c>
      <c r="X1" t="s">
        <v>6</v>
      </c>
    </row>
    <row r="2" spans="1:24" x14ac:dyDescent="0.25">
      <c r="A2" t="s">
        <v>809</v>
      </c>
      <c r="B2">
        <v>2017</v>
      </c>
      <c r="C2" t="s">
        <v>275</v>
      </c>
      <c r="D2">
        <v>8</v>
      </c>
      <c r="E2">
        <v>7.8</v>
      </c>
      <c r="F2">
        <v>77</v>
      </c>
      <c r="G2">
        <v>1499</v>
      </c>
      <c r="H2">
        <v>1828</v>
      </c>
      <c r="I2">
        <v>5608</v>
      </c>
      <c r="J2">
        <v>22</v>
      </c>
      <c r="K2">
        <v>4.3600000000000003</v>
      </c>
      <c r="L2">
        <v>5.03</v>
      </c>
      <c r="M2">
        <v>416</v>
      </c>
      <c r="N2">
        <v>72</v>
      </c>
      <c r="O2">
        <v>6.26</v>
      </c>
      <c r="P2">
        <v>25.15</v>
      </c>
      <c r="Q2">
        <v>7.63</v>
      </c>
      <c r="R2">
        <v>30.27</v>
      </c>
      <c r="S2">
        <v>55.72</v>
      </c>
      <c r="T2">
        <v>6.35</v>
      </c>
      <c r="U2">
        <v>1.51</v>
      </c>
      <c r="V2">
        <v>7.31</v>
      </c>
      <c r="W2">
        <v>1.08</v>
      </c>
      <c r="X2" s="1">
        <v>42886</v>
      </c>
    </row>
    <row r="3" spans="1:24" x14ac:dyDescent="0.25">
      <c r="A3" t="s">
        <v>810</v>
      </c>
      <c r="B3">
        <v>2017</v>
      </c>
      <c r="C3" t="s">
        <v>275</v>
      </c>
      <c r="D3">
        <v>8.1</v>
      </c>
      <c r="E3">
        <v>7.8</v>
      </c>
      <c r="F3">
        <v>26</v>
      </c>
      <c r="G3">
        <v>1204</v>
      </c>
      <c r="H3">
        <v>1853</v>
      </c>
      <c r="I3">
        <v>6092</v>
      </c>
      <c r="J3">
        <v>17</v>
      </c>
      <c r="K3">
        <v>4.5999999999999996</v>
      </c>
      <c r="L3">
        <v>3.96</v>
      </c>
      <c r="M3">
        <v>410</v>
      </c>
      <c r="N3">
        <v>72</v>
      </c>
      <c r="O3">
        <v>6.62</v>
      </c>
      <c r="P3">
        <v>26.09</v>
      </c>
      <c r="Q3">
        <v>5.91</v>
      </c>
      <c r="R3">
        <v>29.58</v>
      </c>
      <c r="S3">
        <v>58.36</v>
      </c>
      <c r="T3">
        <v>6.13</v>
      </c>
      <c r="U3">
        <v>1.41</v>
      </c>
      <c r="V3">
        <v>7.01</v>
      </c>
      <c r="W3">
        <v>1.03</v>
      </c>
      <c r="X3" s="1">
        <v>42886</v>
      </c>
    </row>
    <row r="4" spans="1:24" x14ac:dyDescent="0.25">
      <c r="A4" t="s">
        <v>811</v>
      </c>
      <c r="B4">
        <v>2017</v>
      </c>
      <c r="C4" t="s">
        <v>275</v>
      </c>
      <c r="D4">
        <v>7.9</v>
      </c>
      <c r="E4">
        <v>7.75</v>
      </c>
      <c r="F4">
        <v>24</v>
      </c>
      <c r="G4">
        <v>958</v>
      </c>
      <c r="H4">
        <v>1775</v>
      </c>
      <c r="I4">
        <v>5683</v>
      </c>
      <c r="J4">
        <v>17</v>
      </c>
      <c r="K4">
        <v>4.01</v>
      </c>
      <c r="L4">
        <v>4.78</v>
      </c>
      <c r="M4">
        <v>385</v>
      </c>
      <c r="N4">
        <v>70</v>
      </c>
      <c r="O4">
        <v>5.83</v>
      </c>
      <c r="P4">
        <v>24.83</v>
      </c>
      <c r="Q4">
        <v>4.9400000000000004</v>
      </c>
      <c r="R4">
        <v>29.78</v>
      </c>
      <c r="S4">
        <v>57.21</v>
      </c>
      <c r="T4">
        <v>8.0500000000000007</v>
      </c>
      <c r="U4">
        <v>1.75</v>
      </c>
      <c r="V4">
        <v>8.1300000000000008</v>
      </c>
      <c r="W4">
        <v>1.96</v>
      </c>
      <c r="X4" s="1">
        <v>42886</v>
      </c>
    </row>
    <row r="5" spans="1:24" x14ac:dyDescent="0.25">
      <c r="A5" t="s">
        <v>812</v>
      </c>
      <c r="B5">
        <v>2017</v>
      </c>
      <c r="C5" t="s">
        <v>275</v>
      </c>
      <c r="D5">
        <v>7.8</v>
      </c>
      <c r="E5">
        <v>7.7</v>
      </c>
      <c r="F5">
        <v>76</v>
      </c>
      <c r="G5">
        <v>1443</v>
      </c>
      <c r="H5">
        <v>1796</v>
      </c>
      <c r="I5">
        <v>5637</v>
      </c>
      <c r="J5">
        <v>19</v>
      </c>
      <c r="K5">
        <v>4.07</v>
      </c>
      <c r="L5">
        <v>4.41</v>
      </c>
      <c r="M5">
        <v>392</v>
      </c>
      <c r="N5">
        <v>72</v>
      </c>
      <c r="O5">
        <v>5.53</v>
      </c>
      <c r="P5">
        <v>25.82</v>
      </c>
      <c r="Q5">
        <v>7.16</v>
      </c>
      <c r="R5">
        <v>28.97</v>
      </c>
      <c r="S5">
        <v>54.56</v>
      </c>
      <c r="T5">
        <v>9.2899999999999991</v>
      </c>
      <c r="U5">
        <v>1.48</v>
      </c>
      <c r="V5">
        <v>7.88</v>
      </c>
      <c r="W5">
        <v>1</v>
      </c>
      <c r="X5" s="1">
        <v>42886</v>
      </c>
    </row>
    <row r="6" spans="1:24" x14ac:dyDescent="0.25">
      <c r="A6" t="s">
        <v>160</v>
      </c>
      <c r="B6">
        <v>2017</v>
      </c>
      <c r="C6" t="s">
        <v>279</v>
      </c>
      <c r="D6">
        <v>8.3000000000000007</v>
      </c>
      <c r="E6">
        <v>7.9</v>
      </c>
      <c r="F6">
        <v>131</v>
      </c>
      <c r="G6">
        <v>937</v>
      </c>
      <c r="H6">
        <v>1459</v>
      </c>
      <c r="I6">
        <v>8278</v>
      </c>
      <c r="J6">
        <v>68</v>
      </c>
      <c r="K6">
        <v>4.12</v>
      </c>
      <c r="L6">
        <v>6.49</v>
      </c>
      <c r="M6">
        <v>61</v>
      </c>
      <c r="N6">
        <v>53</v>
      </c>
      <c r="O6">
        <v>2.15</v>
      </c>
      <c r="P6">
        <v>28.77</v>
      </c>
      <c r="Q6">
        <v>4.17</v>
      </c>
      <c r="R6">
        <v>21.12</v>
      </c>
      <c r="S6">
        <v>71.91</v>
      </c>
      <c r="T6">
        <v>2.78</v>
      </c>
      <c r="U6">
        <v>0.56000000000000005</v>
      </c>
      <c r="V6">
        <v>15.29</v>
      </c>
      <c r="W6">
        <v>1.08</v>
      </c>
      <c r="X6" s="1">
        <v>42909</v>
      </c>
    </row>
    <row r="7" spans="1:24" x14ac:dyDescent="0.25">
      <c r="A7" t="s">
        <v>161</v>
      </c>
      <c r="B7">
        <v>2017</v>
      </c>
      <c r="C7" t="s">
        <v>279</v>
      </c>
      <c r="D7">
        <v>8.1999999999999993</v>
      </c>
      <c r="E7">
        <v>7.85</v>
      </c>
      <c r="F7">
        <v>55</v>
      </c>
      <c r="G7">
        <v>965</v>
      </c>
      <c r="H7">
        <v>1767</v>
      </c>
      <c r="I7">
        <v>8110</v>
      </c>
      <c r="J7">
        <v>112</v>
      </c>
      <c r="K7">
        <v>5.79</v>
      </c>
      <c r="L7">
        <v>2.93</v>
      </c>
      <c r="M7">
        <v>105</v>
      </c>
      <c r="N7">
        <v>48</v>
      </c>
      <c r="O7">
        <v>2.2999999999999998</v>
      </c>
      <c r="P7">
        <v>30.07</v>
      </c>
      <c r="Q7">
        <v>4.1100000000000003</v>
      </c>
      <c r="R7">
        <v>24.48</v>
      </c>
      <c r="S7">
        <v>67.41</v>
      </c>
      <c r="T7">
        <v>3.99</v>
      </c>
      <c r="U7">
        <v>0.76</v>
      </c>
      <c r="V7">
        <v>15.49</v>
      </c>
      <c r="W7">
        <v>1.19</v>
      </c>
      <c r="X7" s="1">
        <v>42909</v>
      </c>
    </row>
    <row r="8" spans="1:24" x14ac:dyDescent="0.25">
      <c r="A8" t="s">
        <v>162</v>
      </c>
      <c r="B8">
        <v>2017</v>
      </c>
      <c r="C8" t="s">
        <v>279</v>
      </c>
      <c r="D8">
        <v>8.3000000000000007</v>
      </c>
      <c r="E8">
        <v>7.9</v>
      </c>
      <c r="F8">
        <v>67</v>
      </c>
      <c r="G8">
        <v>934</v>
      </c>
      <c r="H8">
        <v>1480</v>
      </c>
      <c r="I8">
        <v>8563</v>
      </c>
      <c r="J8">
        <v>176</v>
      </c>
      <c r="K8">
        <v>4.62</v>
      </c>
      <c r="L8">
        <v>3.88</v>
      </c>
      <c r="M8">
        <v>83</v>
      </c>
      <c r="N8">
        <v>45</v>
      </c>
      <c r="O8">
        <v>1.9</v>
      </c>
      <c r="P8">
        <v>29.57</v>
      </c>
      <c r="Q8">
        <v>4.04</v>
      </c>
      <c r="R8">
        <v>20.85</v>
      </c>
      <c r="S8">
        <v>72.39</v>
      </c>
      <c r="T8">
        <v>2.7</v>
      </c>
      <c r="U8">
        <v>0.75</v>
      </c>
      <c r="V8">
        <v>17.5</v>
      </c>
      <c r="W8">
        <v>1.48</v>
      </c>
      <c r="X8" s="1">
        <v>42909</v>
      </c>
    </row>
    <row r="9" spans="1:24" x14ac:dyDescent="0.25">
      <c r="A9" t="s">
        <v>163</v>
      </c>
      <c r="B9">
        <v>2017</v>
      </c>
      <c r="C9" t="s">
        <v>279</v>
      </c>
      <c r="D9">
        <v>8.5</v>
      </c>
      <c r="E9">
        <v>7.9</v>
      </c>
      <c r="F9">
        <v>54</v>
      </c>
      <c r="G9">
        <v>747</v>
      </c>
      <c r="H9">
        <v>1505</v>
      </c>
      <c r="I9">
        <v>9262</v>
      </c>
      <c r="J9">
        <v>50</v>
      </c>
      <c r="K9">
        <v>3.76</v>
      </c>
      <c r="L9">
        <v>3.11</v>
      </c>
      <c r="M9">
        <v>69</v>
      </c>
      <c r="N9">
        <v>39</v>
      </c>
      <c r="O9">
        <v>1.58</v>
      </c>
      <c r="P9">
        <v>31.18</v>
      </c>
      <c r="Q9">
        <v>3.07</v>
      </c>
      <c r="R9">
        <v>20.100000000000001</v>
      </c>
      <c r="S9">
        <v>74.25</v>
      </c>
      <c r="T9">
        <v>2.56</v>
      </c>
      <c r="U9">
        <v>0.73</v>
      </c>
      <c r="V9">
        <v>13.41</v>
      </c>
      <c r="W9">
        <v>1.28</v>
      </c>
      <c r="X9" s="1">
        <v>42909</v>
      </c>
    </row>
    <row r="10" spans="1:24" x14ac:dyDescent="0.25">
      <c r="A10" t="s">
        <v>164</v>
      </c>
      <c r="B10">
        <v>2017</v>
      </c>
      <c r="C10" t="s">
        <v>279</v>
      </c>
      <c r="D10">
        <v>8.3000000000000007</v>
      </c>
      <c r="E10">
        <v>7.9</v>
      </c>
      <c r="F10">
        <v>34</v>
      </c>
      <c r="G10">
        <v>436</v>
      </c>
      <c r="H10">
        <v>292</v>
      </c>
      <c r="I10">
        <v>9416</v>
      </c>
      <c r="J10">
        <v>11</v>
      </c>
      <c r="K10">
        <v>1.38</v>
      </c>
      <c r="L10">
        <v>1.04</v>
      </c>
      <c r="M10">
        <v>77</v>
      </c>
      <c r="N10">
        <v>36</v>
      </c>
      <c r="O10">
        <v>1.5</v>
      </c>
      <c r="P10">
        <v>26.11</v>
      </c>
      <c r="Q10">
        <v>2.14</v>
      </c>
      <c r="R10">
        <v>4.6500000000000004</v>
      </c>
      <c r="S10">
        <v>90.13</v>
      </c>
      <c r="T10">
        <v>3.06</v>
      </c>
      <c r="U10">
        <v>0.31</v>
      </c>
      <c r="V10">
        <v>2.0699999999999998</v>
      </c>
      <c r="W10">
        <v>1.21</v>
      </c>
      <c r="X10" s="1">
        <v>42909</v>
      </c>
    </row>
    <row r="11" spans="1:24" x14ac:dyDescent="0.25">
      <c r="A11" t="s">
        <v>165</v>
      </c>
      <c r="B11">
        <v>2017</v>
      </c>
      <c r="C11" t="s">
        <v>279</v>
      </c>
      <c r="D11">
        <v>8.4</v>
      </c>
      <c r="E11">
        <v>7.9</v>
      </c>
      <c r="F11">
        <v>46</v>
      </c>
      <c r="G11">
        <v>544</v>
      </c>
      <c r="H11">
        <v>318</v>
      </c>
      <c r="I11">
        <v>9060</v>
      </c>
      <c r="J11">
        <v>12</v>
      </c>
      <c r="K11">
        <v>1.54</v>
      </c>
      <c r="L11">
        <v>1.8</v>
      </c>
      <c r="M11">
        <v>89</v>
      </c>
      <c r="N11">
        <v>50</v>
      </c>
      <c r="O11">
        <v>1.86</v>
      </c>
      <c r="P11">
        <v>25.47</v>
      </c>
      <c r="Q11">
        <v>2.73</v>
      </c>
      <c r="R11">
        <v>5.2</v>
      </c>
      <c r="S11">
        <v>88.91</v>
      </c>
      <c r="T11">
        <v>3.14</v>
      </c>
      <c r="U11">
        <v>0.45</v>
      </c>
      <c r="V11">
        <v>6.25</v>
      </c>
      <c r="W11">
        <v>2.2000000000000002</v>
      </c>
      <c r="X11" s="1">
        <v>42909</v>
      </c>
    </row>
    <row r="12" spans="1:24" x14ac:dyDescent="0.25">
      <c r="A12" t="s">
        <v>166</v>
      </c>
      <c r="B12">
        <v>2017</v>
      </c>
      <c r="C12" t="s">
        <v>279</v>
      </c>
      <c r="D12">
        <v>8.1999999999999993</v>
      </c>
      <c r="E12">
        <v>7.9</v>
      </c>
      <c r="F12">
        <v>30</v>
      </c>
      <c r="G12">
        <v>488</v>
      </c>
      <c r="H12">
        <v>344</v>
      </c>
      <c r="I12">
        <v>9062</v>
      </c>
      <c r="J12">
        <v>10</v>
      </c>
      <c r="K12">
        <v>1.59</v>
      </c>
      <c r="L12">
        <v>2.06</v>
      </c>
      <c r="M12">
        <v>97</v>
      </c>
      <c r="N12">
        <v>53</v>
      </c>
      <c r="O12">
        <v>2.14</v>
      </c>
      <c r="P12">
        <v>25.51</v>
      </c>
      <c r="Q12">
        <v>2.4500000000000002</v>
      </c>
      <c r="R12">
        <v>5.61</v>
      </c>
      <c r="S12">
        <v>88.79</v>
      </c>
      <c r="T12">
        <v>3.13</v>
      </c>
      <c r="U12">
        <v>0.4</v>
      </c>
      <c r="V12">
        <v>2.2999999999999998</v>
      </c>
      <c r="W12">
        <v>2.2799999999999998</v>
      </c>
      <c r="X12" s="1">
        <v>42909</v>
      </c>
    </row>
    <row r="13" spans="1:24" x14ac:dyDescent="0.25">
      <c r="A13" t="s">
        <v>167</v>
      </c>
      <c r="B13">
        <v>2017</v>
      </c>
      <c r="C13" t="s">
        <v>279</v>
      </c>
      <c r="D13">
        <v>8.4</v>
      </c>
      <c r="E13">
        <v>7.9</v>
      </c>
      <c r="F13">
        <v>26</v>
      </c>
      <c r="G13">
        <v>555</v>
      </c>
      <c r="H13">
        <v>336</v>
      </c>
      <c r="I13">
        <v>8452</v>
      </c>
      <c r="J13">
        <v>13</v>
      </c>
      <c r="K13">
        <v>1.56</v>
      </c>
      <c r="L13">
        <v>1</v>
      </c>
      <c r="M13">
        <v>122</v>
      </c>
      <c r="N13">
        <v>46</v>
      </c>
      <c r="O13">
        <v>2.12</v>
      </c>
      <c r="P13">
        <v>24.04</v>
      </c>
      <c r="Q13">
        <v>2.95</v>
      </c>
      <c r="R13">
        <v>5.82</v>
      </c>
      <c r="S13">
        <v>87.88</v>
      </c>
      <c r="T13">
        <v>3.32</v>
      </c>
      <c r="U13">
        <v>0.52</v>
      </c>
      <c r="V13">
        <v>2.63</v>
      </c>
      <c r="W13">
        <v>2.04</v>
      </c>
      <c r="X13" s="1">
        <v>42909</v>
      </c>
    </row>
    <row r="14" spans="1:24" x14ac:dyDescent="0.25">
      <c r="A14" t="s">
        <v>168</v>
      </c>
      <c r="B14">
        <v>2017</v>
      </c>
      <c r="C14" t="s">
        <v>279</v>
      </c>
      <c r="D14">
        <v>8.1999999999999993</v>
      </c>
      <c r="E14">
        <v>7.9</v>
      </c>
      <c r="F14">
        <v>154</v>
      </c>
      <c r="G14">
        <v>764</v>
      </c>
      <c r="H14">
        <v>1751</v>
      </c>
      <c r="I14">
        <v>5238</v>
      </c>
      <c r="J14">
        <v>77</v>
      </c>
      <c r="K14">
        <v>4.21</v>
      </c>
      <c r="L14">
        <v>4.6500000000000004</v>
      </c>
      <c r="M14">
        <v>111</v>
      </c>
      <c r="N14">
        <v>58</v>
      </c>
      <c r="O14">
        <v>1.87</v>
      </c>
      <c r="P14">
        <v>22.17</v>
      </c>
      <c r="Q14">
        <v>4.41</v>
      </c>
      <c r="R14">
        <v>32.9</v>
      </c>
      <c r="S14">
        <v>59.06</v>
      </c>
      <c r="T14">
        <v>3.6</v>
      </c>
      <c r="U14">
        <v>0.72</v>
      </c>
      <c r="V14">
        <v>18.309999999999999</v>
      </c>
      <c r="W14">
        <v>2.17</v>
      </c>
      <c r="X14" s="1">
        <v>42909</v>
      </c>
    </row>
    <row r="15" spans="1:24" x14ac:dyDescent="0.25">
      <c r="A15" t="s">
        <v>169</v>
      </c>
      <c r="B15">
        <v>2017</v>
      </c>
      <c r="C15" t="s">
        <v>279</v>
      </c>
      <c r="D15">
        <v>8.3000000000000007</v>
      </c>
      <c r="E15">
        <v>7.85</v>
      </c>
      <c r="F15">
        <v>178</v>
      </c>
      <c r="G15">
        <v>948</v>
      </c>
      <c r="H15">
        <v>1661</v>
      </c>
      <c r="I15">
        <v>5904</v>
      </c>
      <c r="J15">
        <v>65</v>
      </c>
      <c r="K15">
        <v>4.68</v>
      </c>
      <c r="L15">
        <v>4.84</v>
      </c>
      <c r="M15">
        <v>93</v>
      </c>
      <c r="N15">
        <v>58</v>
      </c>
      <c r="O15">
        <v>1.76</v>
      </c>
      <c r="P15">
        <v>24.09</v>
      </c>
      <c r="Q15">
        <v>5.04</v>
      </c>
      <c r="R15">
        <v>28.72</v>
      </c>
      <c r="S15">
        <v>61.25</v>
      </c>
      <c r="T15">
        <v>4.9800000000000004</v>
      </c>
      <c r="U15">
        <v>0.8</v>
      </c>
      <c r="V15">
        <v>22.88</v>
      </c>
      <c r="W15">
        <v>1.87</v>
      </c>
      <c r="X15" s="1">
        <v>42909</v>
      </c>
    </row>
    <row r="16" spans="1:24" x14ac:dyDescent="0.25">
      <c r="A16" t="s">
        <v>170</v>
      </c>
      <c r="B16">
        <v>2017</v>
      </c>
      <c r="C16" t="s">
        <v>279</v>
      </c>
      <c r="D16">
        <v>8.4</v>
      </c>
      <c r="E16">
        <v>7.9</v>
      </c>
      <c r="F16">
        <v>72</v>
      </c>
      <c r="G16">
        <v>538</v>
      </c>
      <c r="H16">
        <v>1477</v>
      </c>
      <c r="I16">
        <v>3595</v>
      </c>
      <c r="J16">
        <v>46</v>
      </c>
      <c r="K16">
        <v>3.58</v>
      </c>
      <c r="L16">
        <v>2.66</v>
      </c>
      <c r="M16">
        <v>89</v>
      </c>
      <c r="N16">
        <v>58</v>
      </c>
      <c r="O16">
        <v>1.7</v>
      </c>
      <c r="P16">
        <v>16.63</v>
      </c>
      <c r="Q16">
        <v>4.1399999999999997</v>
      </c>
      <c r="R16">
        <v>37</v>
      </c>
      <c r="S16">
        <v>54.03</v>
      </c>
      <c r="T16">
        <v>4.8099999999999996</v>
      </c>
      <c r="U16">
        <v>0.54</v>
      </c>
      <c r="V16">
        <v>3.75</v>
      </c>
      <c r="W16">
        <v>1.57</v>
      </c>
      <c r="X16" s="1">
        <v>42909</v>
      </c>
    </row>
    <row r="17" spans="1:24" x14ac:dyDescent="0.25">
      <c r="A17" t="s">
        <v>171</v>
      </c>
      <c r="B17">
        <v>2017</v>
      </c>
      <c r="C17" t="s">
        <v>279</v>
      </c>
      <c r="D17">
        <v>8.4</v>
      </c>
      <c r="E17">
        <v>7.9</v>
      </c>
      <c r="F17">
        <v>107</v>
      </c>
      <c r="G17">
        <v>715</v>
      </c>
      <c r="H17">
        <v>1822</v>
      </c>
      <c r="I17">
        <v>2650</v>
      </c>
      <c r="J17">
        <v>73</v>
      </c>
      <c r="K17">
        <v>4.1900000000000004</v>
      </c>
      <c r="L17">
        <v>4.29</v>
      </c>
      <c r="M17">
        <v>120</v>
      </c>
      <c r="N17">
        <v>77</v>
      </c>
      <c r="O17">
        <v>1.99</v>
      </c>
      <c r="P17">
        <v>15.93</v>
      </c>
      <c r="Q17">
        <v>5.75</v>
      </c>
      <c r="R17">
        <v>47.64</v>
      </c>
      <c r="S17">
        <v>41.57</v>
      </c>
      <c r="T17">
        <v>5.0199999999999996</v>
      </c>
      <c r="U17">
        <v>0.65</v>
      </c>
      <c r="V17">
        <v>9.73</v>
      </c>
      <c r="W17">
        <v>1.77</v>
      </c>
      <c r="X17" s="1">
        <v>42909</v>
      </c>
    </row>
    <row r="18" spans="1:24" x14ac:dyDescent="0.25">
      <c r="A18" t="s">
        <v>813</v>
      </c>
      <c r="B18">
        <v>2017</v>
      </c>
      <c r="C18" t="s">
        <v>279</v>
      </c>
      <c r="D18">
        <v>7.5</v>
      </c>
      <c r="E18">
        <v>7.85</v>
      </c>
      <c r="F18">
        <v>122</v>
      </c>
      <c r="G18">
        <v>937</v>
      </c>
      <c r="H18">
        <v>389</v>
      </c>
      <c r="I18">
        <v>3381</v>
      </c>
      <c r="J18">
        <v>7</v>
      </c>
      <c r="K18">
        <v>1.21</v>
      </c>
      <c r="L18">
        <v>1.62</v>
      </c>
      <c r="M18">
        <v>190</v>
      </c>
      <c r="N18">
        <v>102</v>
      </c>
      <c r="O18">
        <v>2.37</v>
      </c>
      <c r="P18">
        <v>12.47</v>
      </c>
      <c r="Q18">
        <v>9.6199999999999992</v>
      </c>
      <c r="R18">
        <v>12.99</v>
      </c>
      <c r="S18">
        <v>67.75</v>
      </c>
      <c r="T18">
        <v>9.61</v>
      </c>
      <c r="U18">
        <v>0.69</v>
      </c>
      <c r="V18">
        <v>0.31</v>
      </c>
      <c r="W18">
        <v>1.87</v>
      </c>
      <c r="X18" s="1">
        <v>42912</v>
      </c>
    </row>
    <row r="19" spans="1:24" x14ac:dyDescent="0.25">
      <c r="A19" t="s">
        <v>814</v>
      </c>
      <c r="B19">
        <v>2017</v>
      </c>
      <c r="C19" t="s">
        <v>279</v>
      </c>
      <c r="D19">
        <v>7.6</v>
      </c>
      <c r="E19">
        <v>7.8</v>
      </c>
      <c r="F19">
        <v>144</v>
      </c>
      <c r="G19">
        <v>1482</v>
      </c>
      <c r="H19">
        <v>457</v>
      </c>
      <c r="I19">
        <v>3650</v>
      </c>
      <c r="J19">
        <v>9</v>
      </c>
      <c r="K19">
        <v>1.72</v>
      </c>
      <c r="L19">
        <v>2.31</v>
      </c>
      <c r="M19">
        <v>191</v>
      </c>
      <c r="N19">
        <v>95</v>
      </c>
      <c r="O19">
        <v>2.37</v>
      </c>
      <c r="P19">
        <v>14.52</v>
      </c>
      <c r="Q19">
        <v>13.07</v>
      </c>
      <c r="R19">
        <v>13.1</v>
      </c>
      <c r="S19">
        <v>62.8</v>
      </c>
      <c r="T19">
        <v>11.01</v>
      </c>
      <c r="U19">
        <v>1.01</v>
      </c>
      <c r="V19">
        <v>1.49</v>
      </c>
      <c r="W19">
        <v>2.2200000000000002</v>
      </c>
      <c r="X19" s="1">
        <v>42912</v>
      </c>
    </row>
    <row r="20" spans="1:24" x14ac:dyDescent="0.25">
      <c r="A20" t="s">
        <v>815</v>
      </c>
      <c r="B20">
        <v>2017</v>
      </c>
      <c r="C20" t="s">
        <v>279</v>
      </c>
      <c r="D20">
        <v>7.8</v>
      </c>
      <c r="E20">
        <v>7.85</v>
      </c>
      <c r="F20">
        <v>126</v>
      </c>
      <c r="G20">
        <v>936</v>
      </c>
      <c r="H20">
        <v>341</v>
      </c>
      <c r="I20">
        <v>3682</v>
      </c>
      <c r="J20">
        <v>8</v>
      </c>
      <c r="K20">
        <v>1.41</v>
      </c>
      <c r="L20">
        <v>1.9</v>
      </c>
      <c r="M20">
        <v>169</v>
      </c>
      <c r="N20">
        <v>77</v>
      </c>
      <c r="O20">
        <v>2.41</v>
      </c>
      <c r="P20">
        <v>13.02</v>
      </c>
      <c r="Q20">
        <v>9.2100000000000009</v>
      </c>
      <c r="R20">
        <v>10.9</v>
      </c>
      <c r="S20">
        <v>70.66</v>
      </c>
      <c r="T20">
        <v>9.2100000000000009</v>
      </c>
      <c r="U20">
        <v>0.95</v>
      </c>
      <c r="V20">
        <v>0.41</v>
      </c>
      <c r="W20">
        <v>1.6</v>
      </c>
      <c r="X20" s="1">
        <v>42912</v>
      </c>
    </row>
    <row r="21" spans="1:24" x14ac:dyDescent="0.25">
      <c r="A21" t="s">
        <v>816</v>
      </c>
      <c r="B21">
        <v>2017</v>
      </c>
      <c r="C21" t="s">
        <v>279</v>
      </c>
      <c r="D21">
        <v>7.7</v>
      </c>
      <c r="E21">
        <v>7.8</v>
      </c>
      <c r="F21">
        <v>128</v>
      </c>
      <c r="G21">
        <v>1056</v>
      </c>
      <c r="H21">
        <v>389</v>
      </c>
      <c r="I21">
        <v>3929</v>
      </c>
      <c r="J21">
        <v>9</v>
      </c>
      <c r="K21">
        <v>1.58</v>
      </c>
      <c r="L21">
        <v>2.02</v>
      </c>
      <c r="M21">
        <v>207</v>
      </c>
      <c r="N21">
        <v>86</v>
      </c>
      <c r="O21">
        <v>2.7</v>
      </c>
      <c r="P21">
        <v>14.39</v>
      </c>
      <c r="Q21">
        <v>9.4</v>
      </c>
      <c r="R21">
        <v>11.25</v>
      </c>
      <c r="S21">
        <v>68.22</v>
      </c>
      <c r="T21">
        <v>11.11</v>
      </c>
      <c r="U21">
        <v>0.81</v>
      </c>
      <c r="V21">
        <v>0.6</v>
      </c>
      <c r="W21">
        <v>1.36</v>
      </c>
      <c r="X21" s="1">
        <v>42912</v>
      </c>
    </row>
    <row r="22" spans="1:24" x14ac:dyDescent="0.25">
      <c r="A22" t="s">
        <v>160</v>
      </c>
      <c r="B22">
        <v>2017</v>
      </c>
      <c r="C22" t="s">
        <v>279</v>
      </c>
      <c r="D22">
        <v>7.7</v>
      </c>
      <c r="E22">
        <v>7.85</v>
      </c>
      <c r="F22">
        <v>134</v>
      </c>
      <c r="G22">
        <v>565</v>
      </c>
      <c r="H22">
        <v>1034</v>
      </c>
      <c r="I22">
        <v>2548</v>
      </c>
      <c r="J22">
        <v>46</v>
      </c>
      <c r="K22">
        <v>2.56</v>
      </c>
      <c r="L22">
        <v>7.93</v>
      </c>
      <c r="M22">
        <v>97</v>
      </c>
      <c r="N22">
        <v>76</v>
      </c>
      <c r="O22">
        <v>2.02</v>
      </c>
      <c r="P22">
        <v>12.6</v>
      </c>
      <c r="Q22">
        <v>5.74</v>
      </c>
      <c r="R22">
        <v>34.18</v>
      </c>
      <c r="S22">
        <v>50.54</v>
      </c>
      <c r="T22">
        <v>9.52</v>
      </c>
      <c r="U22">
        <v>0.53</v>
      </c>
      <c r="V22">
        <v>2.92</v>
      </c>
      <c r="W22">
        <v>1.28</v>
      </c>
      <c r="X22" s="1">
        <v>42977</v>
      </c>
    </row>
    <row r="23" spans="1:24" x14ac:dyDescent="0.25">
      <c r="A23" t="s">
        <v>161</v>
      </c>
      <c r="B23">
        <v>2017</v>
      </c>
      <c r="C23" t="s">
        <v>279</v>
      </c>
      <c r="D23">
        <v>8.4</v>
      </c>
      <c r="E23">
        <v>7.9</v>
      </c>
      <c r="F23">
        <v>88</v>
      </c>
      <c r="G23">
        <v>615</v>
      </c>
      <c r="H23">
        <v>1366</v>
      </c>
      <c r="I23">
        <v>8682</v>
      </c>
      <c r="J23">
        <v>51</v>
      </c>
      <c r="K23">
        <v>3.6</v>
      </c>
      <c r="L23">
        <v>4.3099999999999996</v>
      </c>
      <c r="M23">
        <v>61</v>
      </c>
      <c r="N23">
        <v>39</v>
      </c>
      <c r="O23">
        <v>1.55</v>
      </c>
      <c r="P23">
        <v>28.98</v>
      </c>
      <c r="Q23">
        <v>2.72</v>
      </c>
      <c r="R23">
        <v>19.63</v>
      </c>
      <c r="S23">
        <v>74.88</v>
      </c>
      <c r="T23">
        <v>2.76</v>
      </c>
      <c r="U23">
        <v>0.57999999999999996</v>
      </c>
      <c r="V23">
        <v>3.52</v>
      </c>
      <c r="W23">
        <v>0.74</v>
      </c>
      <c r="X23" s="1">
        <v>42977</v>
      </c>
    </row>
    <row r="24" spans="1:24" x14ac:dyDescent="0.25">
      <c r="A24" t="s">
        <v>162</v>
      </c>
      <c r="B24">
        <v>2017</v>
      </c>
      <c r="C24" t="s">
        <v>279</v>
      </c>
      <c r="D24">
        <v>8.3000000000000007</v>
      </c>
      <c r="E24">
        <v>7.85</v>
      </c>
      <c r="F24">
        <v>90</v>
      </c>
      <c r="G24">
        <v>708</v>
      </c>
      <c r="H24">
        <v>1334</v>
      </c>
      <c r="I24">
        <v>3154</v>
      </c>
      <c r="J24">
        <v>31</v>
      </c>
      <c r="K24">
        <v>3.13</v>
      </c>
      <c r="L24">
        <v>4.26</v>
      </c>
      <c r="M24">
        <v>79</v>
      </c>
      <c r="N24">
        <v>60</v>
      </c>
      <c r="O24">
        <v>1.81</v>
      </c>
      <c r="P24">
        <v>15.55</v>
      </c>
      <c r="Q24">
        <v>5.83</v>
      </c>
      <c r="R24">
        <v>35.74</v>
      </c>
      <c r="S24">
        <v>50.7</v>
      </c>
      <c r="T24">
        <v>7.71</v>
      </c>
      <c r="U24">
        <v>0.48</v>
      </c>
      <c r="V24">
        <v>2.2799999999999998</v>
      </c>
      <c r="W24">
        <v>1.1000000000000001</v>
      </c>
      <c r="X24" s="1">
        <v>42983</v>
      </c>
    </row>
    <row r="25" spans="1:24" x14ac:dyDescent="0.25">
      <c r="A25" t="s">
        <v>163</v>
      </c>
      <c r="B25">
        <v>2017</v>
      </c>
      <c r="C25" t="s">
        <v>279</v>
      </c>
      <c r="D25">
        <v>8.1999999999999993</v>
      </c>
      <c r="E25">
        <v>7.9</v>
      </c>
      <c r="F25">
        <v>141</v>
      </c>
      <c r="G25">
        <v>551</v>
      </c>
      <c r="H25">
        <v>1218</v>
      </c>
      <c r="I25">
        <v>3935</v>
      </c>
      <c r="J25">
        <v>56</v>
      </c>
      <c r="K25">
        <v>3.5</v>
      </c>
      <c r="L25">
        <v>5.62</v>
      </c>
      <c r="M25">
        <v>82</v>
      </c>
      <c r="N25">
        <v>58</v>
      </c>
      <c r="O25">
        <v>1.84</v>
      </c>
      <c r="P25">
        <v>16.41</v>
      </c>
      <c r="Q25">
        <v>4.3</v>
      </c>
      <c r="R25">
        <v>30.9</v>
      </c>
      <c r="S25">
        <v>59.91</v>
      </c>
      <c r="T25">
        <v>4.87</v>
      </c>
      <c r="U25">
        <v>0.54</v>
      </c>
      <c r="V25">
        <v>1.69</v>
      </c>
      <c r="W25">
        <v>0.49</v>
      </c>
      <c r="X25" s="1">
        <v>42983</v>
      </c>
    </row>
    <row r="26" spans="1:24" x14ac:dyDescent="0.25">
      <c r="A26" t="s">
        <v>164</v>
      </c>
      <c r="B26">
        <v>2017</v>
      </c>
      <c r="C26" t="s">
        <v>279</v>
      </c>
      <c r="D26">
        <v>6.3</v>
      </c>
      <c r="E26">
        <v>7.8</v>
      </c>
      <c r="F26">
        <v>13</v>
      </c>
      <c r="G26">
        <v>449</v>
      </c>
      <c r="H26">
        <v>327</v>
      </c>
      <c r="I26">
        <v>2455</v>
      </c>
      <c r="J26">
        <v>13</v>
      </c>
      <c r="K26">
        <v>0.83</v>
      </c>
      <c r="L26">
        <v>0.49</v>
      </c>
      <c r="M26">
        <v>106</v>
      </c>
      <c r="N26">
        <v>60</v>
      </c>
      <c r="O26">
        <v>1.72</v>
      </c>
      <c r="P26">
        <v>9.67</v>
      </c>
      <c r="Q26">
        <v>5.94</v>
      </c>
      <c r="R26">
        <v>14.08</v>
      </c>
      <c r="S26">
        <v>63.43</v>
      </c>
      <c r="T26">
        <v>16.53</v>
      </c>
      <c r="U26">
        <v>0.22</v>
      </c>
      <c r="V26">
        <v>0.48</v>
      </c>
      <c r="W26">
        <v>1.29</v>
      </c>
      <c r="X26" s="1">
        <v>42977</v>
      </c>
    </row>
    <row r="27" spans="1:24" x14ac:dyDescent="0.25">
      <c r="A27" t="s">
        <v>165</v>
      </c>
      <c r="B27">
        <v>2017</v>
      </c>
      <c r="C27" t="s">
        <v>279</v>
      </c>
      <c r="D27">
        <v>8.3000000000000007</v>
      </c>
      <c r="E27">
        <v>7.9</v>
      </c>
      <c r="F27">
        <v>36</v>
      </c>
      <c r="G27">
        <v>535</v>
      </c>
      <c r="H27">
        <v>311</v>
      </c>
      <c r="I27">
        <v>9764</v>
      </c>
      <c r="J27">
        <v>14</v>
      </c>
      <c r="K27">
        <v>1.39</v>
      </c>
      <c r="L27">
        <v>1.1499999999999999</v>
      </c>
      <c r="M27">
        <v>80</v>
      </c>
      <c r="N27">
        <v>31</v>
      </c>
      <c r="O27">
        <v>1.88</v>
      </c>
      <c r="P27">
        <v>27.19</v>
      </c>
      <c r="Q27">
        <v>2.52</v>
      </c>
      <c r="R27">
        <v>4.76</v>
      </c>
      <c r="S27">
        <v>89.76</v>
      </c>
      <c r="T27">
        <v>2.94</v>
      </c>
      <c r="U27">
        <v>0.27</v>
      </c>
      <c r="V27">
        <v>0.88</v>
      </c>
      <c r="W27">
        <v>0.38</v>
      </c>
      <c r="X27" s="1">
        <v>42977</v>
      </c>
    </row>
    <row r="28" spans="1:24" x14ac:dyDescent="0.25">
      <c r="A28" t="s">
        <v>166</v>
      </c>
      <c r="B28">
        <v>2017</v>
      </c>
      <c r="C28" t="s">
        <v>279</v>
      </c>
      <c r="D28">
        <v>8.4</v>
      </c>
      <c r="E28">
        <v>7.85</v>
      </c>
      <c r="F28">
        <v>42</v>
      </c>
      <c r="G28">
        <v>479</v>
      </c>
      <c r="H28">
        <v>302</v>
      </c>
      <c r="I28">
        <v>10350</v>
      </c>
      <c r="J28">
        <v>12</v>
      </c>
      <c r="K28">
        <v>1.47</v>
      </c>
      <c r="L28">
        <v>1.1299999999999999</v>
      </c>
      <c r="M28">
        <v>79</v>
      </c>
      <c r="N28">
        <v>32</v>
      </c>
      <c r="O28">
        <v>1.75</v>
      </c>
      <c r="P28">
        <v>28.94</v>
      </c>
      <c r="Q28">
        <v>2.12</v>
      </c>
      <c r="R28">
        <v>4.34</v>
      </c>
      <c r="S28">
        <v>89.38</v>
      </c>
      <c r="T28">
        <v>4.1399999999999997</v>
      </c>
      <c r="U28">
        <v>0.31</v>
      </c>
      <c r="V28">
        <v>1.1200000000000001</v>
      </c>
      <c r="W28">
        <v>0.61</v>
      </c>
      <c r="X28" s="1">
        <v>42983</v>
      </c>
    </row>
    <row r="29" spans="1:24" x14ac:dyDescent="0.25">
      <c r="A29" t="s">
        <v>167</v>
      </c>
      <c r="B29">
        <v>2017</v>
      </c>
      <c r="C29" t="s">
        <v>279</v>
      </c>
      <c r="D29">
        <v>8.4</v>
      </c>
      <c r="E29">
        <v>7.9</v>
      </c>
      <c r="F29">
        <v>42</v>
      </c>
      <c r="G29">
        <v>548</v>
      </c>
      <c r="H29">
        <v>345</v>
      </c>
      <c r="I29">
        <v>10420</v>
      </c>
      <c r="J29">
        <v>15</v>
      </c>
      <c r="K29">
        <v>1.49</v>
      </c>
      <c r="L29">
        <v>1.21</v>
      </c>
      <c r="M29">
        <v>81</v>
      </c>
      <c r="N29">
        <v>37</v>
      </c>
      <c r="O29">
        <v>1.81</v>
      </c>
      <c r="P29">
        <v>28.99</v>
      </c>
      <c r="Q29">
        <v>2.42</v>
      </c>
      <c r="R29">
        <v>4.95</v>
      </c>
      <c r="S29">
        <v>89.85</v>
      </c>
      <c r="T29">
        <v>2.75</v>
      </c>
      <c r="U29">
        <v>0.35</v>
      </c>
      <c r="V29">
        <v>1.33</v>
      </c>
      <c r="W29">
        <v>0.94</v>
      </c>
      <c r="X29" s="1">
        <v>42983</v>
      </c>
    </row>
    <row r="30" spans="1:24" x14ac:dyDescent="0.25">
      <c r="A30" t="s">
        <v>168</v>
      </c>
      <c r="B30">
        <v>2017</v>
      </c>
      <c r="C30" t="s">
        <v>279</v>
      </c>
      <c r="D30">
        <v>8.1</v>
      </c>
      <c r="E30">
        <v>7.9</v>
      </c>
      <c r="F30">
        <v>109</v>
      </c>
      <c r="G30">
        <v>634</v>
      </c>
      <c r="H30">
        <v>1599</v>
      </c>
      <c r="I30">
        <v>2442</v>
      </c>
      <c r="J30">
        <v>14</v>
      </c>
      <c r="K30">
        <v>2.98</v>
      </c>
      <c r="L30">
        <v>7.86</v>
      </c>
      <c r="M30">
        <v>106</v>
      </c>
      <c r="N30">
        <v>62</v>
      </c>
      <c r="O30">
        <v>1.75</v>
      </c>
      <c r="P30">
        <v>14.38</v>
      </c>
      <c r="Q30">
        <v>5.65</v>
      </c>
      <c r="R30">
        <v>46.33</v>
      </c>
      <c r="S30">
        <v>42.45</v>
      </c>
      <c r="T30">
        <v>5.56</v>
      </c>
      <c r="U30">
        <v>0.59</v>
      </c>
      <c r="V30">
        <v>1.53</v>
      </c>
      <c r="W30">
        <v>0.81</v>
      </c>
      <c r="X30" s="1">
        <v>42977</v>
      </c>
    </row>
    <row r="31" spans="1:24" x14ac:dyDescent="0.25">
      <c r="A31" t="s">
        <v>169</v>
      </c>
      <c r="B31">
        <v>2017</v>
      </c>
      <c r="C31" t="s">
        <v>279</v>
      </c>
      <c r="D31">
        <v>8.4</v>
      </c>
      <c r="E31">
        <v>7.85</v>
      </c>
      <c r="F31">
        <v>168</v>
      </c>
      <c r="G31">
        <v>686</v>
      </c>
      <c r="H31">
        <v>1618</v>
      </c>
      <c r="I31">
        <v>2525</v>
      </c>
      <c r="J31">
        <v>31</v>
      </c>
      <c r="K31">
        <v>3.38</v>
      </c>
      <c r="L31">
        <v>5.07</v>
      </c>
      <c r="M31">
        <v>103</v>
      </c>
      <c r="N31">
        <v>65</v>
      </c>
      <c r="O31">
        <v>1.91</v>
      </c>
      <c r="P31">
        <v>15.13</v>
      </c>
      <c r="Q31">
        <v>5.81</v>
      </c>
      <c r="R31">
        <v>44.54</v>
      </c>
      <c r="S31">
        <v>41.71</v>
      </c>
      <c r="T31">
        <v>7.92</v>
      </c>
      <c r="U31">
        <v>0.37</v>
      </c>
      <c r="V31">
        <v>3.4</v>
      </c>
      <c r="W31">
        <v>2.16</v>
      </c>
      <c r="X31" s="1">
        <v>42977</v>
      </c>
    </row>
    <row r="32" spans="1:24" x14ac:dyDescent="0.25">
      <c r="A32" t="s">
        <v>170</v>
      </c>
      <c r="B32">
        <v>2017</v>
      </c>
      <c r="C32" t="s">
        <v>279</v>
      </c>
      <c r="D32">
        <v>8.1</v>
      </c>
      <c r="E32">
        <v>7.85</v>
      </c>
      <c r="F32">
        <v>95</v>
      </c>
      <c r="G32">
        <v>691</v>
      </c>
      <c r="H32">
        <v>1613</v>
      </c>
      <c r="I32">
        <v>2271</v>
      </c>
      <c r="J32">
        <v>14</v>
      </c>
      <c r="K32">
        <v>2.8</v>
      </c>
      <c r="L32">
        <v>6.68</v>
      </c>
      <c r="M32">
        <v>104</v>
      </c>
      <c r="N32">
        <v>67</v>
      </c>
      <c r="O32">
        <v>1.68</v>
      </c>
      <c r="P32">
        <v>14.48</v>
      </c>
      <c r="Q32">
        <v>6.11</v>
      </c>
      <c r="R32">
        <v>46.4</v>
      </c>
      <c r="S32">
        <v>39.19</v>
      </c>
      <c r="T32">
        <v>8.2799999999999994</v>
      </c>
      <c r="U32">
        <v>0.49</v>
      </c>
      <c r="V32">
        <v>1.5</v>
      </c>
      <c r="W32">
        <v>1.48</v>
      </c>
      <c r="X32" s="1">
        <v>42983</v>
      </c>
    </row>
    <row r="33" spans="1:24" x14ac:dyDescent="0.25">
      <c r="A33" t="s">
        <v>171</v>
      </c>
      <c r="B33">
        <v>2017</v>
      </c>
      <c r="C33" t="s">
        <v>279</v>
      </c>
      <c r="D33">
        <v>7.9</v>
      </c>
      <c r="E33">
        <v>7.9</v>
      </c>
      <c r="F33">
        <v>149</v>
      </c>
      <c r="G33">
        <v>919</v>
      </c>
      <c r="H33">
        <v>1325</v>
      </c>
      <c r="I33">
        <v>2194</v>
      </c>
      <c r="J33">
        <v>21</v>
      </c>
      <c r="K33">
        <v>2.81</v>
      </c>
      <c r="L33">
        <v>4.6100000000000003</v>
      </c>
      <c r="M33">
        <v>100</v>
      </c>
      <c r="N33">
        <v>67</v>
      </c>
      <c r="O33">
        <v>1.67</v>
      </c>
      <c r="P33">
        <v>12.98</v>
      </c>
      <c r="Q33">
        <v>9.07</v>
      </c>
      <c r="R33">
        <v>42.52</v>
      </c>
      <c r="S33">
        <v>42.24</v>
      </c>
      <c r="T33">
        <v>6.16</v>
      </c>
      <c r="U33">
        <v>0.56000000000000005</v>
      </c>
      <c r="V33">
        <v>1.62</v>
      </c>
      <c r="W33">
        <v>1.92</v>
      </c>
      <c r="X33" s="1">
        <v>42983</v>
      </c>
    </row>
    <row r="34" spans="1:24" x14ac:dyDescent="0.25">
      <c r="A34" t="s">
        <v>813</v>
      </c>
      <c r="B34">
        <v>2017</v>
      </c>
      <c r="C34" t="s">
        <v>279</v>
      </c>
      <c r="D34">
        <v>7.5</v>
      </c>
      <c r="E34">
        <v>7.8</v>
      </c>
      <c r="F34">
        <v>187</v>
      </c>
      <c r="G34">
        <v>1235</v>
      </c>
      <c r="H34">
        <v>464</v>
      </c>
      <c r="I34">
        <v>3853</v>
      </c>
      <c r="J34">
        <v>16</v>
      </c>
      <c r="K34">
        <v>1.44</v>
      </c>
      <c r="L34">
        <v>2.5299999999999998</v>
      </c>
      <c r="M34">
        <v>195</v>
      </c>
      <c r="N34">
        <v>100</v>
      </c>
      <c r="O34">
        <v>2.58</v>
      </c>
      <c r="P34">
        <v>14.74</v>
      </c>
      <c r="Q34">
        <v>10.73</v>
      </c>
      <c r="R34">
        <v>13.1</v>
      </c>
      <c r="S34">
        <v>65.3</v>
      </c>
      <c r="T34">
        <v>10.84</v>
      </c>
      <c r="U34">
        <v>0.77</v>
      </c>
      <c r="V34">
        <v>4.3099999999999996</v>
      </c>
      <c r="W34">
        <v>1.29</v>
      </c>
      <c r="X34" s="1">
        <v>42983</v>
      </c>
    </row>
    <row r="35" spans="1:24" x14ac:dyDescent="0.25">
      <c r="A35" t="s">
        <v>814</v>
      </c>
      <c r="B35">
        <v>2017</v>
      </c>
      <c r="C35" t="s">
        <v>279</v>
      </c>
      <c r="D35">
        <v>7.3</v>
      </c>
      <c r="E35">
        <v>7.75</v>
      </c>
      <c r="F35">
        <v>172</v>
      </c>
      <c r="G35">
        <v>1315</v>
      </c>
      <c r="H35">
        <v>464</v>
      </c>
      <c r="I35">
        <v>3850</v>
      </c>
      <c r="J35">
        <v>16</v>
      </c>
      <c r="K35">
        <v>1.63</v>
      </c>
      <c r="L35">
        <v>2.38</v>
      </c>
      <c r="M35">
        <v>215</v>
      </c>
      <c r="N35">
        <v>98</v>
      </c>
      <c r="O35">
        <v>2.76</v>
      </c>
      <c r="P35">
        <v>15.24</v>
      </c>
      <c r="Q35">
        <v>11.05</v>
      </c>
      <c r="R35">
        <v>12.68</v>
      </c>
      <c r="S35">
        <v>63.13</v>
      </c>
      <c r="T35">
        <v>13.11</v>
      </c>
      <c r="U35">
        <v>0.73</v>
      </c>
      <c r="V35">
        <v>1.6</v>
      </c>
      <c r="W35">
        <v>0.66</v>
      </c>
      <c r="X35" s="1">
        <v>42983</v>
      </c>
    </row>
    <row r="36" spans="1:24" x14ac:dyDescent="0.25">
      <c r="A36" t="s">
        <v>815</v>
      </c>
      <c r="B36">
        <v>2017</v>
      </c>
      <c r="C36" t="s">
        <v>279</v>
      </c>
      <c r="D36">
        <v>7.3</v>
      </c>
      <c r="E36">
        <v>7.75</v>
      </c>
      <c r="F36">
        <v>163</v>
      </c>
      <c r="G36">
        <v>1338</v>
      </c>
      <c r="H36">
        <v>500</v>
      </c>
      <c r="I36">
        <v>4230</v>
      </c>
      <c r="J36">
        <v>19</v>
      </c>
      <c r="K36">
        <v>1.85</v>
      </c>
      <c r="L36">
        <v>2.46</v>
      </c>
      <c r="M36">
        <v>246</v>
      </c>
      <c r="N36">
        <v>102</v>
      </c>
      <c r="O36">
        <v>3.02</v>
      </c>
      <c r="P36">
        <v>16.37</v>
      </c>
      <c r="Q36">
        <v>10.47</v>
      </c>
      <c r="R36">
        <v>12.72</v>
      </c>
      <c r="S36">
        <v>64.58</v>
      </c>
      <c r="T36">
        <v>12.21</v>
      </c>
      <c r="U36">
        <v>0.65</v>
      </c>
      <c r="V36">
        <v>0.57999999999999996</v>
      </c>
      <c r="W36">
        <v>0.77</v>
      </c>
      <c r="X36" s="1">
        <v>42983</v>
      </c>
    </row>
    <row r="37" spans="1:24" x14ac:dyDescent="0.25">
      <c r="A37" t="s">
        <v>816</v>
      </c>
      <c r="B37">
        <v>2017</v>
      </c>
      <c r="C37" t="s">
        <v>279</v>
      </c>
      <c r="D37">
        <v>7.2</v>
      </c>
      <c r="E37">
        <v>7.85</v>
      </c>
      <c r="F37">
        <v>138</v>
      </c>
      <c r="G37">
        <v>1081</v>
      </c>
      <c r="H37">
        <v>414</v>
      </c>
      <c r="I37">
        <v>3401</v>
      </c>
      <c r="J37">
        <v>15</v>
      </c>
      <c r="K37">
        <v>1.34</v>
      </c>
      <c r="L37">
        <v>1.95</v>
      </c>
      <c r="M37">
        <v>195</v>
      </c>
      <c r="N37">
        <v>89</v>
      </c>
      <c r="O37">
        <v>2.4700000000000002</v>
      </c>
      <c r="P37">
        <v>12.81</v>
      </c>
      <c r="Q37">
        <v>10.81</v>
      </c>
      <c r="R37">
        <v>13.46</v>
      </c>
      <c r="S37">
        <v>66.349999999999994</v>
      </c>
      <c r="T37">
        <v>9.36</v>
      </c>
      <c r="U37">
        <v>0.46</v>
      </c>
      <c r="V37">
        <v>0.66</v>
      </c>
      <c r="W37">
        <v>0.56999999999999995</v>
      </c>
      <c r="X37" s="1">
        <v>42983</v>
      </c>
    </row>
    <row r="38" spans="1:24" x14ac:dyDescent="0.25">
      <c r="A38" t="s">
        <v>809</v>
      </c>
      <c r="B38">
        <v>2017</v>
      </c>
      <c r="C38" t="s">
        <v>275</v>
      </c>
      <c r="D38">
        <v>7.8</v>
      </c>
      <c r="E38">
        <v>7.8</v>
      </c>
      <c r="F38">
        <v>73</v>
      </c>
      <c r="G38">
        <v>1272</v>
      </c>
      <c r="H38">
        <v>1763</v>
      </c>
      <c r="I38">
        <v>5363</v>
      </c>
      <c r="J38">
        <v>22</v>
      </c>
      <c r="K38">
        <v>4.1399999999999997</v>
      </c>
      <c r="L38">
        <v>5.29</v>
      </c>
      <c r="M38">
        <v>425</v>
      </c>
      <c r="N38">
        <v>75</v>
      </c>
      <c r="O38">
        <v>6.68</v>
      </c>
      <c r="P38">
        <v>23.98</v>
      </c>
      <c r="Q38">
        <v>6.79</v>
      </c>
      <c r="R38">
        <v>30.62</v>
      </c>
      <c r="S38">
        <v>55.9</v>
      </c>
      <c r="T38">
        <v>6.67</v>
      </c>
      <c r="U38">
        <v>1.63</v>
      </c>
      <c r="V38">
        <v>3.52</v>
      </c>
      <c r="W38">
        <v>1.03</v>
      </c>
      <c r="X38" s="1">
        <v>42977</v>
      </c>
    </row>
    <row r="39" spans="1:24" x14ac:dyDescent="0.25">
      <c r="A39" t="s">
        <v>810</v>
      </c>
      <c r="B39">
        <v>2017</v>
      </c>
      <c r="C39" t="s">
        <v>275</v>
      </c>
      <c r="D39">
        <v>7.7</v>
      </c>
      <c r="E39">
        <v>7.75</v>
      </c>
      <c r="F39">
        <v>66</v>
      </c>
      <c r="G39">
        <v>1689</v>
      </c>
      <c r="H39">
        <v>1676</v>
      </c>
      <c r="I39">
        <v>5417</v>
      </c>
      <c r="J39">
        <v>22</v>
      </c>
      <c r="K39">
        <v>4.1900000000000004</v>
      </c>
      <c r="L39">
        <v>4.91</v>
      </c>
      <c r="M39">
        <v>430</v>
      </c>
      <c r="N39">
        <v>70</v>
      </c>
      <c r="O39">
        <v>6.69</v>
      </c>
      <c r="P39">
        <v>24.69</v>
      </c>
      <c r="Q39">
        <v>8.76</v>
      </c>
      <c r="R39">
        <v>28.28</v>
      </c>
      <c r="S39">
        <v>54.84</v>
      </c>
      <c r="T39">
        <v>8.1</v>
      </c>
      <c r="U39">
        <v>1.63</v>
      </c>
      <c r="V39">
        <v>2.65</v>
      </c>
      <c r="W39">
        <v>1.37</v>
      </c>
      <c r="X39" s="1">
        <v>42977</v>
      </c>
    </row>
    <row r="40" spans="1:24" x14ac:dyDescent="0.25">
      <c r="A40" t="s">
        <v>811</v>
      </c>
      <c r="B40">
        <v>2017</v>
      </c>
      <c r="C40" t="s">
        <v>275</v>
      </c>
      <c r="D40">
        <v>7.7</v>
      </c>
      <c r="E40">
        <v>7.75</v>
      </c>
      <c r="F40">
        <v>73</v>
      </c>
      <c r="G40">
        <v>1247</v>
      </c>
      <c r="H40">
        <v>1574</v>
      </c>
      <c r="I40">
        <v>5003</v>
      </c>
      <c r="J40">
        <v>17</v>
      </c>
      <c r="K40">
        <v>3.6</v>
      </c>
      <c r="L40">
        <v>3.73</v>
      </c>
      <c r="M40">
        <v>397</v>
      </c>
      <c r="N40">
        <v>67</v>
      </c>
      <c r="O40">
        <v>5.5</v>
      </c>
      <c r="P40">
        <v>22.66</v>
      </c>
      <c r="Q40">
        <v>7.05</v>
      </c>
      <c r="R40">
        <v>28.93</v>
      </c>
      <c r="S40">
        <v>55.18</v>
      </c>
      <c r="T40">
        <v>8.82</v>
      </c>
      <c r="U40">
        <v>1.51</v>
      </c>
      <c r="V40">
        <v>0.06</v>
      </c>
      <c r="W40">
        <v>0.92</v>
      </c>
      <c r="X40" s="1">
        <v>42977</v>
      </c>
    </row>
    <row r="41" spans="1:24" x14ac:dyDescent="0.25">
      <c r="A41" t="s">
        <v>812</v>
      </c>
      <c r="B41">
        <v>2017</v>
      </c>
      <c r="C41" t="s">
        <v>275</v>
      </c>
      <c r="D41">
        <v>7.7</v>
      </c>
      <c r="E41">
        <v>7.8</v>
      </c>
      <c r="F41">
        <v>95</v>
      </c>
      <c r="G41">
        <v>1074</v>
      </c>
      <c r="H41">
        <v>1662</v>
      </c>
      <c r="I41">
        <v>5055</v>
      </c>
      <c r="J41">
        <v>24</v>
      </c>
      <c r="K41">
        <v>3.76</v>
      </c>
      <c r="L41">
        <v>6.68</v>
      </c>
      <c r="M41">
        <v>399</v>
      </c>
      <c r="N41">
        <v>69</v>
      </c>
      <c r="O41">
        <v>5.44</v>
      </c>
      <c r="P41">
        <v>22.53</v>
      </c>
      <c r="Q41">
        <v>6.1</v>
      </c>
      <c r="R41">
        <v>30.72</v>
      </c>
      <c r="S41">
        <v>56.06</v>
      </c>
      <c r="T41">
        <v>7.09</v>
      </c>
      <c r="U41">
        <v>1.51</v>
      </c>
      <c r="V41">
        <v>7.9</v>
      </c>
      <c r="W41">
        <v>1.56</v>
      </c>
      <c r="X41" s="1">
        <v>42977</v>
      </c>
    </row>
    <row r="42" spans="1:24" x14ac:dyDescent="0.25">
      <c r="A42" t="s">
        <v>160</v>
      </c>
      <c r="B42">
        <v>2017</v>
      </c>
      <c r="C42" t="s">
        <v>279</v>
      </c>
      <c r="D42">
        <v>8.1999999999999993</v>
      </c>
      <c r="E42">
        <v>7.9</v>
      </c>
      <c r="F42">
        <v>197</v>
      </c>
      <c r="G42">
        <v>905</v>
      </c>
      <c r="H42">
        <v>1424</v>
      </c>
      <c r="I42">
        <v>3629</v>
      </c>
      <c r="J42">
        <v>35</v>
      </c>
      <c r="K42">
        <v>3.77</v>
      </c>
      <c r="L42">
        <v>8.6300000000000008</v>
      </c>
      <c r="M42">
        <v>81</v>
      </c>
      <c r="N42">
        <v>53</v>
      </c>
      <c r="O42">
        <v>1.83</v>
      </c>
      <c r="P42">
        <v>16.96</v>
      </c>
      <c r="Q42">
        <v>6.83</v>
      </c>
      <c r="R42">
        <v>34.97</v>
      </c>
      <c r="S42">
        <v>53.47</v>
      </c>
      <c r="T42">
        <v>4.71</v>
      </c>
      <c r="U42">
        <v>0.49</v>
      </c>
      <c r="V42">
        <v>4.8954000000000004</v>
      </c>
      <c r="W42">
        <v>1.7844</v>
      </c>
      <c r="X42" s="1">
        <v>43028</v>
      </c>
    </row>
    <row r="43" spans="1:24" x14ac:dyDescent="0.25">
      <c r="A43" t="s">
        <v>161</v>
      </c>
      <c r="B43">
        <v>2017</v>
      </c>
      <c r="C43" t="s">
        <v>279</v>
      </c>
      <c r="D43">
        <v>7.9</v>
      </c>
      <c r="E43">
        <v>7.85</v>
      </c>
      <c r="F43">
        <v>118</v>
      </c>
      <c r="G43">
        <v>764</v>
      </c>
      <c r="H43">
        <v>1312</v>
      </c>
      <c r="I43">
        <v>3345</v>
      </c>
      <c r="J43">
        <v>27</v>
      </c>
      <c r="K43">
        <v>3.47</v>
      </c>
      <c r="L43">
        <v>9.2200000000000006</v>
      </c>
      <c r="M43">
        <v>75</v>
      </c>
      <c r="N43">
        <v>58</v>
      </c>
      <c r="O43">
        <v>2.0099999999999998</v>
      </c>
      <c r="P43">
        <v>16</v>
      </c>
      <c r="Q43">
        <v>6.11</v>
      </c>
      <c r="R43">
        <v>34.14</v>
      </c>
      <c r="S43">
        <v>52.23</v>
      </c>
      <c r="T43">
        <v>7.49</v>
      </c>
      <c r="U43">
        <v>0.5</v>
      </c>
      <c r="V43">
        <v>4.3483000000000001</v>
      </c>
      <c r="W43">
        <v>1.6173</v>
      </c>
      <c r="X43" s="1">
        <v>43028</v>
      </c>
    </row>
    <row r="44" spans="1:24" x14ac:dyDescent="0.25">
      <c r="A44" t="s">
        <v>162</v>
      </c>
      <c r="B44">
        <v>2017</v>
      </c>
      <c r="C44" t="s">
        <v>279</v>
      </c>
      <c r="D44">
        <v>8.1999999999999993</v>
      </c>
      <c r="E44">
        <v>7.9</v>
      </c>
      <c r="F44">
        <v>146</v>
      </c>
      <c r="G44">
        <v>776</v>
      </c>
      <c r="H44">
        <v>1684</v>
      </c>
      <c r="I44">
        <v>4225</v>
      </c>
      <c r="J44">
        <v>38</v>
      </c>
      <c r="K44">
        <v>4.4800000000000004</v>
      </c>
      <c r="L44">
        <v>13.07</v>
      </c>
      <c r="M44">
        <v>105</v>
      </c>
      <c r="N44">
        <v>54</v>
      </c>
      <c r="O44">
        <v>2.2200000000000002</v>
      </c>
      <c r="P44">
        <v>19.37</v>
      </c>
      <c r="Q44">
        <v>5.13</v>
      </c>
      <c r="R44">
        <v>36.21</v>
      </c>
      <c r="S44">
        <v>54.51</v>
      </c>
      <c r="T44">
        <v>4.12</v>
      </c>
      <c r="U44">
        <v>0.59</v>
      </c>
      <c r="V44">
        <v>4.4356999999999998</v>
      </c>
      <c r="W44">
        <v>1.7847</v>
      </c>
      <c r="X44" s="1">
        <v>43028</v>
      </c>
    </row>
    <row r="45" spans="1:24" x14ac:dyDescent="0.25">
      <c r="A45" t="s">
        <v>163</v>
      </c>
      <c r="B45">
        <v>2017</v>
      </c>
      <c r="C45" t="s">
        <v>279</v>
      </c>
      <c r="D45">
        <v>8.1</v>
      </c>
      <c r="E45">
        <v>7.85</v>
      </c>
      <c r="F45">
        <v>80</v>
      </c>
      <c r="G45">
        <v>587</v>
      </c>
      <c r="H45">
        <v>1560</v>
      </c>
      <c r="I45">
        <v>2951</v>
      </c>
      <c r="J45">
        <v>26</v>
      </c>
      <c r="K45">
        <v>3.86</v>
      </c>
      <c r="L45">
        <v>5.92</v>
      </c>
      <c r="M45">
        <v>77</v>
      </c>
      <c r="N45">
        <v>48</v>
      </c>
      <c r="O45">
        <v>1.5</v>
      </c>
      <c r="P45">
        <v>15.83</v>
      </c>
      <c r="Q45">
        <v>4.75</v>
      </c>
      <c r="R45">
        <v>41.06</v>
      </c>
      <c r="S45">
        <v>46.6</v>
      </c>
      <c r="T45">
        <v>7.58</v>
      </c>
      <c r="U45">
        <v>0.75</v>
      </c>
      <c r="V45">
        <v>6.4439000000000002</v>
      </c>
      <c r="W45">
        <v>1.8008999999999999</v>
      </c>
      <c r="X45" s="1">
        <v>43028</v>
      </c>
    </row>
    <row r="46" spans="1:24" x14ac:dyDescent="0.25">
      <c r="A46" t="s">
        <v>164</v>
      </c>
      <c r="B46">
        <v>2017</v>
      </c>
      <c r="C46" t="s">
        <v>279</v>
      </c>
      <c r="D46">
        <v>8.1999999999999993</v>
      </c>
      <c r="E46">
        <v>7.9</v>
      </c>
      <c r="F46">
        <v>22</v>
      </c>
      <c r="G46">
        <v>449</v>
      </c>
      <c r="H46">
        <v>347</v>
      </c>
      <c r="I46">
        <v>14464</v>
      </c>
      <c r="J46">
        <v>25</v>
      </c>
      <c r="K46">
        <v>1.6</v>
      </c>
      <c r="L46">
        <v>0.36</v>
      </c>
      <c r="M46">
        <v>56</v>
      </c>
      <c r="N46">
        <v>21</v>
      </c>
      <c r="O46">
        <v>1.43</v>
      </c>
      <c r="P46">
        <v>38.979999999999997</v>
      </c>
      <c r="Q46">
        <v>1.47</v>
      </c>
      <c r="R46">
        <v>3.7</v>
      </c>
      <c r="S46">
        <v>92.76</v>
      </c>
      <c r="T46">
        <v>2.0499999999999998</v>
      </c>
      <c r="U46">
        <v>0.34</v>
      </c>
      <c r="V46">
        <v>1.9588000000000001</v>
      </c>
      <c r="W46">
        <v>1.4318</v>
      </c>
      <c r="X46" s="1">
        <v>43028</v>
      </c>
    </row>
    <row r="47" spans="1:24" x14ac:dyDescent="0.25">
      <c r="A47" t="s">
        <v>165</v>
      </c>
      <c r="B47">
        <v>2017</v>
      </c>
      <c r="C47" t="s">
        <v>279</v>
      </c>
      <c r="D47">
        <v>8.1</v>
      </c>
      <c r="E47">
        <v>7.9</v>
      </c>
      <c r="F47">
        <v>38</v>
      </c>
      <c r="G47">
        <v>490</v>
      </c>
      <c r="H47">
        <v>336</v>
      </c>
      <c r="I47">
        <v>11915</v>
      </c>
      <c r="J47">
        <v>17</v>
      </c>
      <c r="K47">
        <v>1.51</v>
      </c>
      <c r="L47">
        <v>0.69</v>
      </c>
      <c r="M47">
        <v>76</v>
      </c>
      <c r="N47">
        <v>28</v>
      </c>
      <c r="O47">
        <v>1.36</v>
      </c>
      <c r="P47">
        <v>32.61</v>
      </c>
      <c r="Q47">
        <v>1.92</v>
      </c>
      <c r="R47">
        <v>4.29</v>
      </c>
      <c r="S47">
        <v>91.32</v>
      </c>
      <c r="T47">
        <v>2.4500000000000002</v>
      </c>
      <c r="U47">
        <v>0.16</v>
      </c>
      <c r="V47">
        <v>1.7041999999999999</v>
      </c>
      <c r="W47">
        <v>1.4455</v>
      </c>
      <c r="X47" s="1">
        <v>43028</v>
      </c>
    </row>
    <row r="48" spans="1:24" x14ac:dyDescent="0.25">
      <c r="A48" t="s">
        <v>166</v>
      </c>
      <c r="B48">
        <v>2017</v>
      </c>
      <c r="C48" t="s">
        <v>279</v>
      </c>
      <c r="D48">
        <v>8.3000000000000007</v>
      </c>
      <c r="E48">
        <v>7.9</v>
      </c>
      <c r="F48">
        <v>26</v>
      </c>
      <c r="G48">
        <v>556</v>
      </c>
      <c r="H48">
        <v>320</v>
      </c>
      <c r="I48">
        <v>9731</v>
      </c>
      <c r="J48">
        <v>20</v>
      </c>
      <c r="K48">
        <v>1.2</v>
      </c>
      <c r="L48">
        <v>0.69</v>
      </c>
      <c r="M48">
        <v>77</v>
      </c>
      <c r="N48">
        <v>32</v>
      </c>
      <c r="O48">
        <v>1.19</v>
      </c>
      <c r="P48">
        <v>27.17</v>
      </c>
      <c r="Q48">
        <v>2.62</v>
      </c>
      <c r="R48">
        <v>4.9000000000000004</v>
      </c>
      <c r="S48">
        <v>89.52</v>
      </c>
      <c r="T48">
        <v>2.94</v>
      </c>
      <c r="U48">
        <v>0.27</v>
      </c>
      <c r="V48">
        <v>1.7524999999999999</v>
      </c>
      <c r="W48">
        <v>1.3833</v>
      </c>
      <c r="X48" s="1">
        <v>43028</v>
      </c>
    </row>
    <row r="49" spans="1:24" x14ac:dyDescent="0.25">
      <c r="A49" t="s">
        <v>167</v>
      </c>
      <c r="B49">
        <v>2017</v>
      </c>
      <c r="C49" t="s">
        <v>279</v>
      </c>
      <c r="D49">
        <v>8.1999999999999993</v>
      </c>
      <c r="E49">
        <v>7.9</v>
      </c>
      <c r="F49">
        <v>23</v>
      </c>
      <c r="G49">
        <v>441</v>
      </c>
      <c r="H49">
        <v>355</v>
      </c>
      <c r="I49">
        <v>9757</v>
      </c>
      <c r="J49">
        <v>17</v>
      </c>
      <c r="K49">
        <v>1.36</v>
      </c>
      <c r="L49">
        <v>0.71</v>
      </c>
      <c r="M49">
        <v>82</v>
      </c>
      <c r="N49">
        <v>36</v>
      </c>
      <c r="O49">
        <v>1.26</v>
      </c>
      <c r="P49">
        <v>27.23</v>
      </c>
      <c r="Q49">
        <v>2.0699999999999998</v>
      </c>
      <c r="R49">
        <v>5.43</v>
      </c>
      <c r="S49">
        <v>89.55</v>
      </c>
      <c r="T49">
        <v>2.93</v>
      </c>
      <c r="U49">
        <v>0.2</v>
      </c>
      <c r="V49">
        <v>1.4177</v>
      </c>
      <c r="W49">
        <v>0.98070000000000002</v>
      </c>
      <c r="X49" s="1">
        <v>43028</v>
      </c>
    </row>
    <row r="50" spans="1:24" x14ac:dyDescent="0.25">
      <c r="A50" t="s">
        <v>168</v>
      </c>
      <c r="B50">
        <v>2017</v>
      </c>
      <c r="C50" t="s">
        <v>279</v>
      </c>
      <c r="D50">
        <v>7.9</v>
      </c>
      <c r="E50">
        <v>7.85</v>
      </c>
      <c r="F50">
        <v>172</v>
      </c>
      <c r="G50">
        <v>957</v>
      </c>
      <c r="H50">
        <v>1556</v>
      </c>
      <c r="I50">
        <v>3003</v>
      </c>
      <c r="J50">
        <v>20</v>
      </c>
      <c r="K50">
        <v>3.31</v>
      </c>
      <c r="L50">
        <v>5.66</v>
      </c>
      <c r="M50">
        <v>125</v>
      </c>
      <c r="N50">
        <v>55</v>
      </c>
      <c r="O50">
        <v>1.93</v>
      </c>
      <c r="P50">
        <v>16.41</v>
      </c>
      <c r="Q50">
        <v>7.47</v>
      </c>
      <c r="R50">
        <v>39.479999999999997</v>
      </c>
      <c r="S50">
        <v>45.72</v>
      </c>
      <c r="T50">
        <v>7.3</v>
      </c>
      <c r="U50">
        <v>0.62</v>
      </c>
      <c r="V50">
        <v>3.0792999999999999</v>
      </c>
      <c r="W50">
        <v>1.5383</v>
      </c>
      <c r="X50" s="1">
        <v>43028</v>
      </c>
    </row>
    <row r="51" spans="1:24" x14ac:dyDescent="0.25">
      <c r="A51" t="s">
        <v>169</v>
      </c>
      <c r="B51">
        <v>2017</v>
      </c>
      <c r="C51" t="s">
        <v>279</v>
      </c>
      <c r="D51">
        <v>8</v>
      </c>
      <c r="E51">
        <v>7.85</v>
      </c>
      <c r="F51">
        <v>84</v>
      </c>
      <c r="G51">
        <v>711</v>
      </c>
      <c r="H51">
        <v>1336</v>
      </c>
      <c r="I51">
        <v>2164</v>
      </c>
      <c r="J51">
        <v>19</v>
      </c>
      <c r="K51">
        <v>3.67</v>
      </c>
      <c r="L51">
        <v>3.9</v>
      </c>
      <c r="M51">
        <v>108</v>
      </c>
      <c r="N51">
        <v>53</v>
      </c>
      <c r="O51">
        <v>1.76</v>
      </c>
      <c r="P51">
        <v>13.08</v>
      </c>
      <c r="Q51">
        <v>6.96</v>
      </c>
      <c r="R51">
        <v>42.53</v>
      </c>
      <c r="S51">
        <v>41.33</v>
      </c>
      <c r="T51">
        <v>9.16</v>
      </c>
      <c r="U51">
        <v>0.55000000000000004</v>
      </c>
      <c r="V51">
        <v>4.6439000000000004</v>
      </c>
      <c r="W51">
        <v>1.4774</v>
      </c>
      <c r="X51" s="1">
        <v>43028</v>
      </c>
    </row>
    <row r="52" spans="1:24" x14ac:dyDescent="0.25">
      <c r="A52" t="s">
        <v>170</v>
      </c>
      <c r="B52">
        <v>2017</v>
      </c>
      <c r="C52" t="s">
        <v>279</v>
      </c>
      <c r="D52">
        <v>8</v>
      </c>
      <c r="E52">
        <v>7.9</v>
      </c>
      <c r="F52">
        <v>122</v>
      </c>
      <c r="G52">
        <v>871</v>
      </c>
      <c r="H52">
        <v>1531</v>
      </c>
      <c r="I52">
        <v>2684</v>
      </c>
      <c r="J52">
        <v>23</v>
      </c>
      <c r="K52">
        <v>3.86</v>
      </c>
      <c r="L52">
        <v>5.33</v>
      </c>
      <c r="M52">
        <v>124</v>
      </c>
      <c r="N52">
        <v>53</v>
      </c>
      <c r="O52">
        <v>1.45</v>
      </c>
      <c r="P52">
        <v>15</v>
      </c>
      <c r="Q52">
        <v>7.44</v>
      </c>
      <c r="R52">
        <v>42.51</v>
      </c>
      <c r="S52">
        <v>44.71</v>
      </c>
      <c r="T52">
        <v>5.33</v>
      </c>
      <c r="U52">
        <v>0.27</v>
      </c>
      <c r="V52">
        <v>5.4497999999999998</v>
      </c>
      <c r="W52">
        <v>1.4637</v>
      </c>
      <c r="X52" s="1">
        <v>43028</v>
      </c>
    </row>
    <row r="53" spans="1:24" x14ac:dyDescent="0.25">
      <c r="A53" t="s">
        <v>171</v>
      </c>
      <c r="B53">
        <v>2017</v>
      </c>
      <c r="C53" t="s">
        <v>279</v>
      </c>
      <c r="D53">
        <v>8.1</v>
      </c>
      <c r="E53">
        <v>7.85</v>
      </c>
      <c r="F53">
        <v>107</v>
      </c>
      <c r="G53">
        <v>805</v>
      </c>
      <c r="H53">
        <v>1274</v>
      </c>
      <c r="I53">
        <v>2459</v>
      </c>
      <c r="J53">
        <v>16</v>
      </c>
      <c r="K53">
        <v>3.16</v>
      </c>
      <c r="L53">
        <v>3.32</v>
      </c>
      <c r="M53">
        <v>114</v>
      </c>
      <c r="N53">
        <v>58</v>
      </c>
      <c r="O53">
        <v>1.43</v>
      </c>
      <c r="P53">
        <v>13.68</v>
      </c>
      <c r="Q53">
        <v>7.53</v>
      </c>
      <c r="R53">
        <v>38.78</v>
      </c>
      <c r="S53">
        <v>44.91</v>
      </c>
      <c r="T53">
        <v>8.76</v>
      </c>
      <c r="U53">
        <v>0.49</v>
      </c>
      <c r="V53">
        <v>4.2481999999999998</v>
      </c>
      <c r="W53">
        <v>1.5132000000000001</v>
      </c>
      <c r="X53" s="1">
        <v>43028</v>
      </c>
    </row>
    <row r="54" spans="1:24" x14ac:dyDescent="0.25">
      <c r="A54" t="s">
        <v>813</v>
      </c>
      <c r="B54">
        <v>2017</v>
      </c>
      <c r="C54" t="s">
        <v>279</v>
      </c>
      <c r="D54">
        <v>7.2</v>
      </c>
      <c r="E54">
        <v>7.8</v>
      </c>
      <c r="F54">
        <v>116</v>
      </c>
      <c r="G54">
        <v>887</v>
      </c>
      <c r="H54">
        <v>423</v>
      </c>
      <c r="I54">
        <v>3915</v>
      </c>
      <c r="J54">
        <v>17</v>
      </c>
      <c r="K54">
        <v>1.39</v>
      </c>
      <c r="L54">
        <v>1.32</v>
      </c>
      <c r="M54">
        <v>206</v>
      </c>
      <c r="N54">
        <v>90</v>
      </c>
      <c r="O54">
        <v>2.3199999999999998</v>
      </c>
      <c r="P54">
        <v>14.28</v>
      </c>
      <c r="Q54">
        <v>7.95</v>
      </c>
      <c r="R54">
        <v>12.33</v>
      </c>
      <c r="S54">
        <v>68.5</v>
      </c>
      <c r="T54">
        <v>11.19</v>
      </c>
      <c r="U54">
        <v>0.47</v>
      </c>
      <c r="V54">
        <v>1.4621</v>
      </c>
      <c r="W54">
        <v>1.5286999999999999</v>
      </c>
      <c r="X54" s="1">
        <v>43028</v>
      </c>
    </row>
    <row r="55" spans="1:24" x14ac:dyDescent="0.25">
      <c r="A55" t="s">
        <v>814</v>
      </c>
      <c r="B55">
        <v>2017</v>
      </c>
      <c r="C55" t="s">
        <v>279</v>
      </c>
      <c r="D55">
        <v>7.5</v>
      </c>
      <c r="E55">
        <v>7.8</v>
      </c>
      <c r="F55">
        <v>158</v>
      </c>
      <c r="G55">
        <v>1157</v>
      </c>
      <c r="H55">
        <v>480</v>
      </c>
      <c r="I55">
        <v>4080</v>
      </c>
      <c r="J55">
        <v>16</v>
      </c>
      <c r="K55">
        <v>1.64</v>
      </c>
      <c r="L55">
        <v>1.83</v>
      </c>
      <c r="M55">
        <v>192</v>
      </c>
      <c r="N55">
        <v>87</v>
      </c>
      <c r="O55">
        <v>2.36</v>
      </c>
      <c r="P55">
        <v>15.28</v>
      </c>
      <c r="Q55">
        <v>9.6999999999999993</v>
      </c>
      <c r="R55">
        <v>13.08</v>
      </c>
      <c r="S55">
        <v>66.73</v>
      </c>
      <c r="T55">
        <v>10.46</v>
      </c>
      <c r="U55">
        <v>0.63</v>
      </c>
      <c r="V55">
        <v>2.6996000000000002</v>
      </c>
      <c r="W55">
        <v>1.5161</v>
      </c>
      <c r="X55" s="1">
        <v>43028</v>
      </c>
    </row>
    <row r="56" spans="1:24" x14ac:dyDescent="0.25">
      <c r="A56" t="s">
        <v>815</v>
      </c>
      <c r="B56">
        <v>2017</v>
      </c>
      <c r="C56" t="s">
        <v>279</v>
      </c>
      <c r="D56">
        <v>7.3</v>
      </c>
      <c r="E56">
        <v>7.8</v>
      </c>
      <c r="F56">
        <v>136</v>
      </c>
      <c r="G56">
        <v>992</v>
      </c>
      <c r="H56">
        <v>425</v>
      </c>
      <c r="I56">
        <v>3841</v>
      </c>
      <c r="J56">
        <v>17</v>
      </c>
      <c r="K56">
        <v>1.33</v>
      </c>
      <c r="L56">
        <v>1.45</v>
      </c>
      <c r="M56">
        <v>198</v>
      </c>
      <c r="N56">
        <v>88</v>
      </c>
      <c r="O56">
        <v>2.33</v>
      </c>
      <c r="P56">
        <v>14.24</v>
      </c>
      <c r="Q56">
        <v>8.92</v>
      </c>
      <c r="R56">
        <v>12.43</v>
      </c>
      <c r="S56">
        <v>67.400000000000006</v>
      </c>
      <c r="T56">
        <v>11.23</v>
      </c>
      <c r="U56">
        <v>0.59</v>
      </c>
      <c r="V56">
        <v>1.4662999999999999</v>
      </c>
      <c r="W56">
        <v>2.0215000000000001</v>
      </c>
      <c r="X56" s="1">
        <v>43028</v>
      </c>
    </row>
    <row r="57" spans="1:24" x14ac:dyDescent="0.25">
      <c r="A57" t="s">
        <v>816</v>
      </c>
      <c r="B57">
        <v>2017</v>
      </c>
      <c r="C57" t="s">
        <v>279</v>
      </c>
      <c r="D57">
        <v>7.2</v>
      </c>
      <c r="E57">
        <v>7.8</v>
      </c>
      <c r="F57">
        <v>154</v>
      </c>
      <c r="G57">
        <v>1078</v>
      </c>
      <c r="H57">
        <v>432</v>
      </c>
      <c r="I57">
        <v>3653</v>
      </c>
      <c r="J57">
        <v>16</v>
      </c>
      <c r="K57">
        <v>1.17</v>
      </c>
      <c r="L57">
        <v>1.66</v>
      </c>
      <c r="M57">
        <v>182</v>
      </c>
      <c r="N57">
        <v>79</v>
      </c>
      <c r="O57">
        <v>2.06</v>
      </c>
      <c r="P57">
        <v>13.91</v>
      </c>
      <c r="Q57">
        <v>9.93</v>
      </c>
      <c r="R57">
        <v>12.93</v>
      </c>
      <c r="S57">
        <v>65.63</v>
      </c>
      <c r="T57">
        <v>11.49</v>
      </c>
      <c r="U57">
        <v>0.55000000000000004</v>
      </c>
      <c r="V57">
        <v>1.4246000000000001</v>
      </c>
      <c r="W57">
        <v>1.8591</v>
      </c>
      <c r="X57" s="1">
        <v>43028</v>
      </c>
    </row>
    <row r="58" spans="1:24" x14ac:dyDescent="0.25">
      <c r="A58" t="s">
        <v>809</v>
      </c>
      <c r="B58">
        <v>2017</v>
      </c>
      <c r="C58" t="s">
        <v>275</v>
      </c>
      <c r="D58">
        <v>7.8</v>
      </c>
      <c r="E58">
        <v>7.75</v>
      </c>
      <c r="F58">
        <v>74</v>
      </c>
      <c r="G58">
        <v>1227</v>
      </c>
      <c r="H58">
        <v>1625</v>
      </c>
      <c r="I58">
        <v>5504</v>
      </c>
      <c r="J58">
        <v>22</v>
      </c>
      <c r="K58">
        <v>3.82</v>
      </c>
      <c r="L58">
        <v>4.87</v>
      </c>
      <c r="M58">
        <v>406</v>
      </c>
      <c r="N58">
        <v>57</v>
      </c>
      <c r="O58">
        <v>5.33</v>
      </c>
      <c r="P58">
        <v>24.1</v>
      </c>
      <c r="Q58">
        <v>6.52</v>
      </c>
      <c r="R58">
        <v>28.09</v>
      </c>
      <c r="S58">
        <v>57.08</v>
      </c>
      <c r="T58">
        <v>8.2899999999999991</v>
      </c>
      <c r="U58">
        <v>1.05</v>
      </c>
      <c r="V58">
        <v>3.1332</v>
      </c>
      <c r="W58">
        <v>2.0872999999999999</v>
      </c>
      <c r="X58" s="1">
        <v>43027</v>
      </c>
    </row>
    <row r="59" spans="1:24" x14ac:dyDescent="0.25">
      <c r="A59" t="s">
        <v>810</v>
      </c>
      <c r="B59">
        <v>2017</v>
      </c>
      <c r="C59" t="s">
        <v>275</v>
      </c>
      <c r="D59">
        <v>7.7</v>
      </c>
      <c r="E59">
        <v>7.75</v>
      </c>
      <c r="F59">
        <v>35</v>
      </c>
      <c r="G59">
        <v>1285</v>
      </c>
      <c r="H59">
        <v>1760</v>
      </c>
      <c r="I59">
        <v>5687</v>
      </c>
      <c r="J59">
        <v>24</v>
      </c>
      <c r="K59">
        <v>4.6500000000000004</v>
      </c>
      <c r="L59">
        <v>3.94</v>
      </c>
      <c r="M59">
        <v>406</v>
      </c>
      <c r="N59">
        <v>54</v>
      </c>
      <c r="O59">
        <v>5.6</v>
      </c>
      <c r="P59">
        <v>25.19</v>
      </c>
      <c r="Q59">
        <v>6.53</v>
      </c>
      <c r="R59">
        <v>29.1</v>
      </c>
      <c r="S59">
        <v>56.42</v>
      </c>
      <c r="T59">
        <v>7.93</v>
      </c>
      <c r="U59">
        <v>1.24</v>
      </c>
      <c r="V59">
        <v>4.4131</v>
      </c>
      <c r="W59">
        <v>2.1309999999999998</v>
      </c>
      <c r="X59" s="1">
        <v>43027</v>
      </c>
    </row>
    <row r="60" spans="1:24" x14ac:dyDescent="0.25">
      <c r="A60" t="s">
        <v>811</v>
      </c>
      <c r="B60">
        <v>2017</v>
      </c>
      <c r="C60" t="s">
        <v>275</v>
      </c>
      <c r="D60">
        <v>7.5</v>
      </c>
      <c r="E60">
        <v>7.8</v>
      </c>
      <c r="F60">
        <v>94</v>
      </c>
      <c r="G60">
        <v>1200</v>
      </c>
      <c r="H60">
        <v>1857</v>
      </c>
      <c r="I60">
        <v>5700</v>
      </c>
      <c r="J60">
        <v>26</v>
      </c>
      <c r="K60">
        <v>3.9</v>
      </c>
      <c r="L60">
        <v>6.42</v>
      </c>
      <c r="M60">
        <v>421</v>
      </c>
      <c r="N60">
        <v>54</v>
      </c>
      <c r="O60">
        <v>5.15</v>
      </c>
      <c r="P60">
        <v>25.12</v>
      </c>
      <c r="Q60">
        <v>6.12</v>
      </c>
      <c r="R60">
        <v>30.79</v>
      </c>
      <c r="S60">
        <v>56.71</v>
      </c>
      <c r="T60">
        <v>6.36</v>
      </c>
      <c r="U60">
        <v>1.47</v>
      </c>
      <c r="V60">
        <v>4.2053000000000003</v>
      </c>
      <c r="W60">
        <v>2.1964999999999999</v>
      </c>
      <c r="X60" s="1">
        <v>43027</v>
      </c>
    </row>
    <row r="61" spans="1:24" x14ac:dyDescent="0.25">
      <c r="A61" t="s">
        <v>812</v>
      </c>
      <c r="B61">
        <v>2017</v>
      </c>
      <c r="C61" t="s">
        <v>275</v>
      </c>
      <c r="D61">
        <v>7.8</v>
      </c>
      <c r="E61">
        <v>7.75</v>
      </c>
      <c r="F61">
        <v>28</v>
      </c>
      <c r="G61">
        <v>1019</v>
      </c>
      <c r="H61">
        <v>1726</v>
      </c>
      <c r="I61">
        <v>5521</v>
      </c>
      <c r="J61">
        <v>21</v>
      </c>
      <c r="K61">
        <v>3.84</v>
      </c>
      <c r="L61">
        <v>5.23</v>
      </c>
      <c r="M61">
        <v>407</v>
      </c>
      <c r="N61">
        <v>56</v>
      </c>
      <c r="O61">
        <v>5.25</v>
      </c>
      <c r="P61">
        <v>24.3</v>
      </c>
      <c r="Q61">
        <v>5.37</v>
      </c>
      <c r="R61">
        <v>29.59</v>
      </c>
      <c r="S61">
        <v>56.79</v>
      </c>
      <c r="T61">
        <v>8.23</v>
      </c>
      <c r="U61">
        <v>1.25</v>
      </c>
      <c r="V61">
        <v>5.0852000000000004</v>
      </c>
      <c r="W61">
        <v>2.8818999999999999</v>
      </c>
      <c r="X61" s="1">
        <v>43027</v>
      </c>
    </row>
    <row r="62" spans="1:24" x14ac:dyDescent="0.25">
      <c r="A62" t="s">
        <v>799</v>
      </c>
      <c r="B62">
        <v>2017</v>
      </c>
      <c r="C62" t="s">
        <v>276</v>
      </c>
      <c r="D62">
        <v>8.5</v>
      </c>
      <c r="E62">
        <v>7.85</v>
      </c>
      <c r="F62">
        <v>28</v>
      </c>
      <c r="G62">
        <v>1143</v>
      </c>
      <c r="H62">
        <v>1788</v>
      </c>
      <c r="I62">
        <v>4489</v>
      </c>
      <c r="J62">
        <v>26</v>
      </c>
      <c r="K62">
        <v>6.39</v>
      </c>
      <c r="L62">
        <v>2.4</v>
      </c>
      <c r="M62">
        <v>339</v>
      </c>
      <c r="N62">
        <v>80</v>
      </c>
      <c r="O62">
        <v>4.4000000000000004</v>
      </c>
      <c r="P62">
        <v>21.33</v>
      </c>
      <c r="Q62">
        <v>6.86</v>
      </c>
      <c r="R62">
        <v>34.909999999999997</v>
      </c>
      <c r="S62">
        <v>52.59</v>
      </c>
      <c r="T62">
        <v>5.62</v>
      </c>
      <c r="U62">
        <v>1.1599999999999999</v>
      </c>
      <c r="V62">
        <v>6.67</v>
      </c>
      <c r="W62">
        <v>1.24</v>
      </c>
      <c r="X62" s="1">
        <v>42880</v>
      </c>
    </row>
    <row r="63" spans="1:24" x14ac:dyDescent="0.25">
      <c r="A63" t="s">
        <v>800</v>
      </c>
      <c r="B63">
        <v>2017</v>
      </c>
      <c r="C63" t="s">
        <v>276</v>
      </c>
      <c r="D63">
        <v>8.3000000000000007</v>
      </c>
      <c r="E63">
        <v>7.85</v>
      </c>
      <c r="F63">
        <v>25</v>
      </c>
      <c r="G63">
        <v>681</v>
      </c>
      <c r="H63">
        <v>1858</v>
      </c>
      <c r="I63">
        <v>5252</v>
      </c>
      <c r="J63">
        <v>29</v>
      </c>
      <c r="K63">
        <v>6.03</v>
      </c>
      <c r="L63">
        <v>3.48</v>
      </c>
      <c r="M63">
        <v>338</v>
      </c>
      <c r="N63">
        <v>85</v>
      </c>
      <c r="O63">
        <v>4.79</v>
      </c>
      <c r="P63">
        <v>22.94</v>
      </c>
      <c r="Q63">
        <v>3.8</v>
      </c>
      <c r="R63">
        <v>33.74</v>
      </c>
      <c r="S63">
        <v>57.22</v>
      </c>
      <c r="T63">
        <v>5.22</v>
      </c>
      <c r="U63">
        <v>1.24</v>
      </c>
      <c r="V63">
        <v>9.11</v>
      </c>
      <c r="W63">
        <v>1.46</v>
      </c>
      <c r="X63" s="1">
        <v>42880</v>
      </c>
    </row>
    <row r="64" spans="1:24" x14ac:dyDescent="0.25">
      <c r="A64" t="s">
        <v>801</v>
      </c>
      <c r="B64">
        <v>2017</v>
      </c>
      <c r="C64" t="s">
        <v>276</v>
      </c>
      <c r="D64">
        <v>8.3000000000000007</v>
      </c>
      <c r="E64">
        <v>7.85</v>
      </c>
      <c r="F64">
        <v>39</v>
      </c>
      <c r="G64">
        <v>943</v>
      </c>
      <c r="H64">
        <v>1769</v>
      </c>
      <c r="I64">
        <v>4335</v>
      </c>
      <c r="J64">
        <v>21</v>
      </c>
      <c r="K64">
        <v>6.73</v>
      </c>
      <c r="L64">
        <v>2.74</v>
      </c>
      <c r="M64">
        <v>350</v>
      </c>
      <c r="N64">
        <v>84</v>
      </c>
      <c r="O64">
        <v>4.59</v>
      </c>
      <c r="P64">
        <v>20.61</v>
      </c>
      <c r="Q64">
        <v>5.86</v>
      </c>
      <c r="R64">
        <v>35.75</v>
      </c>
      <c r="S64">
        <v>52.56</v>
      </c>
      <c r="T64">
        <v>5.82</v>
      </c>
      <c r="U64">
        <v>1.1200000000000001</v>
      </c>
      <c r="V64">
        <v>6.3</v>
      </c>
      <c r="W64">
        <v>1.57</v>
      </c>
      <c r="X64" s="1">
        <v>42880</v>
      </c>
    </row>
    <row r="65" spans="1:24" x14ac:dyDescent="0.25">
      <c r="A65" t="s">
        <v>802</v>
      </c>
      <c r="B65">
        <v>2017</v>
      </c>
      <c r="C65" t="s">
        <v>276</v>
      </c>
      <c r="D65">
        <v>8.5</v>
      </c>
      <c r="E65">
        <v>7.85</v>
      </c>
      <c r="F65">
        <v>88</v>
      </c>
      <c r="G65">
        <v>1289</v>
      </c>
      <c r="H65">
        <v>1885</v>
      </c>
      <c r="I65">
        <v>4766</v>
      </c>
      <c r="J65">
        <v>44</v>
      </c>
      <c r="K65">
        <v>6.56</v>
      </c>
      <c r="L65">
        <v>8.16</v>
      </c>
      <c r="M65">
        <v>355</v>
      </c>
      <c r="N65">
        <v>86</v>
      </c>
      <c r="O65">
        <v>4.03</v>
      </c>
      <c r="P65">
        <v>22.62</v>
      </c>
      <c r="Q65">
        <v>7.3</v>
      </c>
      <c r="R65">
        <v>34.71</v>
      </c>
      <c r="S65">
        <v>52.67</v>
      </c>
      <c r="T65">
        <v>5.3</v>
      </c>
      <c r="U65">
        <v>1.42</v>
      </c>
      <c r="V65">
        <v>8.31</v>
      </c>
      <c r="W65">
        <v>1.73</v>
      </c>
      <c r="X65" s="1">
        <v>42880</v>
      </c>
    </row>
    <row r="66" spans="1:24" x14ac:dyDescent="0.25">
      <c r="A66" t="s">
        <v>803</v>
      </c>
      <c r="B66">
        <v>2017</v>
      </c>
      <c r="C66" t="s">
        <v>276</v>
      </c>
      <c r="D66">
        <v>7.3</v>
      </c>
      <c r="E66">
        <v>7.85</v>
      </c>
      <c r="F66">
        <v>150</v>
      </c>
      <c r="G66">
        <v>1042</v>
      </c>
      <c r="H66">
        <v>1600</v>
      </c>
      <c r="I66">
        <v>4022</v>
      </c>
      <c r="J66">
        <v>33</v>
      </c>
      <c r="K66">
        <v>4.91</v>
      </c>
      <c r="L66">
        <v>6.25</v>
      </c>
      <c r="M66">
        <v>313</v>
      </c>
      <c r="N66">
        <v>153</v>
      </c>
      <c r="O66">
        <v>4.37</v>
      </c>
      <c r="P66">
        <v>19.25</v>
      </c>
      <c r="Q66">
        <v>6.93</v>
      </c>
      <c r="R66">
        <v>34.61</v>
      </c>
      <c r="S66">
        <v>52.21</v>
      </c>
      <c r="T66">
        <v>6.23</v>
      </c>
      <c r="U66">
        <v>1.28</v>
      </c>
      <c r="V66">
        <v>12.02</v>
      </c>
      <c r="W66">
        <v>1.65</v>
      </c>
      <c r="X66" s="1">
        <v>42880</v>
      </c>
    </row>
    <row r="67" spans="1:24" x14ac:dyDescent="0.25">
      <c r="A67" t="s">
        <v>804</v>
      </c>
      <c r="B67">
        <v>2017</v>
      </c>
      <c r="C67" t="s">
        <v>276</v>
      </c>
      <c r="D67">
        <v>7.3</v>
      </c>
      <c r="E67">
        <v>7.85</v>
      </c>
      <c r="F67">
        <v>69</v>
      </c>
      <c r="G67">
        <v>1240</v>
      </c>
      <c r="H67">
        <v>1602</v>
      </c>
      <c r="I67">
        <v>3494</v>
      </c>
      <c r="J67">
        <v>23</v>
      </c>
      <c r="K67">
        <v>4.28</v>
      </c>
      <c r="L67">
        <v>5.97</v>
      </c>
      <c r="M67">
        <v>311</v>
      </c>
      <c r="N67">
        <v>175</v>
      </c>
      <c r="O67">
        <v>4.53</v>
      </c>
      <c r="P67">
        <v>18.190000000000001</v>
      </c>
      <c r="Q67">
        <v>8.73</v>
      </c>
      <c r="R67">
        <v>36.67</v>
      </c>
      <c r="S67">
        <v>47.99</v>
      </c>
      <c r="T67">
        <v>6.59</v>
      </c>
      <c r="U67">
        <v>1.25</v>
      </c>
      <c r="V67">
        <v>7.5</v>
      </c>
      <c r="W67">
        <v>1.28</v>
      </c>
      <c r="X67" s="1">
        <v>42880</v>
      </c>
    </row>
    <row r="68" spans="1:24" x14ac:dyDescent="0.25">
      <c r="A68" t="s">
        <v>799</v>
      </c>
      <c r="B68">
        <v>2017</v>
      </c>
      <c r="C68" t="s">
        <v>276</v>
      </c>
      <c r="D68">
        <v>8.1999999999999993</v>
      </c>
      <c r="E68">
        <v>7.85</v>
      </c>
      <c r="F68">
        <v>91</v>
      </c>
      <c r="G68">
        <v>1247</v>
      </c>
      <c r="H68">
        <v>1629</v>
      </c>
      <c r="I68">
        <v>4394</v>
      </c>
      <c r="J68">
        <v>27</v>
      </c>
      <c r="K68">
        <v>6.48</v>
      </c>
      <c r="L68">
        <v>7.45</v>
      </c>
      <c r="M68">
        <v>308</v>
      </c>
      <c r="N68">
        <v>76</v>
      </c>
      <c r="O68">
        <v>3.89</v>
      </c>
      <c r="P68">
        <v>20.57</v>
      </c>
      <c r="Q68">
        <v>7.77</v>
      </c>
      <c r="R68">
        <v>32.99</v>
      </c>
      <c r="S68">
        <v>53.39</v>
      </c>
      <c r="T68">
        <v>5.83</v>
      </c>
      <c r="U68">
        <v>1.34</v>
      </c>
      <c r="V68">
        <v>11.96</v>
      </c>
      <c r="W68">
        <v>1.52</v>
      </c>
      <c r="X68" s="1">
        <v>42916</v>
      </c>
    </row>
    <row r="69" spans="1:24" x14ac:dyDescent="0.25">
      <c r="A69" t="s">
        <v>800</v>
      </c>
      <c r="B69">
        <v>2017</v>
      </c>
      <c r="C69" t="s">
        <v>276</v>
      </c>
      <c r="D69">
        <v>8.1999999999999993</v>
      </c>
      <c r="E69">
        <v>7.85</v>
      </c>
      <c r="F69">
        <v>55</v>
      </c>
      <c r="G69">
        <v>1113</v>
      </c>
      <c r="H69">
        <v>1748</v>
      </c>
      <c r="I69">
        <v>4426</v>
      </c>
      <c r="J69">
        <v>25</v>
      </c>
      <c r="K69">
        <v>7.04</v>
      </c>
      <c r="L69">
        <v>5.08</v>
      </c>
      <c r="M69">
        <v>316</v>
      </c>
      <c r="N69">
        <v>81</v>
      </c>
      <c r="O69">
        <v>4.3899999999999997</v>
      </c>
      <c r="P69">
        <v>20.97</v>
      </c>
      <c r="Q69">
        <v>6.8</v>
      </c>
      <c r="R69">
        <v>34.72</v>
      </c>
      <c r="S69">
        <v>52.75</v>
      </c>
      <c r="T69">
        <v>5.72</v>
      </c>
      <c r="U69">
        <v>1.37</v>
      </c>
      <c r="V69">
        <v>11.03</v>
      </c>
      <c r="W69">
        <v>1.3</v>
      </c>
      <c r="X69" s="1">
        <v>42916</v>
      </c>
    </row>
    <row r="70" spans="1:24" x14ac:dyDescent="0.25">
      <c r="A70" t="s">
        <v>801</v>
      </c>
      <c r="B70">
        <v>2017</v>
      </c>
      <c r="C70" t="s">
        <v>276</v>
      </c>
      <c r="D70">
        <v>8.3000000000000007</v>
      </c>
      <c r="E70">
        <v>7.85</v>
      </c>
      <c r="F70">
        <v>56</v>
      </c>
      <c r="G70">
        <v>1312</v>
      </c>
      <c r="H70">
        <v>1564</v>
      </c>
      <c r="I70">
        <v>3925</v>
      </c>
      <c r="J70">
        <v>20</v>
      </c>
      <c r="K70">
        <v>5.65</v>
      </c>
      <c r="L70">
        <v>4.33</v>
      </c>
      <c r="M70">
        <v>315</v>
      </c>
      <c r="N70">
        <v>72</v>
      </c>
      <c r="O70">
        <v>3.75</v>
      </c>
      <c r="P70">
        <v>19.21</v>
      </c>
      <c r="Q70">
        <v>8.75</v>
      </c>
      <c r="R70">
        <v>33.92</v>
      </c>
      <c r="S70">
        <v>51.07</v>
      </c>
      <c r="T70">
        <v>6.24</v>
      </c>
      <c r="U70">
        <v>1.07</v>
      </c>
      <c r="V70">
        <v>4.75</v>
      </c>
      <c r="W70">
        <v>1.6</v>
      </c>
      <c r="X70" s="1">
        <v>42916</v>
      </c>
    </row>
    <row r="71" spans="1:24" x14ac:dyDescent="0.25">
      <c r="A71" t="s">
        <v>802</v>
      </c>
      <c r="B71">
        <v>2017</v>
      </c>
      <c r="C71" t="s">
        <v>276</v>
      </c>
      <c r="D71">
        <v>8.6</v>
      </c>
      <c r="E71">
        <v>7.85</v>
      </c>
      <c r="F71">
        <v>59</v>
      </c>
      <c r="G71">
        <v>1158</v>
      </c>
      <c r="H71">
        <v>1649</v>
      </c>
      <c r="I71">
        <v>4423</v>
      </c>
      <c r="J71">
        <v>34</v>
      </c>
      <c r="K71">
        <v>6.92</v>
      </c>
      <c r="L71">
        <v>4.32</v>
      </c>
      <c r="M71">
        <v>341</v>
      </c>
      <c r="N71">
        <v>73</v>
      </c>
      <c r="O71">
        <v>3.95</v>
      </c>
      <c r="P71">
        <v>20.61</v>
      </c>
      <c r="Q71">
        <v>7.2</v>
      </c>
      <c r="R71">
        <v>33.33</v>
      </c>
      <c r="S71">
        <v>53.64</v>
      </c>
      <c r="T71">
        <v>5.82</v>
      </c>
      <c r="U71">
        <v>1.1100000000000001</v>
      </c>
      <c r="V71">
        <v>8.9600000000000009</v>
      </c>
      <c r="W71">
        <v>1.1499999999999999</v>
      </c>
      <c r="X71" s="1">
        <v>42916</v>
      </c>
    </row>
    <row r="72" spans="1:24" x14ac:dyDescent="0.25">
      <c r="A72" t="s">
        <v>803</v>
      </c>
      <c r="B72">
        <v>2017</v>
      </c>
      <c r="C72" t="s">
        <v>276</v>
      </c>
      <c r="D72">
        <v>8.1</v>
      </c>
      <c r="E72">
        <v>7.85</v>
      </c>
      <c r="F72">
        <v>114</v>
      </c>
      <c r="G72">
        <v>1004</v>
      </c>
      <c r="H72">
        <v>1443</v>
      </c>
      <c r="I72">
        <v>3652</v>
      </c>
      <c r="J72">
        <v>22</v>
      </c>
      <c r="K72">
        <v>4.83</v>
      </c>
      <c r="L72">
        <v>5.85</v>
      </c>
      <c r="M72">
        <v>304</v>
      </c>
      <c r="N72">
        <v>96</v>
      </c>
      <c r="O72">
        <v>3.94</v>
      </c>
      <c r="P72">
        <v>17.62</v>
      </c>
      <c r="Q72">
        <v>7.3</v>
      </c>
      <c r="R72">
        <v>34.1</v>
      </c>
      <c r="S72">
        <v>51.78</v>
      </c>
      <c r="T72">
        <v>6.8</v>
      </c>
      <c r="U72">
        <v>1.3</v>
      </c>
      <c r="V72">
        <v>8.35</v>
      </c>
      <c r="W72">
        <v>0.85</v>
      </c>
      <c r="X72" s="1">
        <v>42916</v>
      </c>
    </row>
    <row r="73" spans="1:24" x14ac:dyDescent="0.25">
      <c r="A73" t="s">
        <v>804</v>
      </c>
      <c r="B73">
        <v>2017</v>
      </c>
      <c r="C73" t="s">
        <v>276</v>
      </c>
      <c r="D73">
        <v>8.1</v>
      </c>
      <c r="E73">
        <v>7.85</v>
      </c>
      <c r="F73">
        <v>109</v>
      </c>
      <c r="G73">
        <v>1127</v>
      </c>
      <c r="H73">
        <v>1673</v>
      </c>
      <c r="I73">
        <v>3702</v>
      </c>
      <c r="J73">
        <v>22</v>
      </c>
      <c r="K73">
        <v>4.8600000000000003</v>
      </c>
      <c r="L73">
        <v>6.34</v>
      </c>
      <c r="M73">
        <v>302</v>
      </c>
      <c r="N73">
        <v>117</v>
      </c>
      <c r="O73">
        <v>4.6500000000000004</v>
      </c>
      <c r="P73">
        <v>18.87</v>
      </c>
      <c r="Q73">
        <v>7.65</v>
      </c>
      <c r="R73">
        <v>36.93</v>
      </c>
      <c r="S73">
        <v>49.04</v>
      </c>
      <c r="T73">
        <v>6.35</v>
      </c>
      <c r="U73">
        <v>1.38</v>
      </c>
      <c r="V73">
        <v>7.56</v>
      </c>
      <c r="W73">
        <v>1.53</v>
      </c>
      <c r="X73" s="1">
        <v>42916</v>
      </c>
    </row>
    <row r="74" spans="1:24" x14ac:dyDescent="0.25">
      <c r="A74" t="s">
        <v>799</v>
      </c>
      <c r="B74">
        <v>2017</v>
      </c>
      <c r="C74" t="s">
        <v>276</v>
      </c>
      <c r="D74">
        <v>8.4</v>
      </c>
      <c r="E74">
        <v>7.8</v>
      </c>
      <c r="F74">
        <v>149</v>
      </c>
      <c r="G74">
        <v>1292</v>
      </c>
      <c r="H74">
        <v>1716</v>
      </c>
      <c r="I74">
        <v>4779</v>
      </c>
      <c r="J74">
        <v>30</v>
      </c>
      <c r="K74">
        <v>6.57</v>
      </c>
      <c r="L74">
        <v>8.91</v>
      </c>
      <c r="M74">
        <v>304</v>
      </c>
      <c r="N74">
        <v>79</v>
      </c>
      <c r="O74">
        <v>4.45</v>
      </c>
      <c r="P74">
        <v>22.35</v>
      </c>
      <c r="Q74">
        <v>7.4</v>
      </c>
      <c r="R74">
        <v>31.98</v>
      </c>
      <c r="S74">
        <v>53.44</v>
      </c>
      <c r="T74">
        <v>7.15</v>
      </c>
      <c r="U74">
        <v>1.43</v>
      </c>
      <c r="V74">
        <v>8.48</v>
      </c>
      <c r="W74">
        <v>1.47</v>
      </c>
      <c r="X74" s="1">
        <v>42943</v>
      </c>
    </row>
    <row r="75" spans="1:24" x14ac:dyDescent="0.25">
      <c r="A75" t="s">
        <v>800</v>
      </c>
      <c r="B75">
        <v>2017</v>
      </c>
      <c r="C75" t="s">
        <v>276</v>
      </c>
      <c r="D75">
        <v>8.4</v>
      </c>
      <c r="E75">
        <v>7.8</v>
      </c>
      <c r="F75">
        <v>63</v>
      </c>
      <c r="G75">
        <v>1469</v>
      </c>
      <c r="H75">
        <v>1920</v>
      </c>
      <c r="I75">
        <v>4693</v>
      </c>
      <c r="J75">
        <v>31</v>
      </c>
      <c r="K75">
        <v>6.66</v>
      </c>
      <c r="L75">
        <v>6.48</v>
      </c>
      <c r="M75">
        <v>340</v>
      </c>
      <c r="N75">
        <v>86</v>
      </c>
      <c r="O75">
        <v>5.0999999999999996</v>
      </c>
      <c r="P75">
        <v>23.21</v>
      </c>
      <c r="Q75">
        <v>8.11</v>
      </c>
      <c r="R75">
        <v>34.450000000000003</v>
      </c>
      <c r="S75">
        <v>50.53</v>
      </c>
      <c r="T75">
        <v>6.89</v>
      </c>
      <c r="U75">
        <v>1.54</v>
      </c>
      <c r="V75">
        <v>9.92</v>
      </c>
      <c r="W75">
        <v>1.43</v>
      </c>
      <c r="X75" s="1">
        <v>42943</v>
      </c>
    </row>
    <row r="76" spans="1:24" x14ac:dyDescent="0.25">
      <c r="A76" t="s">
        <v>801</v>
      </c>
      <c r="B76">
        <v>2017</v>
      </c>
      <c r="C76" t="s">
        <v>276</v>
      </c>
      <c r="D76">
        <v>8.5</v>
      </c>
      <c r="E76">
        <v>7.85</v>
      </c>
      <c r="F76">
        <v>70</v>
      </c>
      <c r="G76">
        <v>1101</v>
      </c>
      <c r="H76">
        <v>1724</v>
      </c>
      <c r="I76">
        <v>4136</v>
      </c>
      <c r="J76">
        <v>30</v>
      </c>
      <c r="K76">
        <v>7.49</v>
      </c>
      <c r="L76">
        <v>5.89</v>
      </c>
      <c r="M76">
        <v>328</v>
      </c>
      <c r="N76">
        <v>75</v>
      </c>
      <c r="O76">
        <v>4.4400000000000004</v>
      </c>
      <c r="P76">
        <v>20.13</v>
      </c>
      <c r="Q76">
        <v>7.01</v>
      </c>
      <c r="R76">
        <v>35.67</v>
      </c>
      <c r="S76">
        <v>51.35</v>
      </c>
      <c r="T76">
        <v>5.95</v>
      </c>
      <c r="U76">
        <v>1.22</v>
      </c>
      <c r="V76">
        <v>9.69</v>
      </c>
      <c r="W76">
        <v>1.1100000000000001</v>
      </c>
      <c r="X76" s="1">
        <v>42943</v>
      </c>
    </row>
    <row r="77" spans="1:24" x14ac:dyDescent="0.25">
      <c r="A77" t="s">
        <v>802</v>
      </c>
      <c r="B77">
        <v>2017</v>
      </c>
      <c r="C77" t="s">
        <v>276</v>
      </c>
      <c r="D77">
        <v>8.6</v>
      </c>
      <c r="E77">
        <v>7.85</v>
      </c>
      <c r="F77">
        <v>93</v>
      </c>
      <c r="G77">
        <v>1257</v>
      </c>
      <c r="H77">
        <v>1882</v>
      </c>
      <c r="I77">
        <v>5064</v>
      </c>
      <c r="J77">
        <v>39</v>
      </c>
      <c r="K77">
        <v>7</v>
      </c>
      <c r="L77">
        <v>7.83</v>
      </c>
      <c r="M77">
        <v>355</v>
      </c>
      <c r="N77">
        <v>78</v>
      </c>
      <c r="O77">
        <v>4.63</v>
      </c>
      <c r="P77">
        <v>23.31</v>
      </c>
      <c r="Q77">
        <v>6.91</v>
      </c>
      <c r="R77">
        <v>33.630000000000003</v>
      </c>
      <c r="S77">
        <v>54.3</v>
      </c>
      <c r="T77">
        <v>5.14</v>
      </c>
      <c r="U77">
        <v>1.39</v>
      </c>
      <c r="V77">
        <v>6.7</v>
      </c>
      <c r="W77">
        <v>1.21</v>
      </c>
      <c r="X77" s="1">
        <v>42943</v>
      </c>
    </row>
    <row r="78" spans="1:24" x14ac:dyDescent="0.25">
      <c r="A78" t="s">
        <v>803</v>
      </c>
      <c r="B78">
        <v>2017</v>
      </c>
      <c r="C78" t="s">
        <v>276</v>
      </c>
      <c r="D78">
        <v>8.3000000000000007</v>
      </c>
      <c r="E78">
        <v>7.85</v>
      </c>
      <c r="F78">
        <v>159</v>
      </c>
      <c r="G78">
        <v>1301</v>
      </c>
      <c r="H78">
        <v>1687</v>
      </c>
      <c r="I78">
        <v>4276</v>
      </c>
      <c r="J78">
        <v>29</v>
      </c>
      <c r="K78">
        <v>5.19</v>
      </c>
      <c r="L78">
        <v>8.84</v>
      </c>
      <c r="M78">
        <v>315</v>
      </c>
      <c r="N78">
        <v>155</v>
      </c>
      <c r="O78">
        <v>5.0999999999999996</v>
      </c>
      <c r="P78">
        <v>20.58</v>
      </c>
      <c r="Q78">
        <v>8.1</v>
      </c>
      <c r="R78">
        <v>34.14</v>
      </c>
      <c r="S78">
        <v>51.92</v>
      </c>
      <c r="T78">
        <v>5.82</v>
      </c>
      <c r="U78">
        <v>1.33</v>
      </c>
      <c r="V78">
        <v>6.79</v>
      </c>
      <c r="W78">
        <v>1.51</v>
      </c>
      <c r="X78" s="1">
        <v>42943</v>
      </c>
    </row>
    <row r="79" spans="1:24" x14ac:dyDescent="0.25">
      <c r="A79" t="s">
        <v>804</v>
      </c>
      <c r="B79">
        <v>2017</v>
      </c>
      <c r="C79" t="s">
        <v>276</v>
      </c>
      <c r="D79">
        <v>8.1</v>
      </c>
      <c r="E79">
        <v>7.8</v>
      </c>
      <c r="F79">
        <v>57</v>
      </c>
      <c r="G79">
        <v>1350</v>
      </c>
      <c r="H79">
        <v>1653</v>
      </c>
      <c r="I79">
        <v>3986</v>
      </c>
      <c r="J79">
        <v>26</v>
      </c>
      <c r="K79">
        <v>3.75</v>
      </c>
      <c r="L79">
        <v>5.71</v>
      </c>
      <c r="M79">
        <v>270</v>
      </c>
      <c r="N79">
        <v>160</v>
      </c>
      <c r="O79">
        <v>4.7</v>
      </c>
      <c r="P79">
        <v>20.18</v>
      </c>
      <c r="Q79">
        <v>8.57</v>
      </c>
      <c r="R79">
        <v>34.119999999999997</v>
      </c>
      <c r="S79">
        <v>49.37</v>
      </c>
      <c r="T79">
        <v>7.92</v>
      </c>
      <c r="U79">
        <v>1.36</v>
      </c>
      <c r="V79">
        <v>4.43</v>
      </c>
      <c r="W79">
        <v>1.47</v>
      </c>
      <c r="X79" s="1">
        <v>42943</v>
      </c>
    </row>
    <row r="80" spans="1:24" x14ac:dyDescent="0.25">
      <c r="A80" t="s">
        <v>799</v>
      </c>
      <c r="B80">
        <v>2017</v>
      </c>
      <c r="C80" t="s">
        <v>276</v>
      </c>
      <c r="D80">
        <v>8.3000000000000007</v>
      </c>
      <c r="E80">
        <v>7.85</v>
      </c>
      <c r="F80">
        <v>79</v>
      </c>
      <c r="G80">
        <v>1135</v>
      </c>
      <c r="H80">
        <v>1575</v>
      </c>
      <c r="I80">
        <v>4277</v>
      </c>
      <c r="J80">
        <v>23</v>
      </c>
      <c r="K80">
        <v>5.57</v>
      </c>
      <c r="L80">
        <v>8.31</v>
      </c>
      <c r="M80">
        <v>301</v>
      </c>
      <c r="N80">
        <v>73</v>
      </c>
      <c r="O80">
        <v>4.09</v>
      </c>
      <c r="P80">
        <v>19.91</v>
      </c>
      <c r="Q80">
        <v>7.3</v>
      </c>
      <c r="R80">
        <v>32.96</v>
      </c>
      <c r="S80">
        <v>53.7</v>
      </c>
      <c r="T80">
        <v>6.02</v>
      </c>
      <c r="U80">
        <v>1.36</v>
      </c>
      <c r="V80">
        <v>3.51</v>
      </c>
      <c r="W80">
        <v>2.44</v>
      </c>
      <c r="X80" s="1">
        <v>42972</v>
      </c>
    </row>
    <row r="81" spans="1:24" x14ac:dyDescent="0.25">
      <c r="A81" t="s">
        <v>800</v>
      </c>
      <c r="B81">
        <v>2017</v>
      </c>
      <c r="C81" t="s">
        <v>276</v>
      </c>
      <c r="D81">
        <v>8.1999999999999993</v>
      </c>
      <c r="E81">
        <v>7.8</v>
      </c>
      <c r="F81">
        <v>45</v>
      </c>
      <c r="G81">
        <v>1104</v>
      </c>
      <c r="H81">
        <v>1810</v>
      </c>
      <c r="I81">
        <v>4310</v>
      </c>
      <c r="J81">
        <v>28</v>
      </c>
      <c r="K81">
        <v>6.19</v>
      </c>
      <c r="L81">
        <v>6.05</v>
      </c>
      <c r="M81">
        <v>319</v>
      </c>
      <c r="N81">
        <v>85</v>
      </c>
      <c r="O81">
        <v>4.7</v>
      </c>
      <c r="P81">
        <v>21.33</v>
      </c>
      <c r="Q81">
        <v>6.63</v>
      </c>
      <c r="R81">
        <v>35.35</v>
      </c>
      <c r="S81">
        <v>50.51</v>
      </c>
      <c r="T81">
        <v>7.5</v>
      </c>
      <c r="U81">
        <v>1.49</v>
      </c>
      <c r="V81">
        <v>3.9</v>
      </c>
      <c r="W81">
        <v>2.0099999999999998</v>
      </c>
      <c r="X81" s="1">
        <v>42972</v>
      </c>
    </row>
    <row r="82" spans="1:24" x14ac:dyDescent="0.25">
      <c r="A82" t="s">
        <v>801</v>
      </c>
      <c r="B82">
        <v>2017</v>
      </c>
      <c r="C82" t="s">
        <v>276</v>
      </c>
      <c r="D82">
        <v>8.3000000000000007</v>
      </c>
      <c r="E82">
        <v>7.85</v>
      </c>
      <c r="F82">
        <v>59</v>
      </c>
      <c r="G82">
        <v>1080</v>
      </c>
      <c r="H82">
        <v>1672</v>
      </c>
      <c r="I82">
        <v>3842</v>
      </c>
      <c r="J82">
        <v>17</v>
      </c>
      <c r="K82">
        <v>6.17</v>
      </c>
      <c r="L82">
        <v>4.8899999999999997</v>
      </c>
      <c r="M82">
        <v>332</v>
      </c>
      <c r="N82">
        <v>70</v>
      </c>
      <c r="O82">
        <v>4.1500000000000004</v>
      </c>
      <c r="P82">
        <v>19.149999999999999</v>
      </c>
      <c r="Q82">
        <v>7.22</v>
      </c>
      <c r="R82">
        <v>36.36</v>
      </c>
      <c r="S82">
        <v>50.14</v>
      </c>
      <c r="T82">
        <v>6.26</v>
      </c>
      <c r="U82">
        <v>1.1200000000000001</v>
      </c>
      <c r="V82">
        <v>3.39</v>
      </c>
      <c r="W82">
        <v>2.92</v>
      </c>
      <c r="X82" s="1">
        <v>42972</v>
      </c>
    </row>
    <row r="83" spans="1:24" x14ac:dyDescent="0.25">
      <c r="A83" t="s">
        <v>802</v>
      </c>
      <c r="B83">
        <v>2017</v>
      </c>
      <c r="C83" t="s">
        <v>276</v>
      </c>
      <c r="D83">
        <v>8.4</v>
      </c>
      <c r="E83">
        <v>7.85</v>
      </c>
      <c r="F83">
        <v>95</v>
      </c>
      <c r="G83">
        <v>1364</v>
      </c>
      <c r="H83">
        <v>1830</v>
      </c>
      <c r="I83">
        <v>5175</v>
      </c>
      <c r="J83">
        <v>27</v>
      </c>
      <c r="K83">
        <v>7.24</v>
      </c>
      <c r="L83">
        <v>7.87</v>
      </c>
      <c r="M83">
        <v>367</v>
      </c>
      <c r="N83">
        <v>79</v>
      </c>
      <c r="O83">
        <v>4.5</v>
      </c>
      <c r="P83">
        <v>23.51</v>
      </c>
      <c r="Q83">
        <v>7.43</v>
      </c>
      <c r="R83">
        <v>32.43</v>
      </c>
      <c r="S83">
        <v>55.02</v>
      </c>
      <c r="T83">
        <v>5.0999999999999996</v>
      </c>
      <c r="U83">
        <v>1.2</v>
      </c>
      <c r="V83">
        <v>2.2999999999999998</v>
      </c>
      <c r="W83">
        <v>1.94</v>
      </c>
      <c r="X83" s="1">
        <v>42972</v>
      </c>
    </row>
    <row r="84" spans="1:24" x14ac:dyDescent="0.25">
      <c r="A84" t="s">
        <v>803</v>
      </c>
      <c r="B84">
        <v>2017</v>
      </c>
      <c r="C84" t="s">
        <v>276</v>
      </c>
      <c r="D84">
        <v>8.1</v>
      </c>
      <c r="E84">
        <v>7.85</v>
      </c>
      <c r="F84">
        <v>114</v>
      </c>
      <c r="G84">
        <v>993</v>
      </c>
      <c r="H84">
        <v>1636</v>
      </c>
      <c r="I84">
        <v>3950</v>
      </c>
      <c r="J84">
        <v>20</v>
      </c>
      <c r="K84">
        <v>5.37</v>
      </c>
      <c r="L84">
        <v>7.22</v>
      </c>
      <c r="M84">
        <v>336</v>
      </c>
      <c r="N84">
        <v>114</v>
      </c>
      <c r="O84">
        <v>4.74</v>
      </c>
      <c r="P84">
        <v>19.16</v>
      </c>
      <c r="Q84">
        <v>6.64</v>
      </c>
      <c r="R84">
        <v>35.56</v>
      </c>
      <c r="S84">
        <v>51.52</v>
      </c>
      <c r="T84">
        <v>6.26</v>
      </c>
      <c r="U84">
        <v>1.28</v>
      </c>
      <c r="V84">
        <v>3.68</v>
      </c>
      <c r="W84">
        <v>2.41</v>
      </c>
      <c r="X84" s="1">
        <v>42972</v>
      </c>
    </row>
    <row r="85" spans="1:24" x14ac:dyDescent="0.25">
      <c r="A85" t="s">
        <v>804</v>
      </c>
      <c r="B85">
        <v>2017</v>
      </c>
      <c r="C85" t="s">
        <v>276</v>
      </c>
      <c r="D85">
        <v>7.7</v>
      </c>
      <c r="E85">
        <v>7.8</v>
      </c>
      <c r="F85">
        <v>58</v>
      </c>
      <c r="G85">
        <v>1075</v>
      </c>
      <c r="H85">
        <v>1694</v>
      </c>
      <c r="I85">
        <v>3198</v>
      </c>
      <c r="J85">
        <v>15</v>
      </c>
      <c r="K85">
        <v>3.62</v>
      </c>
      <c r="L85">
        <v>3.46</v>
      </c>
      <c r="M85">
        <v>338</v>
      </c>
      <c r="N85">
        <v>118</v>
      </c>
      <c r="O85">
        <v>5.01</v>
      </c>
      <c r="P85">
        <v>18.03</v>
      </c>
      <c r="Q85">
        <v>7.64</v>
      </c>
      <c r="R85">
        <v>39.14</v>
      </c>
      <c r="S85">
        <v>44.33</v>
      </c>
      <c r="T85">
        <v>8.8699999999999992</v>
      </c>
      <c r="U85">
        <v>1.04</v>
      </c>
      <c r="V85">
        <v>1.84</v>
      </c>
      <c r="W85">
        <v>2.5</v>
      </c>
      <c r="X85" s="1">
        <v>42972</v>
      </c>
    </row>
    <row r="86" spans="1:24" x14ac:dyDescent="0.25">
      <c r="A86" s="8" t="s">
        <v>805</v>
      </c>
      <c r="B86">
        <v>2017</v>
      </c>
      <c r="C86" s="8" t="s">
        <v>279</v>
      </c>
      <c r="D86">
        <v>8.6</v>
      </c>
      <c r="E86">
        <v>7.85</v>
      </c>
      <c r="F86">
        <v>50</v>
      </c>
      <c r="G86">
        <v>883</v>
      </c>
      <c r="H86">
        <v>1761</v>
      </c>
      <c r="I86">
        <v>5901</v>
      </c>
      <c r="J86">
        <v>69</v>
      </c>
      <c r="K86">
        <v>6.92</v>
      </c>
      <c r="L86">
        <v>4.5999999999999996</v>
      </c>
      <c r="M86">
        <v>144</v>
      </c>
      <c r="N86">
        <v>83</v>
      </c>
      <c r="O86">
        <v>3.57</v>
      </c>
      <c r="P86">
        <v>24.42</v>
      </c>
      <c r="Q86">
        <v>4.63</v>
      </c>
      <c r="R86">
        <v>30.04</v>
      </c>
      <c r="S86">
        <v>60.4</v>
      </c>
      <c r="T86">
        <v>4.91</v>
      </c>
      <c r="U86">
        <v>0.96</v>
      </c>
      <c r="V86">
        <v>15.65</v>
      </c>
      <c r="W86">
        <v>2.16</v>
      </c>
      <c r="X86" s="1">
        <v>42972</v>
      </c>
    </row>
    <row r="87" spans="1:24" x14ac:dyDescent="0.25">
      <c r="A87" s="8" t="s">
        <v>806</v>
      </c>
      <c r="B87">
        <v>2017</v>
      </c>
      <c r="C87" s="8" t="s">
        <v>279</v>
      </c>
      <c r="D87">
        <v>8.3000000000000007</v>
      </c>
      <c r="E87">
        <v>7.85</v>
      </c>
      <c r="F87">
        <v>51</v>
      </c>
      <c r="G87">
        <v>736</v>
      </c>
      <c r="H87">
        <v>1328</v>
      </c>
      <c r="I87">
        <v>2625</v>
      </c>
      <c r="J87">
        <v>22</v>
      </c>
      <c r="K87">
        <v>4.8</v>
      </c>
      <c r="L87">
        <v>3.58</v>
      </c>
      <c r="M87">
        <v>109</v>
      </c>
      <c r="N87">
        <v>79</v>
      </c>
      <c r="O87">
        <v>2.64</v>
      </c>
      <c r="P87">
        <v>14.23</v>
      </c>
      <c r="Q87">
        <v>6.62</v>
      </c>
      <c r="R87">
        <v>38.85</v>
      </c>
      <c r="S87">
        <v>46.08</v>
      </c>
      <c r="T87">
        <v>8.42</v>
      </c>
      <c r="U87">
        <v>0.78</v>
      </c>
      <c r="V87">
        <v>2.5</v>
      </c>
      <c r="W87">
        <v>3</v>
      </c>
      <c r="X87" s="1">
        <v>42972</v>
      </c>
    </row>
    <row r="88" spans="1:24" x14ac:dyDescent="0.25">
      <c r="A88" s="8" t="s">
        <v>807</v>
      </c>
      <c r="B88">
        <v>2017</v>
      </c>
      <c r="C88" s="8" t="s">
        <v>279</v>
      </c>
      <c r="D88">
        <v>8.1999999999999993</v>
      </c>
      <c r="E88">
        <v>7.85</v>
      </c>
      <c r="F88">
        <v>139</v>
      </c>
      <c r="G88">
        <v>931</v>
      </c>
      <c r="H88">
        <v>1260</v>
      </c>
      <c r="I88">
        <v>2783</v>
      </c>
      <c r="J88">
        <v>17</v>
      </c>
      <c r="K88">
        <v>4.0999999999999996</v>
      </c>
      <c r="L88">
        <v>6.93</v>
      </c>
      <c r="M88">
        <v>138</v>
      </c>
      <c r="N88">
        <v>78</v>
      </c>
      <c r="O88">
        <v>2.42</v>
      </c>
      <c r="P88">
        <v>14.6</v>
      </c>
      <c r="Q88">
        <v>8.17</v>
      </c>
      <c r="R88">
        <v>35.950000000000003</v>
      </c>
      <c r="S88">
        <v>47.65</v>
      </c>
      <c r="T88">
        <v>8.2100000000000009</v>
      </c>
      <c r="U88">
        <v>0.79</v>
      </c>
      <c r="V88">
        <v>2</v>
      </c>
      <c r="W88">
        <v>2.14</v>
      </c>
      <c r="X88" s="1">
        <v>42972</v>
      </c>
    </row>
    <row r="89" spans="1:24" x14ac:dyDescent="0.25">
      <c r="A89" s="8" t="s">
        <v>808</v>
      </c>
      <c r="B89">
        <v>2017</v>
      </c>
      <c r="C89" s="8" t="s">
        <v>279</v>
      </c>
      <c r="D89">
        <v>8.1999999999999993</v>
      </c>
      <c r="E89">
        <v>7.85</v>
      </c>
      <c r="F89">
        <v>49</v>
      </c>
      <c r="G89">
        <v>862</v>
      </c>
      <c r="H89">
        <v>1331</v>
      </c>
      <c r="I89">
        <v>2580</v>
      </c>
      <c r="J89">
        <v>18</v>
      </c>
      <c r="K89">
        <v>4.63</v>
      </c>
      <c r="L89">
        <v>3.85</v>
      </c>
      <c r="M89">
        <v>155</v>
      </c>
      <c r="N89">
        <v>76</v>
      </c>
      <c r="O89">
        <v>2.86</v>
      </c>
      <c r="P89">
        <v>14.3</v>
      </c>
      <c r="Q89">
        <v>7.72</v>
      </c>
      <c r="R89">
        <v>38.770000000000003</v>
      </c>
      <c r="S89">
        <v>45.1</v>
      </c>
      <c r="T89">
        <v>8.39</v>
      </c>
      <c r="U89">
        <v>0.66</v>
      </c>
      <c r="V89">
        <v>2.13</v>
      </c>
      <c r="W89">
        <v>2.29</v>
      </c>
      <c r="X89" s="1">
        <v>42972</v>
      </c>
    </row>
    <row r="90" spans="1:24" x14ac:dyDescent="0.25">
      <c r="A90" t="s">
        <v>799</v>
      </c>
      <c r="B90">
        <v>2017</v>
      </c>
      <c r="C90" s="8" t="s">
        <v>276</v>
      </c>
      <c r="D90">
        <v>8.1999999999999993</v>
      </c>
      <c r="E90">
        <v>7.8</v>
      </c>
      <c r="F90">
        <v>109</v>
      </c>
      <c r="G90">
        <v>1371</v>
      </c>
      <c r="H90">
        <v>1835</v>
      </c>
      <c r="I90">
        <v>5138</v>
      </c>
      <c r="J90">
        <v>29</v>
      </c>
      <c r="K90">
        <v>6.18</v>
      </c>
      <c r="L90">
        <v>9.73</v>
      </c>
      <c r="M90">
        <v>332</v>
      </c>
      <c r="N90">
        <v>82</v>
      </c>
      <c r="O90">
        <v>4.47</v>
      </c>
      <c r="P90">
        <v>23.84</v>
      </c>
      <c r="Q90">
        <v>7.37</v>
      </c>
      <c r="R90">
        <v>32.049999999999997</v>
      </c>
      <c r="S90">
        <v>53.86</v>
      </c>
      <c r="T90">
        <v>6.7</v>
      </c>
      <c r="U90">
        <v>1.49</v>
      </c>
      <c r="V90">
        <v>5.24</v>
      </c>
      <c r="W90">
        <v>1.46</v>
      </c>
      <c r="X90" s="1">
        <v>43011</v>
      </c>
    </row>
    <row r="91" spans="1:24" x14ac:dyDescent="0.25">
      <c r="A91" t="s">
        <v>800</v>
      </c>
      <c r="B91">
        <v>2017</v>
      </c>
      <c r="C91" s="8" t="s">
        <v>276</v>
      </c>
      <c r="D91">
        <v>8.1</v>
      </c>
      <c r="E91">
        <v>7.8</v>
      </c>
      <c r="F91">
        <v>72</v>
      </c>
      <c r="G91">
        <v>1353</v>
      </c>
      <c r="H91">
        <v>2024</v>
      </c>
      <c r="I91">
        <v>4929</v>
      </c>
      <c r="J91">
        <v>23</v>
      </c>
      <c r="K91">
        <v>6.38</v>
      </c>
      <c r="L91">
        <v>8.06</v>
      </c>
      <c r="M91">
        <v>376</v>
      </c>
      <c r="N91">
        <v>83</v>
      </c>
      <c r="O91">
        <v>5.15</v>
      </c>
      <c r="P91">
        <v>24.09</v>
      </c>
      <c r="Q91">
        <v>7.2</v>
      </c>
      <c r="R91">
        <v>35</v>
      </c>
      <c r="S91">
        <v>51.15</v>
      </c>
      <c r="T91">
        <v>6.64</v>
      </c>
      <c r="U91">
        <v>1.37</v>
      </c>
      <c r="V91">
        <v>5.0999999999999996</v>
      </c>
      <c r="W91">
        <v>1.53</v>
      </c>
      <c r="X91" s="1">
        <v>43011</v>
      </c>
    </row>
    <row r="92" spans="1:24" x14ac:dyDescent="0.25">
      <c r="A92" t="s">
        <v>801</v>
      </c>
      <c r="B92">
        <v>2017</v>
      </c>
      <c r="C92" s="8" t="s">
        <v>276</v>
      </c>
      <c r="D92">
        <v>8.1</v>
      </c>
      <c r="E92">
        <v>7.75</v>
      </c>
      <c r="F92">
        <v>109</v>
      </c>
      <c r="G92">
        <v>1377</v>
      </c>
      <c r="H92">
        <v>1972</v>
      </c>
      <c r="I92">
        <v>5108</v>
      </c>
      <c r="J92">
        <v>27</v>
      </c>
      <c r="K92">
        <v>7.03</v>
      </c>
      <c r="L92">
        <v>12.38</v>
      </c>
      <c r="M92">
        <v>339</v>
      </c>
      <c r="N92">
        <v>79</v>
      </c>
      <c r="O92">
        <v>4.21</v>
      </c>
      <c r="P92">
        <v>24.75</v>
      </c>
      <c r="Q92">
        <v>7.13</v>
      </c>
      <c r="R92">
        <v>33.19</v>
      </c>
      <c r="S92">
        <v>51.59</v>
      </c>
      <c r="T92">
        <v>8.08</v>
      </c>
      <c r="U92">
        <v>1.8</v>
      </c>
      <c r="V92">
        <v>7.91</v>
      </c>
      <c r="W92">
        <v>1.64</v>
      </c>
      <c r="X92" s="1">
        <v>43011</v>
      </c>
    </row>
    <row r="93" spans="1:24" x14ac:dyDescent="0.25">
      <c r="A93" t="s">
        <v>802</v>
      </c>
      <c r="B93">
        <v>2017</v>
      </c>
      <c r="C93" s="8" t="s">
        <v>276</v>
      </c>
      <c r="D93">
        <v>8.3000000000000007</v>
      </c>
      <c r="E93">
        <v>7.8</v>
      </c>
      <c r="F93">
        <v>112</v>
      </c>
      <c r="G93">
        <v>1405</v>
      </c>
      <c r="H93">
        <v>2030</v>
      </c>
      <c r="I93">
        <v>5855</v>
      </c>
      <c r="J93">
        <v>30</v>
      </c>
      <c r="K93">
        <v>7.22</v>
      </c>
      <c r="L93">
        <v>11.67</v>
      </c>
      <c r="M93">
        <v>373</v>
      </c>
      <c r="N93">
        <v>83</v>
      </c>
      <c r="O93">
        <v>4.5999999999999996</v>
      </c>
      <c r="P93">
        <v>26.49</v>
      </c>
      <c r="Q93">
        <v>6.79</v>
      </c>
      <c r="R93">
        <v>31.92</v>
      </c>
      <c r="S93">
        <v>55.24</v>
      </c>
      <c r="T93">
        <v>6.03</v>
      </c>
      <c r="U93">
        <v>1.47</v>
      </c>
      <c r="V93">
        <v>5.0999999999999996</v>
      </c>
      <c r="W93">
        <v>1.49</v>
      </c>
      <c r="X93" s="1">
        <v>43011</v>
      </c>
    </row>
    <row r="94" spans="1:24" x14ac:dyDescent="0.25">
      <c r="A94" t="s">
        <v>803</v>
      </c>
      <c r="B94">
        <v>2017</v>
      </c>
      <c r="C94" s="8" t="s">
        <v>276</v>
      </c>
      <c r="D94">
        <v>7.9</v>
      </c>
      <c r="E94">
        <v>7.8</v>
      </c>
      <c r="F94">
        <v>177</v>
      </c>
      <c r="G94">
        <v>1079</v>
      </c>
      <c r="H94">
        <v>1686</v>
      </c>
      <c r="I94">
        <v>4512</v>
      </c>
      <c r="J94">
        <v>29</v>
      </c>
      <c r="K94">
        <v>5.35</v>
      </c>
      <c r="L94">
        <v>10.49</v>
      </c>
      <c r="M94">
        <v>344</v>
      </c>
      <c r="N94">
        <v>133</v>
      </c>
      <c r="O94">
        <v>4.8899999999999997</v>
      </c>
      <c r="P94">
        <v>21.28</v>
      </c>
      <c r="Q94">
        <v>6.49</v>
      </c>
      <c r="R94">
        <v>32.99</v>
      </c>
      <c r="S94">
        <v>52.98</v>
      </c>
      <c r="T94">
        <v>7.51</v>
      </c>
      <c r="U94">
        <v>1.42</v>
      </c>
      <c r="V94">
        <v>7.68</v>
      </c>
      <c r="W94">
        <v>1.88</v>
      </c>
      <c r="X94" s="1">
        <v>43011</v>
      </c>
    </row>
    <row r="95" spans="1:24" x14ac:dyDescent="0.25">
      <c r="A95" t="s">
        <v>804</v>
      </c>
      <c r="B95">
        <v>2017</v>
      </c>
      <c r="C95" s="8" t="s">
        <v>276</v>
      </c>
      <c r="D95">
        <v>7.8</v>
      </c>
      <c r="E95">
        <v>7.7</v>
      </c>
      <c r="F95">
        <v>113</v>
      </c>
      <c r="G95">
        <v>1234</v>
      </c>
      <c r="H95">
        <v>1815</v>
      </c>
      <c r="I95">
        <v>3967</v>
      </c>
      <c r="J95">
        <v>25</v>
      </c>
      <c r="K95">
        <v>4.37</v>
      </c>
      <c r="L95">
        <v>8.83</v>
      </c>
      <c r="M95">
        <v>300</v>
      </c>
      <c r="N95">
        <v>126</v>
      </c>
      <c r="O95">
        <v>4.87</v>
      </c>
      <c r="P95">
        <v>21.46</v>
      </c>
      <c r="Q95">
        <v>7.37</v>
      </c>
      <c r="R95">
        <v>35.229999999999997</v>
      </c>
      <c r="S95">
        <v>46.2</v>
      </c>
      <c r="T95">
        <v>11.18</v>
      </c>
      <c r="U95">
        <v>1.56</v>
      </c>
      <c r="V95">
        <v>5.87</v>
      </c>
      <c r="W95">
        <v>1.75</v>
      </c>
      <c r="X95" s="1">
        <v>43011</v>
      </c>
    </row>
    <row r="96" spans="1:24" x14ac:dyDescent="0.25">
      <c r="A96" s="8" t="s">
        <v>805</v>
      </c>
      <c r="B96">
        <v>2017</v>
      </c>
      <c r="C96" s="8" t="s">
        <v>279</v>
      </c>
      <c r="D96">
        <v>6.7</v>
      </c>
      <c r="E96">
        <v>7.8</v>
      </c>
      <c r="F96">
        <v>58</v>
      </c>
      <c r="G96">
        <v>1079</v>
      </c>
      <c r="H96">
        <v>1877</v>
      </c>
      <c r="I96">
        <v>5175</v>
      </c>
      <c r="J96">
        <v>20</v>
      </c>
      <c r="K96">
        <v>6.72</v>
      </c>
      <c r="L96">
        <v>4.57</v>
      </c>
      <c r="M96">
        <v>162</v>
      </c>
      <c r="N96">
        <v>82</v>
      </c>
      <c r="O96">
        <v>3.61</v>
      </c>
      <c r="P96">
        <v>23.74</v>
      </c>
      <c r="Q96">
        <v>5.82</v>
      </c>
      <c r="R96">
        <v>32.94</v>
      </c>
      <c r="S96">
        <v>54.49</v>
      </c>
      <c r="T96">
        <v>6.73</v>
      </c>
      <c r="U96">
        <v>1.35</v>
      </c>
      <c r="V96">
        <v>3.05</v>
      </c>
      <c r="W96">
        <v>1.48</v>
      </c>
      <c r="X96" s="1">
        <v>43011</v>
      </c>
    </row>
    <row r="97" spans="1:24" x14ac:dyDescent="0.25">
      <c r="A97" s="8" t="s">
        <v>806</v>
      </c>
      <c r="B97">
        <v>2017</v>
      </c>
      <c r="C97" s="8" t="s">
        <v>279</v>
      </c>
      <c r="D97">
        <v>7.4</v>
      </c>
      <c r="E97">
        <v>7.8</v>
      </c>
      <c r="F97">
        <v>54</v>
      </c>
      <c r="G97">
        <v>898</v>
      </c>
      <c r="H97">
        <v>1587</v>
      </c>
      <c r="I97">
        <v>3145</v>
      </c>
      <c r="J97">
        <v>21</v>
      </c>
      <c r="K97">
        <v>5.81</v>
      </c>
      <c r="L97">
        <v>3.99</v>
      </c>
      <c r="M97">
        <v>134</v>
      </c>
      <c r="N97">
        <v>73</v>
      </c>
      <c r="O97">
        <v>2.8</v>
      </c>
      <c r="P97">
        <v>17.22</v>
      </c>
      <c r="Q97">
        <v>6.68</v>
      </c>
      <c r="R97">
        <v>38.380000000000003</v>
      </c>
      <c r="S97">
        <v>45.64</v>
      </c>
      <c r="T97">
        <v>9.2799999999999994</v>
      </c>
      <c r="U97">
        <v>0.57999999999999996</v>
      </c>
      <c r="V97">
        <v>4</v>
      </c>
      <c r="W97">
        <v>1.41</v>
      </c>
      <c r="X97" s="1">
        <v>43011</v>
      </c>
    </row>
    <row r="98" spans="1:24" x14ac:dyDescent="0.25">
      <c r="A98" s="8" t="s">
        <v>807</v>
      </c>
      <c r="B98">
        <v>2017</v>
      </c>
      <c r="C98" s="8" t="s">
        <v>279</v>
      </c>
      <c r="D98">
        <v>7.7</v>
      </c>
      <c r="E98">
        <v>7.8</v>
      </c>
      <c r="F98">
        <v>124</v>
      </c>
      <c r="G98">
        <v>956</v>
      </c>
      <c r="H98">
        <v>1349</v>
      </c>
      <c r="I98">
        <v>2889</v>
      </c>
      <c r="J98">
        <v>18</v>
      </c>
      <c r="K98">
        <v>4.17</v>
      </c>
      <c r="L98">
        <v>6.35</v>
      </c>
      <c r="M98">
        <v>153</v>
      </c>
      <c r="N98">
        <v>68</v>
      </c>
      <c r="O98">
        <v>2.35</v>
      </c>
      <c r="P98">
        <v>15.66</v>
      </c>
      <c r="Q98">
        <v>7.82</v>
      </c>
      <c r="R98">
        <v>35.869999999999997</v>
      </c>
      <c r="S98">
        <v>46.09</v>
      </c>
      <c r="T98">
        <v>10.210000000000001</v>
      </c>
      <c r="U98">
        <v>1.1000000000000001</v>
      </c>
      <c r="V98">
        <v>4.33</v>
      </c>
      <c r="W98">
        <v>1.26</v>
      </c>
      <c r="X98" s="1">
        <v>43011</v>
      </c>
    </row>
    <row r="99" spans="1:24" x14ac:dyDescent="0.25">
      <c r="A99" s="8" t="s">
        <v>808</v>
      </c>
      <c r="B99">
        <v>2017</v>
      </c>
      <c r="C99" s="8" t="s">
        <v>279</v>
      </c>
      <c r="D99">
        <v>7.9</v>
      </c>
      <c r="E99">
        <v>7.85</v>
      </c>
      <c r="F99">
        <v>70</v>
      </c>
      <c r="G99">
        <v>956</v>
      </c>
      <c r="H99">
        <v>1449</v>
      </c>
      <c r="I99">
        <v>2898</v>
      </c>
      <c r="J99">
        <v>15</v>
      </c>
      <c r="K99">
        <v>4.34</v>
      </c>
      <c r="L99">
        <v>4.93</v>
      </c>
      <c r="M99">
        <v>174</v>
      </c>
      <c r="N99">
        <v>67</v>
      </c>
      <c r="O99">
        <v>2.76</v>
      </c>
      <c r="P99">
        <v>15.7</v>
      </c>
      <c r="Q99">
        <v>7.8</v>
      </c>
      <c r="R99">
        <v>38.43</v>
      </c>
      <c r="S99">
        <v>46.12</v>
      </c>
      <c r="T99">
        <v>7.63</v>
      </c>
      <c r="U99">
        <v>1.27</v>
      </c>
      <c r="V99">
        <v>3.57</v>
      </c>
      <c r="W99">
        <v>1.43</v>
      </c>
      <c r="X99" s="1">
        <v>43011</v>
      </c>
    </row>
    <row r="100" spans="1:24" x14ac:dyDescent="0.25">
      <c r="A100" t="s">
        <v>799</v>
      </c>
      <c r="B100">
        <v>2017</v>
      </c>
      <c r="C100" s="8" t="s">
        <v>276</v>
      </c>
      <c r="D100">
        <v>8</v>
      </c>
      <c r="E100">
        <v>7.85</v>
      </c>
      <c r="F100">
        <v>96</v>
      </c>
      <c r="G100">
        <v>1151</v>
      </c>
      <c r="H100">
        <v>1612</v>
      </c>
      <c r="I100">
        <v>3963</v>
      </c>
      <c r="J100">
        <v>20</v>
      </c>
      <c r="K100">
        <v>5.86</v>
      </c>
      <c r="L100">
        <v>5.7</v>
      </c>
      <c r="M100">
        <v>300</v>
      </c>
      <c r="N100">
        <v>79</v>
      </c>
      <c r="O100">
        <v>4.3</v>
      </c>
      <c r="P100">
        <v>19.29</v>
      </c>
      <c r="Q100">
        <v>7.64</v>
      </c>
      <c r="R100">
        <v>34.799999999999997</v>
      </c>
      <c r="S100">
        <v>51.33</v>
      </c>
      <c r="T100">
        <v>6.21</v>
      </c>
      <c r="U100">
        <v>1.18</v>
      </c>
      <c r="V100">
        <v>2.9331</v>
      </c>
      <c r="W100">
        <v>2.0794999999999999</v>
      </c>
      <c r="X100" s="1">
        <v>43038</v>
      </c>
    </row>
    <row r="101" spans="1:24" x14ac:dyDescent="0.25">
      <c r="A101" t="s">
        <v>800</v>
      </c>
      <c r="B101">
        <v>2017</v>
      </c>
      <c r="C101" s="8" t="s">
        <v>276</v>
      </c>
      <c r="D101">
        <v>8.1</v>
      </c>
      <c r="E101">
        <v>7.8</v>
      </c>
      <c r="F101">
        <v>49</v>
      </c>
      <c r="G101">
        <v>1115</v>
      </c>
      <c r="H101">
        <v>1884</v>
      </c>
      <c r="I101">
        <v>4258</v>
      </c>
      <c r="J101">
        <v>17</v>
      </c>
      <c r="K101">
        <v>5.73</v>
      </c>
      <c r="L101">
        <v>4.2699999999999996</v>
      </c>
      <c r="M101">
        <v>338</v>
      </c>
      <c r="N101">
        <v>85</v>
      </c>
      <c r="O101">
        <v>4.62</v>
      </c>
      <c r="P101">
        <v>21.52</v>
      </c>
      <c r="Q101">
        <v>6.64</v>
      </c>
      <c r="R101">
        <v>36.47</v>
      </c>
      <c r="S101">
        <v>49.45</v>
      </c>
      <c r="T101">
        <v>7.43</v>
      </c>
      <c r="U101">
        <v>1.38</v>
      </c>
      <c r="V101">
        <v>3.74</v>
      </c>
      <c r="W101">
        <v>2.2442000000000002</v>
      </c>
      <c r="X101" s="1">
        <v>43038</v>
      </c>
    </row>
    <row r="102" spans="1:24" x14ac:dyDescent="0.25">
      <c r="A102" t="s">
        <v>801</v>
      </c>
      <c r="B102">
        <v>2017</v>
      </c>
      <c r="C102" s="8" t="s">
        <v>276</v>
      </c>
      <c r="D102">
        <v>8.1</v>
      </c>
      <c r="E102">
        <v>7.8</v>
      </c>
      <c r="F102">
        <v>45</v>
      </c>
      <c r="G102">
        <v>979</v>
      </c>
      <c r="H102">
        <v>1756</v>
      </c>
      <c r="I102">
        <v>4259</v>
      </c>
      <c r="J102">
        <v>21</v>
      </c>
      <c r="K102">
        <v>6.45</v>
      </c>
      <c r="L102">
        <v>4.26</v>
      </c>
      <c r="M102">
        <v>331</v>
      </c>
      <c r="N102">
        <v>70</v>
      </c>
      <c r="O102">
        <v>4.3099999999999996</v>
      </c>
      <c r="P102">
        <v>20.81</v>
      </c>
      <c r="Q102">
        <v>6.02</v>
      </c>
      <c r="R102">
        <v>35.14</v>
      </c>
      <c r="S102">
        <v>51.14</v>
      </c>
      <c r="T102">
        <v>7.68</v>
      </c>
      <c r="U102">
        <v>1.06</v>
      </c>
      <c r="V102">
        <v>3.5417000000000001</v>
      </c>
      <c r="W102">
        <v>1.5804</v>
      </c>
      <c r="X102" s="1">
        <v>43038</v>
      </c>
    </row>
    <row r="103" spans="1:24" x14ac:dyDescent="0.25">
      <c r="A103" t="s">
        <v>802</v>
      </c>
      <c r="B103">
        <v>2017</v>
      </c>
      <c r="C103" s="8" t="s">
        <v>276</v>
      </c>
      <c r="D103">
        <v>8.3000000000000007</v>
      </c>
      <c r="E103">
        <v>7.8</v>
      </c>
      <c r="F103">
        <v>67</v>
      </c>
      <c r="G103">
        <v>1170</v>
      </c>
      <c r="H103">
        <v>1815</v>
      </c>
      <c r="I103">
        <v>4800</v>
      </c>
      <c r="J103">
        <v>29</v>
      </c>
      <c r="K103">
        <v>6.76</v>
      </c>
      <c r="L103">
        <v>6.47</v>
      </c>
      <c r="M103">
        <v>348</v>
      </c>
      <c r="N103">
        <v>79</v>
      </c>
      <c r="O103">
        <v>4.32</v>
      </c>
      <c r="P103">
        <v>22.66</v>
      </c>
      <c r="Q103">
        <v>6.61</v>
      </c>
      <c r="R103">
        <v>33.369999999999997</v>
      </c>
      <c r="S103">
        <v>52.95</v>
      </c>
      <c r="T103">
        <v>7.06</v>
      </c>
      <c r="U103">
        <v>0.92</v>
      </c>
      <c r="V103">
        <v>3.8489</v>
      </c>
      <c r="W103">
        <v>1.8220000000000001</v>
      </c>
      <c r="X103" s="1">
        <v>43038</v>
      </c>
    </row>
    <row r="104" spans="1:24" x14ac:dyDescent="0.25">
      <c r="A104" t="s">
        <v>803</v>
      </c>
      <c r="B104">
        <v>2017</v>
      </c>
      <c r="C104" s="8" t="s">
        <v>276</v>
      </c>
      <c r="D104">
        <v>7.9</v>
      </c>
      <c r="E104">
        <v>7.8</v>
      </c>
      <c r="F104">
        <v>80</v>
      </c>
      <c r="G104">
        <v>956</v>
      </c>
      <c r="H104">
        <v>1542</v>
      </c>
      <c r="I104">
        <v>3574</v>
      </c>
      <c r="J104">
        <v>21</v>
      </c>
      <c r="K104">
        <v>4.58</v>
      </c>
      <c r="L104">
        <v>5.22</v>
      </c>
      <c r="M104">
        <v>330</v>
      </c>
      <c r="N104">
        <v>86</v>
      </c>
      <c r="O104">
        <v>4.2699999999999996</v>
      </c>
      <c r="P104">
        <v>18.18</v>
      </c>
      <c r="Q104">
        <v>6.73</v>
      </c>
      <c r="R104">
        <v>35.33</v>
      </c>
      <c r="S104">
        <v>49.13</v>
      </c>
      <c r="T104">
        <v>8.7899999999999991</v>
      </c>
      <c r="U104">
        <v>1.1299999999999999</v>
      </c>
      <c r="V104">
        <v>4.6632999999999996</v>
      </c>
      <c r="W104">
        <v>1.8028999999999999</v>
      </c>
      <c r="X104" s="1">
        <v>43038</v>
      </c>
    </row>
    <row r="105" spans="1:24" x14ac:dyDescent="0.25">
      <c r="A105" t="s">
        <v>804</v>
      </c>
      <c r="B105">
        <v>2017</v>
      </c>
      <c r="C105" s="8" t="s">
        <v>276</v>
      </c>
      <c r="D105">
        <v>7.9</v>
      </c>
      <c r="E105">
        <v>7.8</v>
      </c>
      <c r="F105">
        <v>71</v>
      </c>
      <c r="G105">
        <v>957</v>
      </c>
      <c r="H105">
        <v>1495</v>
      </c>
      <c r="I105">
        <v>3616</v>
      </c>
      <c r="J105">
        <v>17</v>
      </c>
      <c r="K105">
        <v>4.04</v>
      </c>
      <c r="L105">
        <v>3.98</v>
      </c>
      <c r="M105">
        <v>313</v>
      </c>
      <c r="N105">
        <v>95</v>
      </c>
      <c r="O105">
        <v>4.32</v>
      </c>
      <c r="P105">
        <v>18.09</v>
      </c>
      <c r="Q105">
        <v>6.78</v>
      </c>
      <c r="R105">
        <v>34.42</v>
      </c>
      <c r="S105">
        <v>49.95</v>
      </c>
      <c r="T105">
        <v>8.84</v>
      </c>
      <c r="U105">
        <v>1.1000000000000001</v>
      </c>
      <c r="V105">
        <v>7.4027000000000003</v>
      </c>
      <c r="W105">
        <v>6.0837000000000003</v>
      </c>
      <c r="X105" s="1">
        <v>43038</v>
      </c>
    </row>
    <row r="106" spans="1:24" x14ac:dyDescent="0.25">
      <c r="A106" s="8" t="s">
        <v>805</v>
      </c>
      <c r="B106">
        <v>2017</v>
      </c>
      <c r="C106" s="8" t="s">
        <v>279</v>
      </c>
      <c r="D106">
        <v>8.1999999999999993</v>
      </c>
      <c r="E106">
        <v>7.85</v>
      </c>
      <c r="F106">
        <v>33</v>
      </c>
      <c r="G106">
        <v>892</v>
      </c>
      <c r="H106">
        <v>1704</v>
      </c>
      <c r="I106">
        <v>5823</v>
      </c>
      <c r="J106">
        <v>20</v>
      </c>
      <c r="K106">
        <v>5.8</v>
      </c>
      <c r="L106">
        <v>3.31</v>
      </c>
      <c r="M106">
        <v>143</v>
      </c>
      <c r="N106">
        <v>74</v>
      </c>
      <c r="O106">
        <v>3.29</v>
      </c>
      <c r="P106">
        <v>24</v>
      </c>
      <c r="Q106">
        <v>4.76</v>
      </c>
      <c r="R106">
        <v>29.58</v>
      </c>
      <c r="S106">
        <v>60.65</v>
      </c>
      <c r="T106">
        <v>4.99</v>
      </c>
      <c r="U106">
        <v>0.74</v>
      </c>
      <c r="V106">
        <v>4.3368000000000002</v>
      </c>
      <c r="W106">
        <v>1.8059000000000001</v>
      </c>
      <c r="X106" s="1">
        <v>43038</v>
      </c>
    </row>
    <row r="107" spans="1:24" x14ac:dyDescent="0.25">
      <c r="A107" s="8" t="s">
        <v>806</v>
      </c>
      <c r="B107">
        <v>2017</v>
      </c>
      <c r="C107" s="8" t="s">
        <v>279</v>
      </c>
      <c r="D107">
        <v>8</v>
      </c>
      <c r="E107">
        <v>7.8</v>
      </c>
      <c r="F107">
        <v>32</v>
      </c>
      <c r="G107">
        <v>768</v>
      </c>
      <c r="H107">
        <v>1467</v>
      </c>
      <c r="I107">
        <v>3194</v>
      </c>
      <c r="J107">
        <v>17</v>
      </c>
      <c r="K107">
        <v>5.4</v>
      </c>
      <c r="L107">
        <v>2.5</v>
      </c>
      <c r="M107">
        <v>125</v>
      </c>
      <c r="N107">
        <v>71</v>
      </c>
      <c r="O107">
        <v>2.82</v>
      </c>
      <c r="P107">
        <v>16.68</v>
      </c>
      <c r="Q107">
        <v>5.9</v>
      </c>
      <c r="R107">
        <v>36.64</v>
      </c>
      <c r="S107">
        <v>47.86</v>
      </c>
      <c r="T107">
        <v>9.59</v>
      </c>
      <c r="U107">
        <v>0.51</v>
      </c>
      <c r="V107">
        <v>2.7541000000000002</v>
      </c>
      <c r="W107">
        <v>1.4764999999999999</v>
      </c>
      <c r="X107" s="1">
        <v>43038</v>
      </c>
    </row>
    <row r="108" spans="1:24" x14ac:dyDescent="0.25">
      <c r="A108" s="8" t="s">
        <v>807</v>
      </c>
      <c r="B108">
        <v>2017</v>
      </c>
      <c r="C108" s="8" t="s">
        <v>279</v>
      </c>
      <c r="D108">
        <v>7.8</v>
      </c>
      <c r="E108">
        <v>7.85</v>
      </c>
      <c r="F108">
        <v>60</v>
      </c>
      <c r="G108">
        <v>797</v>
      </c>
      <c r="H108">
        <v>1305</v>
      </c>
      <c r="I108">
        <v>2628</v>
      </c>
      <c r="J108">
        <v>14</v>
      </c>
      <c r="K108">
        <v>4.4800000000000004</v>
      </c>
      <c r="L108">
        <v>4.01</v>
      </c>
      <c r="M108">
        <v>146</v>
      </c>
      <c r="N108">
        <v>75</v>
      </c>
      <c r="O108">
        <v>2.63</v>
      </c>
      <c r="P108">
        <v>14.22</v>
      </c>
      <c r="Q108">
        <v>7.18</v>
      </c>
      <c r="R108">
        <v>38.21</v>
      </c>
      <c r="S108">
        <v>46.17</v>
      </c>
      <c r="T108">
        <v>8.43</v>
      </c>
      <c r="U108">
        <v>0.48</v>
      </c>
      <c r="V108">
        <v>3.7725</v>
      </c>
      <c r="W108">
        <v>1.9417</v>
      </c>
      <c r="X108" s="1">
        <v>43038</v>
      </c>
    </row>
    <row r="109" spans="1:24" x14ac:dyDescent="0.25">
      <c r="A109" s="8" t="s">
        <v>808</v>
      </c>
      <c r="B109">
        <v>2017</v>
      </c>
      <c r="C109" s="8" t="s">
        <v>279</v>
      </c>
      <c r="D109">
        <v>7.8</v>
      </c>
      <c r="E109">
        <v>7.8</v>
      </c>
      <c r="F109">
        <v>73</v>
      </c>
      <c r="G109">
        <v>857</v>
      </c>
      <c r="H109">
        <v>1301</v>
      </c>
      <c r="I109">
        <v>2707</v>
      </c>
      <c r="J109">
        <v>17</v>
      </c>
      <c r="K109">
        <v>4.1100000000000003</v>
      </c>
      <c r="L109">
        <v>5.1100000000000003</v>
      </c>
      <c r="M109">
        <v>147</v>
      </c>
      <c r="N109">
        <v>70</v>
      </c>
      <c r="O109">
        <v>2.59</v>
      </c>
      <c r="P109">
        <v>14.88</v>
      </c>
      <c r="Q109">
        <v>7.38</v>
      </c>
      <c r="R109">
        <v>36.409999999999997</v>
      </c>
      <c r="S109">
        <v>45.45</v>
      </c>
      <c r="T109">
        <v>10.74</v>
      </c>
      <c r="U109">
        <v>0.66</v>
      </c>
      <c r="V109">
        <v>2.6795</v>
      </c>
      <c r="W109">
        <v>2.0417999999999998</v>
      </c>
      <c r="X109" s="1">
        <v>43038</v>
      </c>
    </row>
    <row r="110" spans="1:24" x14ac:dyDescent="0.25">
      <c r="A110" t="s">
        <v>799</v>
      </c>
      <c r="B110">
        <v>2017</v>
      </c>
      <c r="C110" s="8" t="s">
        <v>276</v>
      </c>
      <c r="D110">
        <v>8.4</v>
      </c>
      <c r="E110">
        <v>7.8</v>
      </c>
      <c r="F110">
        <v>141</v>
      </c>
      <c r="G110">
        <v>1324</v>
      </c>
      <c r="H110">
        <v>1730</v>
      </c>
      <c r="I110">
        <v>4886</v>
      </c>
      <c r="J110">
        <v>39</v>
      </c>
      <c r="K110">
        <v>7.18</v>
      </c>
      <c r="L110">
        <v>8.25</v>
      </c>
      <c r="M110">
        <v>308</v>
      </c>
      <c r="N110">
        <v>73</v>
      </c>
      <c r="O110">
        <v>4.5599999999999996</v>
      </c>
      <c r="P110">
        <v>22.72</v>
      </c>
      <c r="Q110">
        <v>7.47</v>
      </c>
      <c r="R110">
        <v>31.72</v>
      </c>
      <c r="S110">
        <v>53.76</v>
      </c>
      <c r="T110">
        <v>7.04</v>
      </c>
      <c r="U110">
        <v>1.6</v>
      </c>
      <c r="V110">
        <v>11.68</v>
      </c>
      <c r="W110">
        <v>2.16</v>
      </c>
      <c r="X110" s="1">
        <v>43091</v>
      </c>
    </row>
    <row r="111" spans="1:24" x14ac:dyDescent="0.25">
      <c r="A111" t="s">
        <v>800</v>
      </c>
      <c r="B111">
        <v>2017</v>
      </c>
      <c r="C111" s="8" t="s">
        <v>276</v>
      </c>
      <c r="D111">
        <v>8.1999999999999993</v>
      </c>
      <c r="E111">
        <v>7.8</v>
      </c>
      <c r="F111">
        <v>78</v>
      </c>
      <c r="G111">
        <v>1029</v>
      </c>
      <c r="H111">
        <v>1635</v>
      </c>
      <c r="I111">
        <v>4223</v>
      </c>
      <c r="J111">
        <v>26</v>
      </c>
      <c r="K111">
        <v>5.74</v>
      </c>
      <c r="L111">
        <v>6.4</v>
      </c>
      <c r="M111">
        <v>289</v>
      </c>
      <c r="N111">
        <v>60</v>
      </c>
      <c r="O111">
        <v>3.62</v>
      </c>
      <c r="P111">
        <v>20.28</v>
      </c>
      <c r="Q111">
        <v>6.5</v>
      </c>
      <c r="R111">
        <v>33.57</v>
      </c>
      <c r="S111">
        <v>52.03</v>
      </c>
      <c r="T111">
        <v>7.88</v>
      </c>
      <c r="U111">
        <v>1.42</v>
      </c>
      <c r="V111">
        <v>7.78</v>
      </c>
      <c r="W111">
        <v>1.79</v>
      </c>
      <c r="X111" s="1">
        <v>43091</v>
      </c>
    </row>
    <row r="112" spans="1:24" x14ac:dyDescent="0.25">
      <c r="A112" t="s">
        <v>801</v>
      </c>
      <c r="B112">
        <v>2017</v>
      </c>
      <c r="C112" s="8" t="s">
        <v>276</v>
      </c>
      <c r="D112">
        <v>8.1999999999999993</v>
      </c>
      <c r="E112">
        <v>7.75</v>
      </c>
      <c r="F112">
        <v>66</v>
      </c>
      <c r="G112">
        <v>1030</v>
      </c>
      <c r="H112">
        <v>1924</v>
      </c>
      <c r="I112">
        <v>4709</v>
      </c>
      <c r="J112">
        <v>35</v>
      </c>
      <c r="K112">
        <v>6.11</v>
      </c>
      <c r="L112">
        <v>6.29</v>
      </c>
      <c r="M112">
        <v>315</v>
      </c>
      <c r="N112">
        <v>69</v>
      </c>
      <c r="O112">
        <v>4.3499999999999996</v>
      </c>
      <c r="P112">
        <v>23.1</v>
      </c>
      <c r="Q112">
        <v>5.71</v>
      </c>
      <c r="R112">
        <v>34.68</v>
      </c>
      <c r="S112">
        <v>50.94</v>
      </c>
      <c r="T112">
        <v>8.65</v>
      </c>
      <c r="U112">
        <v>1.61</v>
      </c>
      <c r="V112">
        <v>12.26</v>
      </c>
      <c r="W112">
        <v>1.82</v>
      </c>
      <c r="X112" s="1">
        <v>43091</v>
      </c>
    </row>
    <row r="113" spans="1:24" x14ac:dyDescent="0.25">
      <c r="A113" t="s">
        <v>802</v>
      </c>
      <c r="B113">
        <v>2017</v>
      </c>
      <c r="C113" s="8" t="s">
        <v>276</v>
      </c>
      <c r="D113">
        <v>8.1</v>
      </c>
      <c r="E113">
        <v>7.85</v>
      </c>
      <c r="F113">
        <v>68</v>
      </c>
      <c r="G113">
        <v>1149</v>
      </c>
      <c r="H113">
        <v>1551</v>
      </c>
      <c r="I113">
        <v>3861</v>
      </c>
      <c r="J113">
        <v>34</v>
      </c>
      <c r="K113">
        <v>4.8600000000000003</v>
      </c>
      <c r="L113">
        <v>6.14</v>
      </c>
      <c r="M113">
        <v>268</v>
      </c>
      <c r="N113">
        <v>59</v>
      </c>
      <c r="O113">
        <v>3.32</v>
      </c>
      <c r="P113">
        <v>18.78</v>
      </c>
      <c r="Q113">
        <v>7.84</v>
      </c>
      <c r="R113">
        <v>34.39</v>
      </c>
      <c r="S113">
        <v>51.37</v>
      </c>
      <c r="T113">
        <v>6.38</v>
      </c>
      <c r="U113">
        <v>1.49</v>
      </c>
      <c r="V113">
        <v>13.86</v>
      </c>
      <c r="W113">
        <v>1.88</v>
      </c>
      <c r="X113" s="1">
        <v>43091</v>
      </c>
    </row>
    <row r="114" spans="1:24" x14ac:dyDescent="0.25">
      <c r="A114" t="s">
        <v>803</v>
      </c>
      <c r="B114">
        <v>2017</v>
      </c>
      <c r="C114" s="8" t="s">
        <v>276</v>
      </c>
      <c r="D114">
        <v>8</v>
      </c>
      <c r="E114">
        <v>7.8</v>
      </c>
      <c r="F114">
        <v>49</v>
      </c>
      <c r="G114">
        <v>869</v>
      </c>
      <c r="H114">
        <v>1397</v>
      </c>
      <c r="I114">
        <v>3367</v>
      </c>
      <c r="J114">
        <v>28</v>
      </c>
      <c r="K114">
        <v>4.51</v>
      </c>
      <c r="L114">
        <v>4.17</v>
      </c>
      <c r="M114">
        <v>270</v>
      </c>
      <c r="N114">
        <v>58</v>
      </c>
      <c r="O114">
        <v>3.83</v>
      </c>
      <c r="P114">
        <v>16.95</v>
      </c>
      <c r="Q114">
        <v>6.57</v>
      </c>
      <c r="R114">
        <v>34.33</v>
      </c>
      <c r="S114">
        <v>49.65</v>
      </c>
      <c r="T114">
        <v>9.43</v>
      </c>
      <c r="U114">
        <v>1.17</v>
      </c>
      <c r="V114">
        <v>7.82</v>
      </c>
      <c r="W114">
        <v>1.69</v>
      </c>
      <c r="X114" s="1">
        <v>43091</v>
      </c>
    </row>
    <row r="115" spans="1:24" x14ac:dyDescent="0.25">
      <c r="A115" t="s">
        <v>804</v>
      </c>
      <c r="B115">
        <v>2017</v>
      </c>
      <c r="C115" s="8" t="s">
        <v>276</v>
      </c>
      <c r="D115">
        <v>8</v>
      </c>
      <c r="E115">
        <v>7.8</v>
      </c>
      <c r="F115">
        <v>34</v>
      </c>
      <c r="G115">
        <v>868</v>
      </c>
      <c r="H115">
        <v>1518</v>
      </c>
      <c r="I115">
        <v>3694</v>
      </c>
      <c r="J115">
        <v>21</v>
      </c>
      <c r="K115">
        <v>5.04</v>
      </c>
      <c r="L115">
        <v>2.34</v>
      </c>
      <c r="M115">
        <v>306</v>
      </c>
      <c r="N115">
        <v>58</v>
      </c>
      <c r="O115">
        <v>3.87</v>
      </c>
      <c r="P115">
        <v>18.27</v>
      </c>
      <c r="Q115">
        <v>6.09</v>
      </c>
      <c r="R115">
        <v>34.61</v>
      </c>
      <c r="S115">
        <v>50.53</v>
      </c>
      <c r="T115">
        <v>8.75</v>
      </c>
      <c r="U115">
        <v>1.07</v>
      </c>
      <c r="V115">
        <v>5.46</v>
      </c>
      <c r="W115">
        <v>1.62</v>
      </c>
      <c r="X115" s="1">
        <v>43091</v>
      </c>
    </row>
    <row r="116" spans="1:24" x14ac:dyDescent="0.25">
      <c r="A116" s="8" t="s">
        <v>805</v>
      </c>
      <c r="B116">
        <v>2017</v>
      </c>
      <c r="C116" s="8" t="s">
        <v>279</v>
      </c>
      <c r="D116">
        <v>8.1</v>
      </c>
      <c r="E116">
        <v>7.8</v>
      </c>
      <c r="F116">
        <v>53</v>
      </c>
      <c r="G116">
        <v>871</v>
      </c>
      <c r="H116">
        <v>1661</v>
      </c>
      <c r="I116">
        <v>3556</v>
      </c>
      <c r="J116">
        <v>21</v>
      </c>
      <c r="K116">
        <v>5.72</v>
      </c>
      <c r="L116">
        <v>3.86</v>
      </c>
      <c r="M116">
        <v>142</v>
      </c>
      <c r="N116">
        <v>72</v>
      </c>
      <c r="O116">
        <v>2.95</v>
      </c>
      <c r="P116">
        <v>18.52</v>
      </c>
      <c r="Q116">
        <v>6.02</v>
      </c>
      <c r="R116">
        <v>37.35</v>
      </c>
      <c r="S116">
        <v>47.98</v>
      </c>
      <c r="T116">
        <v>8.6300000000000008</v>
      </c>
      <c r="U116">
        <v>1.18</v>
      </c>
      <c r="V116">
        <v>5</v>
      </c>
      <c r="W116">
        <v>1.75</v>
      </c>
      <c r="X116" s="1">
        <v>43091</v>
      </c>
    </row>
    <row r="117" spans="1:24" x14ac:dyDescent="0.25">
      <c r="A117" s="8" t="s">
        <v>806</v>
      </c>
      <c r="B117">
        <v>2017</v>
      </c>
      <c r="C117" s="8" t="s">
        <v>279</v>
      </c>
      <c r="D117">
        <v>8.1</v>
      </c>
      <c r="E117">
        <v>7.8</v>
      </c>
      <c r="F117">
        <v>56</v>
      </c>
      <c r="G117">
        <v>977</v>
      </c>
      <c r="H117">
        <v>1616</v>
      </c>
      <c r="I117">
        <v>3092</v>
      </c>
      <c r="J117">
        <v>24</v>
      </c>
      <c r="K117">
        <v>5.78</v>
      </c>
      <c r="L117">
        <v>4.0599999999999996</v>
      </c>
      <c r="M117">
        <v>138</v>
      </c>
      <c r="N117">
        <v>74</v>
      </c>
      <c r="O117">
        <v>2.68</v>
      </c>
      <c r="P117">
        <v>17.309999999999999</v>
      </c>
      <c r="Q117">
        <v>7.23</v>
      </c>
      <c r="R117">
        <v>38.880000000000003</v>
      </c>
      <c r="S117">
        <v>44.64</v>
      </c>
      <c r="T117">
        <v>9.24</v>
      </c>
      <c r="U117">
        <v>1.1399999999999999</v>
      </c>
      <c r="V117">
        <v>6.08</v>
      </c>
      <c r="W117">
        <v>1.85</v>
      </c>
      <c r="X117" s="1">
        <v>43091</v>
      </c>
    </row>
    <row r="118" spans="1:24" x14ac:dyDescent="0.25">
      <c r="A118" s="8" t="s">
        <v>807</v>
      </c>
      <c r="B118">
        <v>2017</v>
      </c>
      <c r="C118" s="8" t="s">
        <v>279</v>
      </c>
      <c r="D118">
        <v>8.1</v>
      </c>
      <c r="E118">
        <v>7.8</v>
      </c>
      <c r="F118">
        <v>57</v>
      </c>
      <c r="G118">
        <v>776</v>
      </c>
      <c r="H118">
        <v>1350</v>
      </c>
      <c r="I118">
        <v>2748</v>
      </c>
      <c r="J118">
        <v>15</v>
      </c>
      <c r="K118">
        <v>4.78</v>
      </c>
      <c r="L118">
        <v>3.62</v>
      </c>
      <c r="M118">
        <v>152</v>
      </c>
      <c r="N118">
        <v>65</v>
      </c>
      <c r="O118">
        <v>2.42</v>
      </c>
      <c r="P118">
        <v>15.08</v>
      </c>
      <c r="Q118">
        <v>6.59</v>
      </c>
      <c r="R118">
        <v>37.270000000000003</v>
      </c>
      <c r="S118">
        <v>45.52</v>
      </c>
      <c r="T118">
        <v>10.6</v>
      </c>
      <c r="U118">
        <v>0.98</v>
      </c>
      <c r="V118">
        <v>5.5</v>
      </c>
      <c r="W118">
        <v>1.77</v>
      </c>
      <c r="X118" s="1">
        <v>43091</v>
      </c>
    </row>
    <row r="119" spans="1:24" x14ac:dyDescent="0.25">
      <c r="A119" s="8" t="s">
        <v>808</v>
      </c>
      <c r="B119">
        <v>2017</v>
      </c>
      <c r="C119" s="8" t="s">
        <v>279</v>
      </c>
      <c r="D119">
        <v>7.5</v>
      </c>
      <c r="E119">
        <v>7.85</v>
      </c>
      <c r="F119">
        <v>60</v>
      </c>
      <c r="G119">
        <v>747</v>
      </c>
      <c r="H119">
        <v>1182</v>
      </c>
      <c r="I119">
        <v>2985</v>
      </c>
      <c r="J119">
        <v>14</v>
      </c>
      <c r="K119">
        <v>3.51</v>
      </c>
      <c r="L119">
        <v>3.78</v>
      </c>
      <c r="M119">
        <v>190</v>
      </c>
      <c r="N119">
        <v>107</v>
      </c>
      <c r="O119">
        <v>2.42</v>
      </c>
      <c r="P119">
        <v>14.54</v>
      </c>
      <c r="Q119">
        <v>6.58</v>
      </c>
      <c r="R119">
        <v>33.85</v>
      </c>
      <c r="S119">
        <v>51.3</v>
      </c>
      <c r="T119">
        <v>8.25</v>
      </c>
      <c r="U119">
        <v>1.19</v>
      </c>
      <c r="V119">
        <v>4</v>
      </c>
      <c r="W119">
        <v>2</v>
      </c>
      <c r="X119" s="1">
        <v>43091</v>
      </c>
    </row>
    <row r="120" spans="1:24" x14ac:dyDescent="0.25">
      <c r="A120" t="s">
        <v>135</v>
      </c>
      <c r="B120">
        <v>2018</v>
      </c>
      <c r="C120" s="8" t="s">
        <v>275</v>
      </c>
      <c r="D120">
        <v>8</v>
      </c>
      <c r="E120">
        <v>7.7</v>
      </c>
      <c r="F120">
        <v>94</v>
      </c>
      <c r="G120">
        <v>869</v>
      </c>
      <c r="H120">
        <v>1885</v>
      </c>
      <c r="I120">
        <v>4368</v>
      </c>
      <c r="J120">
        <v>43</v>
      </c>
      <c r="K120">
        <v>5.59</v>
      </c>
      <c r="L120">
        <v>3.59</v>
      </c>
      <c r="M120">
        <v>346</v>
      </c>
      <c r="N120">
        <v>72</v>
      </c>
      <c r="O120">
        <v>4.3899999999999997</v>
      </c>
      <c r="P120">
        <v>22.28</v>
      </c>
      <c r="Q120">
        <v>4.99</v>
      </c>
      <c r="R120">
        <v>35.229999999999997</v>
      </c>
      <c r="S120">
        <v>48.99</v>
      </c>
      <c r="T120">
        <v>10.76</v>
      </c>
      <c r="U120">
        <v>0.95</v>
      </c>
      <c r="V120">
        <v>16.34</v>
      </c>
      <c r="W120">
        <v>1.31</v>
      </c>
      <c r="X120" s="1">
        <v>43255</v>
      </c>
    </row>
    <row r="121" spans="1:24" x14ac:dyDescent="0.25">
      <c r="A121" t="s">
        <v>136</v>
      </c>
      <c r="B121">
        <v>2018</v>
      </c>
      <c r="C121" s="8" t="s">
        <v>275</v>
      </c>
      <c r="D121">
        <v>8.1999999999999993</v>
      </c>
      <c r="E121">
        <v>7.8</v>
      </c>
      <c r="F121">
        <v>182</v>
      </c>
      <c r="G121">
        <v>929</v>
      </c>
      <c r="H121">
        <v>1701</v>
      </c>
      <c r="I121">
        <v>3891</v>
      </c>
      <c r="J121">
        <v>45</v>
      </c>
      <c r="K121">
        <v>5.83</v>
      </c>
      <c r="L121">
        <v>4.95</v>
      </c>
      <c r="M121">
        <v>339</v>
      </c>
      <c r="N121">
        <v>75</v>
      </c>
      <c r="O121">
        <v>4.13</v>
      </c>
      <c r="P121">
        <v>19.600000000000001</v>
      </c>
      <c r="Q121">
        <v>6.07</v>
      </c>
      <c r="R121">
        <v>36.14</v>
      </c>
      <c r="S121">
        <v>49.61</v>
      </c>
      <c r="T121">
        <v>8.16</v>
      </c>
      <c r="U121">
        <v>0.92</v>
      </c>
      <c r="V121">
        <v>13.06</v>
      </c>
      <c r="W121">
        <v>1.43</v>
      </c>
      <c r="X121" s="1">
        <v>43255</v>
      </c>
    </row>
    <row r="122" spans="1:24" x14ac:dyDescent="0.25">
      <c r="A122" t="s">
        <v>137</v>
      </c>
      <c r="B122">
        <v>2018</v>
      </c>
      <c r="C122" s="8" t="s">
        <v>275</v>
      </c>
      <c r="D122">
        <v>8.1999999999999993</v>
      </c>
      <c r="E122">
        <v>7.8</v>
      </c>
      <c r="F122">
        <v>105</v>
      </c>
      <c r="G122">
        <v>1008</v>
      </c>
      <c r="H122">
        <v>1755</v>
      </c>
      <c r="I122">
        <v>3972</v>
      </c>
      <c r="J122">
        <v>39</v>
      </c>
      <c r="K122">
        <v>4.6500000000000004</v>
      </c>
      <c r="L122">
        <v>4.9400000000000004</v>
      </c>
      <c r="M122">
        <v>329</v>
      </c>
      <c r="N122">
        <v>75</v>
      </c>
      <c r="O122">
        <v>4.34</v>
      </c>
      <c r="P122">
        <v>20.13</v>
      </c>
      <c r="Q122">
        <v>6.41</v>
      </c>
      <c r="R122">
        <v>36.31</v>
      </c>
      <c r="S122">
        <v>49.31</v>
      </c>
      <c r="T122">
        <v>7.94</v>
      </c>
      <c r="U122">
        <v>0.85</v>
      </c>
      <c r="V122">
        <v>7.51</v>
      </c>
      <c r="W122">
        <v>1.37</v>
      </c>
      <c r="X122" s="1">
        <v>43255</v>
      </c>
    </row>
    <row r="123" spans="1:24" x14ac:dyDescent="0.25">
      <c r="A123" t="s">
        <v>138</v>
      </c>
      <c r="B123">
        <v>2018</v>
      </c>
      <c r="C123" s="8" t="s">
        <v>275</v>
      </c>
      <c r="D123">
        <v>8.1</v>
      </c>
      <c r="E123">
        <v>7.75</v>
      </c>
      <c r="F123">
        <v>174</v>
      </c>
      <c r="G123">
        <v>968</v>
      </c>
      <c r="H123">
        <v>1913</v>
      </c>
      <c r="I123">
        <v>4470</v>
      </c>
      <c r="J123">
        <v>37</v>
      </c>
      <c r="K123">
        <v>4.8899999999999997</v>
      </c>
      <c r="L123">
        <v>5.98</v>
      </c>
      <c r="M123">
        <v>332</v>
      </c>
      <c r="N123">
        <v>74</v>
      </c>
      <c r="O123">
        <v>4.59</v>
      </c>
      <c r="P123">
        <v>22.38</v>
      </c>
      <c r="Q123">
        <v>5.54</v>
      </c>
      <c r="R123">
        <v>35.6</v>
      </c>
      <c r="S123">
        <v>49.91</v>
      </c>
      <c r="T123">
        <v>8.93</v>
      </c>
      <c r="U123">
        <v>1.04</v>
      </c>
      <c r="V123">
        <v>5.18</v>
      </c>
      <c r="W123">
        <v>1.32</v>
      </c>
      <c r="X123" s="1">
        <v>43255</v>
      </c>
    </row>
    <row r="124" spans="1:24" x14ac:dyDescent="0.25">
      <c r="A124" t="s">
        <v>139</v>
      </c>
      <c r="B124">
        <v>2018</v>
      </c>
      <c r="C124" s="8" t="s">
        <v>276</v>
      </c>
      <c r="D124">
        <v>8</v>
      </c>
      <c r="E124">
        <v>7.75</v>
      </c>
      <c r="F124">
        <v>74</v>
      </c>
      <c r="G124">
        <v>1330</v>
      </c>
      <c r="H124">
        <v>1719</v>
      </c>
      <c r="I124">
        <v>4278</v>
      </c>
      <c r="J124">
        <v>44</v>
      </c>
      <c r="K124">
        <v>6.38</v>
      </c>
      <c r="L124">
        <v>5.22</v>
      </c>
      <c r="M124">
        <v>345</v>
      </c>
      <c r="N124">
        <v>76</v>
      </c>
      <c r="O124">
        <v>4.45</v>
      </c>
      <c r="P124">
        <v>21.56</v>
      </c>
      <c r="Q124">
        <v>7.9</v>
      </c>
      <c r="R124">
        <v>33.21</v>
      </c>
      <c r="S124">
        <v>49.59</v>
      </c>
      <c r="T124">
        <v>9.27</v>
      </c>
      <c r="U124">
        <v>1.18</v>
      </c>
      <c r="V124">
        <v>54.25</v>
      </c>
      <c r="W124">
        <v>1.4</v>
      </c>
      <c r="X124" s="1">
        <v>43255</v>
      </c>
    </row>
    <row r="125" spans="1:24" x14ac:dyDescent="0.25">
      <c r="A125" t="s">
        <v>140</v>
      </c>
      <c r="B125">
        <v>2018</v>
      </c>
      <c r="C125" s="8" t="s">
        <v>276</v>
      </c>
      <c r="D125">
        <v>8.1999999999999993</v>
      </c>
      <c r="E125">
        <v>7.8</v>
      </c>
      <c r="F125">
        <v>133</v>
      </c>
      <c r="G125">
        <v>1395</v>
      </c>
      <c r="H125">
        <v>1798</v>
      </c>
      <c r="I125">
        <v>4410</v>
      </c>
      <c r="J125">
        <v>51</v>
      </c>
      <c r="K125">
        <v>6.39</v>
      </c>
      <c r="L125">
        <v>6.39</v>
      </c>
      <c r="M125">
        <v>364</v>
      </c>
      <c r="N125">
        <v>84</v>
      </c>
      <c r="O125">
        <v>4.6900000000000004</v>
      </c>
      <c r="P125">
        <v>21.9</v>
      </c>
      <c r="Q125">
        <v>8.16</v>
      </c>
      <c r="R125">
        <v>34.200000000000003</v>
      </c>
      <c r="S125">
        <v>50.33</v>
      </c>
      <c r="T125">
        <v>7.3</v>
      </c>
      <c r="U125">
        <v>1.01</v>
      </c>
      <c r="V125">
        <v>53.04</v>
      </c>
      <c r="W125">
        <v>1.24</v>
      </c>
      <c r="X125" s="1">
        <v>43255</v>
      </c>
    </row>
    <row r="126" spans="1:24" x14ac:dyDescent="0.25">
      <c r="A126" t="s">
        <v>141</v>
      </c>
      <c r="B126">
        <v>2018</v>
      </c>
      <c r="C126" s="8" t="s">
        <v>276</v>
      </c>
      <c r="D126">
        <v>8</v>
      </c>
      <c r="E126">
        <v>7.75</v>
      </c>
      <c r="F126">
        <v>221</v>
      </c>
      <c r="G126">
        <v>1544</v>
      </c>
      <c r="H126">
        <v>2084</v>
      </c>
      <c r="I126">
        <v>4607</v>
      </c>
      <c r="J126">
        <v>52</v>
      </c>
      <c r="K126">
        <v>6.16</v>
      </c>
      <c r="L126">
        <v>9.1199999999999992</v>
      </c>
      <c r="M126">
        <v>424</v>
      </c>
      <c r="N126">
        <v>82</v>
      </c>
      <c r="O126">
        <v>5.19</v>
      </c>
      <c r="P126">
        <v>24.18</v>
      </c>
      <c r="Q126">
        <v>8.18</v>
      </c>
      <c r="R126">
        <v>35.909999999999997</v>
      </c>
      <c r="S126">
        <v>47.63</v>
      </c>
      <c r="T126">
        <v>8.27</v>
      </c>
      <c r="U126">
        <v>1.21</v>
      </c>
      <c r="V126">
        <v>63.78</v>
      </c>
      <c r="W126">
        <v>1.08</v>
      </c>
      <c r="X126" s="1">
        <v>43255</v>
      </c>
    </row>
    <row r="127" spans="1:24" x14ac:dyDescent="0.25">
      <c r="A127" t="s">
        <v>142</v>
      </c>
      <c r="B127">
        <v>2018</v>
      </c>
      <c r="C127" s="8" t="s">
        <v>276</v>
      </c>
      <c r="D127">
        <v>8.1999999999999993</v>
      </c>
      <c r="E127">
        <v>7.85</v>
      </c>
      <c r="F127">
        <v>128</v>
      </c>
      <c r="G127">
        <v>1253</v>
      </c>
      <c r="H127">
        <v>1658</v>
      </c>
      <c r="I127">
        <v>4134</v>
      </c>
      <c r="J127">
        <v>42</v>
      </c>
      <c r="K127">
        <v>5.89</v>
      </c>
      <c r="L127">
        <v>6.14</v>
      </c>
      <c r="M127">
        <v>366</v>
      </c>
      <c r="N127">
        <v>78</v>
      </c>
      <c r="O127">
        <v>4.3600000000000003</v>
      </c>
      <c r="P127">
        <v>20.04</v>
      </c>
      <c r="Q127">
        <v>8.01</v>
      </c>
      <c r="R127">
        <v>34.450000000000003</v>
      </c>
      <c r="S127">
        <v>51.54</v>
      </c>
      <c r="T127">
        <v>5.98</v>
      </c>
      <c r="U127">
        <v>1</v>
      </c>
      <c r="V127">
        <v>48.07</v>
      </c>
      <c r="W127">
        <v>1.6</v>
      </c>
      <c r="X127" s="1">
        <v>43255</v>
      </c>
    </row>
    <row r="128" spans="1:24" x14ac:dyDescent="0.25">
      <c r="A128" t="s">
        <v>143</v>
      </c>
      <c r="B128">
        <v>2018</v>
      </c>
      <c r="C128" s="8" t="s">
        <v>275</v>
      </c>
      <c r="D128">
        <v>8.3000000000000007</v>
      </c>
      <c r="E128">
        <v>7.75</v>
      </c>
      <c r="F128">
        <v>95</v>
      </c>
      <c r="G128">
        <v>1575</v>
      </c>
      <c r="H128">
        <v>2113</v>
      </c>
      <c r="I128">
        <v>5103</v>
      </c>
      <c r="J128">
        <v>41</v>
      </c>
      <c r="K128">
        <v>7.74</v>
      </c>
      <c r="L128">
        <v>7.38</v>
      </c>
      <c r="M128">
        <v>343</v>
      </c>
      <c r="N128">
        <v>80</v>
      </c>
      <c r="O128">
        <v>4.8899999999999997</v>
      </c>
      <c r="P128">
        <v>25.58</v>
      </c>
      <c r="Q128">
        <v>7.89</v>
      </c>
      <c r="R128">
        <v>34.409999999999997</v>
      </c>
      <c r="S128">
        <v>49.87</v>
      </c>
      <c r="T128">
        <v>7.81</v>
      </c>
      <c r="U128">
        <v>1.2</v>
      </c>
      <c r="V128">
        <v>24.56</v>
      </c>
      <c r="W128">
        <v>1.67</v>
      </c>
      <c r="X128" s="1">
        <v>43255</v>
      </c>
    </row>
    <row r="129" spans="1:24" x14ac:dyDescent="0.25">
      <c r="A129" t="s">
        <v>144</v>
      </c>
      <c r="B129">
        <v>2018</v>
      </c>
      <c r="C129" s="8" t="s">
        <v>275</v>
      </c>
      <c r="D129">
        <v>8</v>
      </c>
      <c r="E129">
        <v>7.8</v>
      </c>
      <c r="F129">
        <v>117</v>
      </c>
      <c r="G129">
        <v>1711</v>
      </c>
      <c r="H129">
        <v>2432</v>
      </c>
      <c r="I129">
        <v>6013</v>
      </c>
      <c r="J129">
        <v>59</v>
      </c>
      <c r="K129">
        <v>8.86</v>
      </c>
      <c r="L129">
        <v>7.87</v>
      </c>
      <c r="M129">
        <v>374</v>
      </c>
      <c r="N129">
        <v>82</v>
      </c>
      <c r="O129">
        <v>5.09</v>
      </c>
      <c r="P129">
        <v>28.95</v>
      </c>
      <c r="Q129">
        <v>7.57</v>
      </c>
      <c r="R129">
        <v>34.99</v>
      </c>
      <c r="S129">
        <v>51.9</v>
      </c>
      <c r="T129">
        <v>5.52</v>
      </c>
      <c r="U129">
        <v>1.07</v>
      </c>
      <c r="V129">
        <v>174</v>
      </c>
      <c r="W129">
        <v>1.49</v>
      </c>
      <c r="X129" s="1">
        <v>43255</v>
      </c>
    </row>
    <row r="130" spans="1:24" x14ac:dyDescent="0.25">
      <c r="A130" t="s">
        <v>145</v>
      </c>
      <c r="B130">
        <v>2018</v>
      </c>
      <c r="C130" s="8" t="s">
        <v>275</v>
      </c>
      <c r="D130">
        <v>8.4</v>
      </c>
      <c r="E130">
        <v>7.75</v>
      </c>
      <c r="F130">
        <v>92</v>
      </c>
      <c r="G130">
        <v>1964</v>
      </c>
      <c r="H130">
        <v>2391</v>
      </c>
      <c r="I130">
        <v>5174</v>
      </c>
      <c r="J130">
        <v>50</v>
      </c>
      <c r="K130">
        <v>9.4600000000000009</v>
      </c>
      <c r="L130">
        <v>6.13</v>
      </c>
      <c r="M130">
        <v>379</v>
      </c>
      <c r="N130">
        <v>97</v>
      </c>
      <c r="O130">
        <v>5.19</v>
      </c>
      <c r="P130">
        <v>27.41</v>
      </c>
      <c r="Q130">
        <v>9.18</v>
      </c>
      <c r="R130">
        <v>36.33</v>
      </c>
      <c r="S130">
        <v>47.18</v>
      </c>
      <c r="T130">
        <v>7.29</v>
      </c>
      <c r="U130">
        <v>1.42</v>
      </c>
      <c r="V130">
        <v>14.01</v>
      </c>
      <c r="W130">
        <v>1.41</v>
      </c>
      <c r="X130" s="1">
        <v>43255</v>
      </c>
    </row>
    <row r="131" spans="1:24" x14ac:dyDescent="0.25">
      <c r="A131" t="s">
        <v>146</v>
      </c>
      <c r="B131">
        <v>2018</v>
      </c>
      <c r="C131" s="8" t="s">
        <v>275</v>
      </c>
      <c r="D131">
        <v>8.1999999999999993</v>
      </c>
      <c r="E131">
        <v>7.8</v>
      </c>
      <c r="F131">
        <v>48</v>
      </c>
      <c r="G131">
        <v>1557</v>
      </c>
      <c r="H131">
        <v>2235</v>
      </c>
      <c r="I131">
        <v>4923</v>
      </c>
      <c r="J131">
        <v>35</v>
      </c>
      <c r="K131">
        <v>6.48</v>
      </c>
      <c r="L131">
        <v>4.2</v>
      </c>
      <c r="M131">
        <v>378</v>
      </c>
      <c r="N131">
        <v>78</v>
      </c>
      <c r="O131">
        <v>4.87</v>
      </c>
      <c r="P131">
        <v>25.21</v>
      </c>
      <c r="Q131">
        <v>7.91</v>
      </c>
      <c r="R131">
        <v>36.93</v>
      </c>
      <c r="S131">
        <v>48.8</v>
      </c>
      <c r="T131">
        <v>6.34</v>
      </c>
      <c r="U131">
        <v>1.36</v>
      </c>
      <c r="V131">
        <v>15.33</v>
      </c>
      <c r="W131">
        <v>1.51</v>
      </c>
      <c r="X131" s="1">
        <v>43255</v>
      </c>
    </row>
    <row r="132" spans="1:24" x14ac:dyDescent="0.25">
      <c r="A132" t="s">
        <v>147</v>
      </c>
      <c r="B132">
        <v>2018</v>
      </c>
      <c r="C132" s="8" t="s">
        <v>277</v>
      </c>
      <c r="D132">
        <v>7.8</v>
      </c>
      <c r="E132">
        <v>7.8</v>
      </c>
      <c r="F132">
        <v>105</v>
      </c>
      <c r="G132">
        <v>2327</v>
      </c>
      <c r="H132">
        <v>1535</v>
      </c>
      <c r="I132">
        <v>4353</v>
      </c>
      <c r="J132">
        <v>166</v>
      </c>
      <c r="K132">
        <v>5.61</v>
      </c>
      <c r="L132">
        <v>6.84</v>
      </c>
      <c r="M132">
        <v>346</v>
      </c>
      <c r="N132">
        <v>68</v>
      </c>
      <c r="O132">
        <v>4.47</v>
      </c>
      <c r="P132">
        <v>21.86</v>
      </c>
      <c r="Q132">
        <v>13.64</v>
      </c>
      <c r="R132">
        <v>29.25</v>
      </c>
      <c r="S132">
        <v>49.77</v>
      </c>
      <c r="T132">
        <v>7.31</v>
      </c>
      <c r="U132">
        <v>1.08</v>
      </c>
      <c r="V132">
        <v>127.08</v>
      </c>
      <c r="W132">
        <v>2.52</v>
      </c>
      <c r="X132" s="1">
        <v>43255</v>
      </c>
    </row>
    <row r="133" spans="1:24" x14ac:dyDescent="0.25">
      <c r="A133" t="s">
        <v>148</v>
      </c>
      <c r="B133">
        <v>2018</v>
      </c>
      <c r="C133" s="8" t="s">
        <v>277</v>
      </c>
      <c r="D133">
        <v>8.1</v>
      </c>
      <c r="E133">
        <v>7.8</v>
      </c>
      <c r="F133">
        <v>49</v>
      </c>
      <c r="G133">
        <v>1547</v>
      </c>
      <c r="H133">
        <v>1621</v>
      </c>
      <c r="I133">
        <v>4090</v>
      </c>
      <c r="J133">
        <v>51</v>
      </c>
      <c r="K133">
        <v>4.5199999999999996</v>
      </c>
      <c r="L133">
        <v>10.96</v>
      </c>
      <c r="M133">
        <v>406</v>
      </c>
      <c r="N133">
        <v>75</v>
      </c>
      <c r="O133">
        <v>4.68</v>
      </c>
      <c r="P133">
        <v>20.56</v>
      </c>
      <c r="Q133">
        <v>9.64</v>
      </c>
      <c r="R133">
        <v>32.840000000000003</v>
      </c>
      <c r="S133">
        <v>49.72</v>
      </c>
      <c r="T133">
        <v>7.78</v>
      </c>
      <c r="U133">
        <v>1.04</v>
      </c>
      <c r="V133">
        <v>20.98</v>
      </c>
      <c r="W133">
        <v>1.56</v>
      </c>
      <c r="X133" s="1">
        <v>43255</v>
      </c>
    </row>
    <row r="134" spans="1:24" x14ac:dyDescent="0.25">
      <c r="A134" t="s">
        <v>149</v>
      </c>
      <c r="B134">
        <v>2018</v>
      </c>
      <c r="C134" s="8" t="s">
        <v>277</v>
      </c>
      <c r="D134">
        <v>7.7</v>
      </c>
      <c r="E134">
        <v>7.8</v>
      </c>
      <c r="F134">
        <v>58</v>
      </c>
      <c r="G134">
        <v>1593</v>
      </c>
      <c r="H134">
        <v>1530</v>
      </c>
      <c r="I134">
        <v>4175</v>
      </c>
      <c r="J134">
        <v>41</v>
      </c>
      <c r="K134">
        <v>4.76</v>
      </c>
      <c r="L134">
        <v>9.9</v>
      </c>
      <c r="M134">
        <v>394</v>
      </c>
      <c r="N134">
        <v>72</v>
      </c>
      <c r="O134">
        <v>4.37</v>
      </c>
      <c r="P134">
        <v>20.45</v>
      </c>
      <c r="Q134">
        <v>9.98</v>
      </c>
      <c r="R134">
        <v>31.16</v>
      </c>
      <c r="S134">
        <v>51.02</v>
      </c>
      <c r="T134">
        <v>7.82</v>
      </c>
      <c r="U134">
        <v>1.07</v>
      </c>
      <c r="V134">
        <v>14.88</v>
      </c>
      <c r="W134">
        <v>1.55</v>
      </c>
      <c r="X134" s="1">
        <v>43255</v>
      </c>
    </row>
    <row r="135" spans="1:24" x14ac:dyDescent="0.25">
      <c r="A135" t="s">
        <v>150</v>
      </c>
      <c r="B135">
        <v>2018</v>
      </c>
      <c r="C135" s="8" t="s">
        <v>277</v>
      </c>
      <c r="D135">
        <v>7.5</v>
      </c>
      <c r="E135">
        <v>7.85</v>
      </c>
      <c r="F135">
        <v>39</v>
      </c>
      <c r="G135">
        <v>1705</v>
      </c>
      <c r="H135">
        <v>1549</v>
      </c>
      <c r="I135">
        <v>4202</v>
      </c>
      <c r="J135">
        <v>68</v>
      </c>
      <c r="K135">
        <v>4.67</v>
      </c>
      <c r="L135">
        <v>9.33</v>
      </c>
      <c r="M135">
        <v>390</v>
      </c>
      <c r="N135">
        <v>72</v>
      </c>
      <c r="O135">
        <v>4.6100000000000003</v>
      </c>
      <c r="P135">
        <v>20.34</v>
      </c>
      <c r="Q135">
        <v>10.74</v>
      </c>
      <c r="R135">
        <v>31.72</v>
      </c>
      <c r="S135">
        <v>51.63</v>
      </c>
      <c r="T135">
        <v>5.89</v>
      </c>
      <c r="U135">
        <v>1.05</v>
      </c>
      <c r="V135">
        <v>39.049999999999997</v>
      </c>
      <c r="W135">
        <v>1.32</v>
      </c>
      <c r="X135" s="1">
        <v>43255</v>
      </c>
    </row>
    <row r="136" spans="1:24" x14ac:dyDescent="0.25">
      <c r="A136" t="s">
        <v>151</v>
      </c>
      <c r="B136">
        <v>2018</v>
      </c>
      <c r="C136" s="8" t="s">
        <v>276</v>
      </c>
      <c r="D136">
        <v>7.8</v>
      </c>
      <c r="E136">
        <v>7.75</v>
      </c>
      <c r="F136">
        <v>167</v>
      </c>
      <c r="G136">
        <v>1113</v>
      </c>
      <c r="H136">
        <v>1717</v>
      </c>
      <c r="I136">
        <v>4472</v>
      </c>
      <c r="J136">
        <v>86</v>
      </c>
      <c r="K136">
        <v>6.17</v>
      </c>
      <c r="L136">
        <v>3.15</v>
      </c>
      <c r="M136">
        <v>341</v>
      </c>
      <c r="N136">
        <v>92</v>
      </c>
      <c r="O136">
        <v>5.0199999999999996</v>
      </c>
      <c r="P136">
        <v>21.76</v>
      </c>
      <c r="Q136">
        <v>6.55</v>
      </c>
      <c r="R136">
        <v>32.869999999999997</v>
      </c>
      <c r="S136">
        <v>51.37</v>
      </c>
      <c r="T136">
        <v>9.19</v>
      </c>
      <c r="U136">
        <v>0.8</v>
      </c>
      <c r="V136">
        <v>19.690000000000001</v>
      </c>
      <c r="W136">
        <v>1.72</v>
      </c>
      <c r="X136" s="1">
        <v>43255</v>
      </c>
    </row>
    <row r="137" spans="1:24" x14ac:dyDescent="0.25">
      <c r="A137" t="s">
        <v>152</v>
      </c>
      <c r="B137">
        <v>2018</v>
      </c>
      <c r="C137" s="8" t="s">
        <v>276</v>
      </c>
      <c r="D137">
        <v>7.8</v>
      </c>
      <c r="E137">
        <v>7.75</v>
      </c>
      <c r="F137">
        <v>119</v>
      </c>
      <c r="G137">
        <v>1030</v>
      </c>
      <c r="H137">
        <v>1892</v>
      </c>
      <c r="I137">
        <v>4807</v>
      </c>
      <c r="J137">
        <v>69</v>
      </c>
      <c r="K137">
        <v>6.25</v>
      </c>
      <c r="L137">
        <v>3.03</v>
      </c>
      <c r="M137">
        <v>330</v>
      </c>
      <c r="N137">
        <v>97</v>
      </c>
      <c r="O137">
        <v>5.36</v>
      </c>
      <c r="P137">
        <v>23.22</v>
      </c>
      <c r="Q137">
        <v>5.68</v>
      </c>
      <c r="R137">
        <v>33.94</v>
      </c>
      <c r="S137">
        <v>51.75</v>
      </c>
      <c r="T137">
        <v>8.61</v>
      </c>
      <c r="U137">
        <v>0.95</v>
      </c>
      <c r="V137">
        <v>15.1</v>
      </c>
      <c r="W137">
        <v>2.06</v>
      </c>
      <c r="X137" s="1">
        <v>43255</v>
      </c>
    </row>
    <row r="138" spans="1:24" x14ac:dyDescent="0.25">
      <c r="A138" t="s">
        <v>153</v>
      </c>
      <c r="B138">
        <v>2018</v>
      </c>
      <c r="C138" s="8" t="s">
        <v>276</v>
      </c>
      <c r="D138">
        <v>7.7</v>
      </c>
      <c r="E138">
        <v>7.75</v>
      </c>
      <c r="F138">
        <v>176</v>
      </c>
      <c r="G138">
        <v>1128</v>
      </c>
      <c r="H138">
        <v>1633</v>
      </c>
      <c r="I138">
        <v>4062</v>
      </c>
      <c r="J138">
        <v>71</v>
      </c>
      <c r="K138">
        <v>5.05</v>
      </c>
      <c r="L138">
        <v>3.37</v>
      </c>
      <c r="M138">
        <v>319</v>
      </c>
      <c r="N138">
        <v>94</v>
      </c>
      <c r="O138">
        <v>4.54</v>
      </c>
      <c r="P138">
        <v>20.399999999999999</v>
      </c>
      <c r="Q138">
        <v>7.08</v>
      </c>
      <c r="R138">
        <v>33.340000000000003</v>
      </c>
      <c r="S138">
        <v>49.76</v>
      </c>
      <c r="T138">
        <v>9.8000000000000007</v>
      </c>
      <c r="U138">
        <v>0.8</v>
      </c>
      <c r="V138">
        <v>7.77</v>
      </c>
      <c r="W138">
        <v>4.7699999999999996</v>
      </c>
      <c r="X138" s="1">
        <v>43255</v>
      </c>
    </row>
    <row r="139" spans="1:24" x14ac:dyDescent="0.25">
      <c r="A139" t="s">
        <v>154</v>
      </c>
      <c r="B139">
        <v>2018</v>
      </c>
      <c r="C139" s="8" t="s">
        <v>276</v>
      </c>
      <c r="D139">
        <v>7.9</v>
      </c>
      <c r="E139">
        <v>7.8</v>
      </c>
      <c r="F139">
        <v>128</v>
      </c>
      <c r="G139">
        <v>1107</v>
      </c>
      <c r="H139">
        <v>1690</v>
      </c>
      <c r="I139">
        <v>4525</v>
      </c>
      <c r="J139">
        <v>53</v>
      </c>
      <c r="K139">
        <v>5.28</v>
      </c>
      <c r="L139">
        <v>2.78</v>
      </c>
      <c r="M139">
        <v>328</v>
      </c>
      <c r="N139">
        <v>90</v>
      </c>
      <c r="O139">
        <v>4.74</v>
      </c>
      <c r="P139">
        <v>21.37</v>
      </c>
      <c r="Q139">
        <v>6.64</v>
      </c>
      <c r="R139">
        <v>32.94</v>
      </c>
      <c r="S139">
        <v>52.92</v>
      </c>
      <c r="T139">
        <v>7.48</v>
      </c>
      <c r="U139">
        <v>0.94</v>
      </c>
      <c r="V139">
        <v>8.16</v>
      </c>
      <c r="W139">
        <v>2.56</v>
      </c>
      <c r="X139" s="1">
        <v>43255</v>
      </c>
    </row>
    <row r="140" spans="1:24" x14ac:dyDescent="0.25">
      <c r="A140" t="s">
        <v>155</v>
      </c>
      <c r="B140">
        <v>2018</v>
      </c>
      <c r="C140" s="8" t="s">
        <v>275</v>
      </c>
      <c r="D140">
        <v>8</v>
      </c>
      <c r="E140">
        <v>7.75</v>
      </c>
      <c r="F140">
        <v>189</v>
      </c>
      <c r="G140">
        <v>1482</v>
      </c>
      <c r="H140">
        <v>2203</v>
      </c>
      <c r="I140">
        <v>5383</v>
      </c>
      <c r="J140">
        <v>45</v>
      </c>
      <c r="K140">
        <v>6.07</v>
      </c>
      <c r="L140">
        <v>16.28</v>
      </c>
      <c r="M140">
        <v>316</v>
      </c>
      <c r="N140">
        <v>77</v>
      </c>
      <c r="O140">
        <v>4.4400000000000004</v>
      </c>
      <c r="P140">
        <v>26.53</v>
      </c>
      <c r="Q140">
        <v>7.15</v>
      </c>
      <c r="R140">
        <v>34.590000000000003</v>
      </c>
      <c r="S140">
        <v>50.71</v>
      </c>
      <c r="T140">
        <v>7.53</v>
      </c>
      <c r="U140">
        <v>1.96</v>
      </c>
      <c r="V140">
        <v>18.28</v>
      </c>
      <c r="W140">
        <v>2.97</v>
      </c>
      <c r="X140" s="1">
        <v>43255</v>
      </c>
    </row>
    <row r="141" spans="1:24" x14ac:dyDescent="0.25">
      <c r="A141" t="s">
        <v>156</v>
      </c>
      <c r="B141">
        <v>2018</v>
      </c>
      <c r="C141" s="8" t="s">
        <v>275</v>
      </c>
      <c r="D141">
        <v>7.8</v>
      </c>
      <c r="E141">
        <v>7.75</v>
      </c>
      <c r="F141">
        <v>47</v>
      </c>
      <c r="G141">
        <v>1473</v>
      </c>
      <c r="H141">
        <v>2082</v>
      </c>
      <c r="I141">
        <v>4669</v>
      </c>
      <c r="J141">
        <v>32</v>
      </c>
      <c r="K141">
        <v>4.55</v>
      </c>
      <c r="L141">
        <v>6.28</v>
      </c>
      <c r="M141">
        <v>345</v>
      </c>
      <c r="N141">
        <v>83</v>
      </c>
      <c r="O141">
        <v>4.9000000000000004</v>
      </c>
      <c r="P141">
        <v>24.23</v>
      </c>
      <c r="Q141">
        <v>7.79</v>
      </c>
      <c r="R141">
        <v>35.79</v>
      </c>
      <c r="S141">
        <v>48.16</v>
      </c>
      <c r="T141">
        <v>8.25</v>
      </c>
      <c r="U141">
        <v>1.34</v>
      </c>
      <c r="V141">
        <v>13.45</v>
      </c>
      <c r="W141">
        <v>3.84</v>
      </c>
      <c r="X141" s="1">
        <v>43255</v>
      </c>
    </row>
    <row r="142" spans="1:24" x14ac:dyDescent="0.25">
      <c r="A142" t="s">
        <v>157</v>
      </c>
      <c r="B142">
        <v>2018</v>
      </c>
      <c r="C142" s="8" t="s">
        <v>275</v>
      </c>
      <c r="D142">
        <v>8.1999999999999993</v>
      </c>
      <c r="E142">
        <v>7.8</v>
      </c>
      <c r="F142">
        <v>165</v>
      </c>
      <c r="G142">
        <v>1515</v>
      </c>
      <c r="H142">
        <v>2158</v>
      </c>
      <c r="I142">
        <v>5731</v>
      </c>
      <c r="J142">
        <v>34</v>
      </c>
      <c r="K142">
        <v>5.82</v>
      </c>
      <c r="L142">
        <v>13.33</v>
      </c>
      <c r="M142">
        <v>319</v>
      </c>
      <c r="N142">
        <v>76</v>
      </c>
      <c r="O142">
        <v>4.71</v>
      </c>
      <c r="P142">
        <v>26.86</v>
      </c>
      <c r="Q142">
        <v>7.23</v>
      </c>
      <c r="R142">
        <v>33.47</v>
      </c>
      <c r="S142">
        <v>53.33</v>
      </c>
      <c r="T142">
        <v>5.95</v>
      </c>
      <c r="U142">
        <v>1.81</v>
      </c>
      <c r="V142">
        <v>14.91</v>
      </c>
      <c r="W142">
        <v>4.3899999999999997</v>
      </c>
      <c r="X142" s="1">
        <v>43255</v>
      </c>
    </row>
    <row r="143" spans="1:24" x14ac:dyDescent="0.25">
      <c r="A143" t="s">
        <v>158</v>
      </c>
      <c r="B143">
        <v>2018</v>
      </c>
      <c r="C143" s="8" t="s">
        <v>275</v>
      </c>
      <c r="D143">
        <v>8.1999999999999993</v>
      </c>
      <c r="E143">
        <v>7.8</v>
      </c>
      <c r="F143">
        <v>102</v>
      </c>
      <c r="G143">
        <v>1504</v>
      </c>
      <c r="H143">
        <v>2025</v>
      </c>
      <c r="I143">
        <v>4837</v>
      </c>
      <c r="J143">
        <v>36</v>
      </c>
      <c r="K143">
        <v>5.71</v>
      </c>
      <c r="L143">
        <v>9.8699999999999992</v>
      </c>
      <c r="M143">
        <v>304</v>
      </c>
      <c r="N143">
        <v>89</v>
      </c>
      <c r="O143">
        <v>4.38</v>
      </c>
      <c r="P143">
        <v>24.05</v>
      </c>
      <c r="Q143">
        <v>8.01</v>
      </c>
      <c r="R143">
        <v>35.07</v>
      </c>
      <c r="S143">
        <v>50.26</v>
      </c>
      <c r="T143">
        <v>6.65</v>
      </c>
      <c r="U143">
        <v>1.56</v>
      </c>
      <c r="V143">
        <v>10.64</v>
      </c>
      <c r="W143">
        <v>1.41</v>
      </c>
      <c r="X143" s="1">
        <v>43255</v>
      </c>
    </row>
    <row r="144" spans="1:24" x14ac:dyDescent="0.25">
      <c r="A144" t="s">
        <v>160</v>
      </c>
      <c r="B144">
        <v>2018</v>
      </c>
      <c r="C144" s="8" t="s">
        <v>278</v>
      </c>
      <c r="D144">
        <v>8</v>
      </c>
      <c r="E144">
        <v>7.85</v>
      </c>
      <c r="F144">
        <v>162</v>
      </c>
      <c r="G144">
        <v>776</v>
      </c>
      <c r="H144">
        <v>1302</v>
      </c>
      <c r="I144">
        <v>2101</v>
      </c>
      <c r="J144">
        <v>63</v>
      </c>
      <c r="K144">
        <v>3.16</v>
      </c>
      <c r="L144">
        <v>5.85</v>
      </c>
      <c r="M144">
        <v>111</v>
      </c>
      <c r="N144">
        <v>78</v>
      </c>
      <c r="O144">
        <v>1.78</v>
      </c>
      <c r="P144">
        <v>12.87</v>
      </c>
      <c r="Q144">
        <v>7.72</v>
      </c>
      <c r="R144">
        <v>42.14</v>
      </c>
      <c r="S144">
        <v>40.799999999999997</v>
      </c>
      <c r="T144">
        <v>9.32</v>
      </c>
      <c r="U144">
        <v>0.69</v>
      </c>
      <c r="V144">
        <v>0.49</v>
      </c>
      <c r="W144">
        <v>1.07</v>
      </c>
      <c r="X144" s="1">
        <v>43256</v>
      </c>
    </row>
    <row r="145" spans="1:24" x14ac:dyDescent="0.25">
      <c r="A145" t="s">
        <v>161</v>
      </c>
      <c r="B145">
        <v>2018</v>
      </c>
      <c r="C145" s="8" t="s">
        <v>278</v>
      </c>
      <c r="D145">
        <v>8.5</v>
      </c>
      <c r="E145">
        <v>7.95</v>
      </c>
      <c r="F145">
        <v>94</v>
      </c>
      <c r="G145">
        <v>741</v>
      </c>
      <c r="H145">
        <v>1411</v>
      </c>
      <c r="I145">
        <v>1990</v>
      </c>
      <c r="J145">
        <v>38</v>
      </c>
      <c r="K145">
        <v>3.61</v>
      </c>
      <c r="L145">
        <v>5.74</v>
      </c>
      <c r="M145">
        <v>101</v>
      </c>
      <c r="N145">
        <v>72</v>
      </c>
      <c r="O145">
        <v>1.64</v>
      </c>
      <c r="P145">
        <v>12.2</v>
      </c>
      <c r="Q145">
        <v>7.78</v>
      </c>
      <c r="R145">
        <v>48.17</v>
      </c>
      <c r="S145">
        <v>40.76</v>
      </c>
      <c r="T145">
        <v>3.27</v>
      </c>
      <c r="U145">
        <v>0.73</v>
      </c>
      <c r="V145">
        <v>1.37</v>
      </c>
      <c r="W145">
        <v>1.06</v>
      </c>
      <c r="X145" s="1">
        <v>43256</v>
      </c>
    </row>
    <row r="146" spans="1:24" x14ac:dyDescent="0.25">
      <c r="A146" t="s">
        <v>162</v>
      </c>
      <c r="B146">
        <v>2018</v>
      </c>
      <c r="C146" s="8" t="s">
        <v>278</v>
      </c>
      <c r="D146">
        <v>8.1999999999999993</v>
      </c>
      <c r="E146">
        <v>7.9</v>
      </c>
      <c r="F146">
        <v>109</v>
      </c>
      <c r="G146">
        <v>828</v>
      </c>
      <c r="H146">
        <v>1347</v>
      </c>
      <c r="I146">
        <v>1902</v>
      </c>
      <c r="J146">
        <v>57</v>
      </c>
      <c r="K146">
        <v>3.34</v>
      </c>
      <c r="L146">
        <v>3.38</v>
      </c>
      <c r="M146">
        <v>124</v>
      </c>
      <c r="N146">
        <v>78</v>
      </c>
      <c r="O146">
        <v>2.0699999999999998</v>
      </c>
      <c r="P146">
        <v>12.22</v>
      </c>
      <c r="Q146">
        <v>8.68</v>
      </c>
      <c r="R146">
        <v>45.89</v>
      </c>
      <c r="S146">
        <v>38.880000000000003</v>
      </c>
      <c r="T146">
        <v>6.54</v>
      </c>
      <c r="U146">
        <v>0.47</v>
      </c>
      <c r="V146">
        <v>1.31</v>
      </c>
      <c r="W146">
        <v>0.95</v>
      </c>
      <c r="X146" s="1">
        <v>43256</v>
      </c>
    </row>
    <row r="147" spans="1:24" x14ac:dyDescent="0.25">
      <c r="A147" t="s">
        <v>163</v>
      </c>
      <c r="B147">
        <v>2018</v>
      </c>
      <c r="C147" s="8" t="s">
        <v>278</v>
      </c>
      <c r="D147">
        <v>8.4</v>
      </c>
      <c r="E147">
        <v>7.9</v>
      </c>
      <c r="F147">
        <v>114</v>
      </c>
      <c r="G147">
        <v>822</v>
      </c>
      <c r="H147">
        <v>1534</v>
      </c>
      <c r="I147">
        <v>2070</v>
      </c>
      <c r="J147">
        <v>43</v>
      </c>
      <c r="K147">
        <v>4.03</v>
      </c>
      <c r="L147">
        <v>6.27</v>
      </c>
      <c r="M147">
        <v>122</v>
      </c>
      <c r="N147">
        <v>76</v>
      </c>
      <c r="O147">
        <v>1.92</v>
      </c>
      <c r="P147">
        <v>13.42</v>
      </c>
      <c r="Q147">
        <v>7.85</v>
      </c>
      <c r="R147">
        <v>47.62</v>
      </c>
      <c r="S147">
        <v>38.56</v>
      </c>
      <c r="T147">
        <v>5.96</v>
      </c>
      <c r="U147">
        <v>0.65</v>
      </c>
      <c r="V147">
        <v>1.53</v>
      </c>
      <c r="W147">
        <v>0.99</v>
      </c>
      <c r="X147" s="1">
        <v>43256</v>
      </c>
    </row>
    <row r="148" spans="1:24" x14ac:dyDescent="0.25">
      <c r="A148" t="s">
        <v>164</v>
      </c>
      <c r="B148">
        <v>2018</v>
      </c>
      <c r="C148" s="8" t="s">
        <v>278</v>
      </c>
      <c r="D148">
        <v>7</v>
      </c>
      <c r="E148">
        <v>7.8</v>
      </c>
      <c r="F148">
        <v>88</v>
      </c>
      <c r="G148">
        <v>500</v>
      </c>
      <c r="H148">
        <v>392</v>
      </c>
      <c r="I148">
        <v>2182</v>
      </c>
      <c r="J148">
        <v>14</v>
      </c>
      <c r="K148">
        <v>1.03</v>
      </c>
      <c r="L148">
        <v>1.01</v>
      </c>
      <c r="M148">
        <v>114</v>
      </c>
      <c r="N148">
        <v>89</v>
      </c>
      <c r="O148">
        <v>1.78</v>
      </c>
      <c r="P148">
        <v>9.32</v>
      </c>
      <c r="Q148">
        <v>6.87</v>
      </c>
      <c r="R148">
        <v>17.5</v>
      </c>
      <c r="S148">
        <v>58.47</v>
      </c>
      <c r="T148">
        <v>17.149999999999999</v>
      </c>
      <c r="U148">
        <v>0.4</v>
      </c>
      <c r="V148">
        <v>1.33</v>
      </c>
      <c r="W148">
        <v>0.95</v>
      </c>
      <c r="X148" s="1">
        <v>43256</v>
      </c>
    </row>
    <row r="149" spans="1:24" x14ac:dyDescent="0.25">
      <c r="A149" t="s">
        <v>165</v>
      </c>
      <c r="B149">
        <v>2018</v>
      </c>
      <c r="C149" s="8" t="s">
        <v>278</v>
      </c>
      <c r="D149">
        <v>6.3</v>
      </c>
      <c r="E149">
        <v>7.8</v>
      </c>
      <c r="F149">
        <v>25</v>
      </c>
      <c r="G149">
        <v>430</v>
      </c>
      <c r="H149">
        <v>385</v>
      </c>
      <c r="I149">
        <v>1974</v>
      </c>
      <c r="J149">
        <v>18</v>
      </c>
      <c r="K149">
        <v>0.77</v>
      </c>
      <c r="L149">
        <v>0.73</v>
      </c>
      <c r="M149">
        <v>108</v>
      </c>
      <c r="N149">
        <v>87</v>
      </c>
      <c r="O149">
        <v>1.8</v>
      </c>
      <c r="P149">
        <v>8.69</v>
      </c>
      <c r="Q149">
        <v>6.34</v>
      </c>
      <c r="R149">
        <v>18.45</v>
      </c>
      <c r="S149">
        <v>56.78</v>
      </c>
      <c r="T149">
        <v>18.41</v>
      </c>
      <c r="U149">
        <v>0.38</v>
      </c>
      <c r="V149">
        <v>1.05</v>
      </c>
      <c r="W149">
        <v>1.1399999999999999</v>
      </c>
      <c r="X149" s="1">
        <v>43256</v>
      </c>
    </row>
    <row r="150" spans="1:24" x14ac:dyDescent="0.25">
      <c r="A150" t="s">
        <v>166</v>
      </c>
      <c r="B150">
        <v>2018</v>
      </c>
      <c r="C150" s="8" t="s">
        <v>278</v>
      </c>
      <c r="D150">
        <v>7.1</v>
      </c>
      <c r="E150">
        <v>7.85</v>
      </c>
      <c r="F150">
        <v>51</v>
      </c>
      <c r="G150">
        <v>520</v>
      </c>
      <c r="H150">
        <v>389</v>
      </c>
      <c r="I150">
        <v>2167</v>
      </c>
      <c r="J150">
        <v>19</v>
      </c>
      <c r="K150">
        <v>1</v>
      </c>
      <c r="L150">
        <v>0.94</v>
      </c>
      <c r="M150">
        <v>112</v>
      </c>
      <c r="N150">
        <v>91</v>
      </c>
      <c r="O150">
        <v>1.73</v>
      </c>
      <c r="P150">
        <v>8.9</v>
      </c>
      <c r="Q150">
        <v>7.48</v>
      </c>
      <c r="R150">
        <v>18.2</v>
      </c>
      <c r="S150">
        <v>60.83</v>
      </c>
      <c r="T150">
        <v>13.47</v>
      </c>
      <c r="U150">
        <v>0.28999999999999998</v>
      </c>
      <c r="V150">
        <v>1.55</v>
      </c>
      <c r="W150">
        <v>1.17</v>
      </c>
      <c r="X150" s="1">
        <v>43256</v>
      </c>
    </row>
    <row r="151" spans="1:24" x14ac:dyDescent="0.25">
      <c r="A151" t="s">
        <v>167</v>
      </c>
      <c r="B151">
        <v>2018</v>
      </c>
      <c r="C151" s="8" t="s">
        <v>278</v>
      </c>
      <c r="D151">
        <v>7.4</v>
      </c>
      <c r="E151">
        <v>7.85</v>
      </c>
      <c r="F151">
        <v>30</v>
      </c>
      <c r="G151">
        <v>526</v>
      </c>
      <c r="H151">
        <v>429</v>
      </c>
      <c r="I151">
        <v>2329</v>
      </c>
      <c r="J151">
        <v>16</v>
      </c>
      <c r="K151">
        <v>0.97</v>
      </c>
      <c r="L151">
        <v>0.75</v>
      </c>
      <c r="M151">
        <v>118</v>
      </c>
      <c r="N151">
        <v>77</v>
      </c>
      <c r="O151">
        <v>1.92</v>
      </c>
      <c r="P151">
        <v>9.48</v>
      </c>
      <c r="Q151">
        <v>7.11</v>
      </c>
      <c r="R151">
        <v>18.84</v>
      </c>
      <c r="S151">
        <v>61.39</v>
      </c>
      <c r="T151">
        <v>12.65</v>
      </c>
      <c r="U151">
        <v>0.2</v>
      </c>
      <c r="V151">
        <v>1.0900000000000001</v>
      </c>
      <c r="W151">
        <v>0.8</v>
      </c>
      <c r="X151" s="1">
        <v>43256</v>
      </c>
    </row>
    <row r="152" spans="1:24" x14ac:dyDescent="0.25">
      <c r="A152" t="s">
        <v>168</v>
      </c>
      <c r="B152">
        <v>2018</v>
      </c>
      <c r="C152" s="8" t="s">
        <v>278</v>
      </c>
      <c r="D152">
        <v>8</v>
      </c>
      <c r="E152">
        <v>7.85</v>
      </c>
      <c r="F152">
        <v>89</v>
      </c>
      <c r="G152">
        <v>802</v>
      </c>
      <c r="H152">
        <v>1676</v>
      </c>
      <c r="I152">
        <v>2021</v>
      </c>
      <c r="J152">
        <v>94</v>
      </c>
      <c r="K152">
        <v>4.2699999999999996</v>
      </c>
      <c r="L152">
        <v>2.67</v>
      </c>
      <c r="M152">
        <v>122</v>
      </c>
      <c r="N152">
        <v>70</v>
      </c>
      <c r="O152">
        <v>2.25</v>
      </c>
      <c r="P152">
        <v>14.26</v>
      </c>
      <c r="Q152">
        <v>7.2</v>
      </c>
      <c r="R152">
        <v>48.95</v>
      </c>
      <c r="S152">
        <v>35.42</v>
      </c>
      <c r="T152">
        <v>8.41</v>
      </c>
      <c r="U152">
        <v>0.57999999999999996</v>
      </c>
      <c r="V152">
        <v>14.02</v>
      </c>
      <c r="W152">
        <v>0.93</v>
      </c>
      <c r="X152" s="1">
        <v>43256</v>
      </c>
    </row>
    <row r="153" spans="1:24" x14ac:dyDescent="0.25">
      <c r="A153" t="s">
        <v>169</v>
      </c>
      <c r="B153">
        <v>2018</v>
      </c>
      <c r="C153" s="8" t="s">
        <v>278</v>
      </c>
      <c r="D153">
        <v>8.1</v>
      </c>
      <c r="E153">
        <v>7.9</v>
      </c>
      <c r="F153">
        <v>111</v>
      </c>
      <c r="G153">
        <v>921</v>
      </c>
      <c r="H153">
        <v>1603</v>
      </c>
      <c r="I153">
        <v>2192</v>
      </c>
      <c r="J153">
        <v>43</v>
      </c>
      <c r="K153">
        <v>4.38</v>
      </c>
      <c r="L153">
        <v>2.62</v>
      </c>
      <c r="M153">
        <v>119</v>
      </c>
      <c r="N153">
        <v>66</v>
      </c>
      <c r="O153">
        <v>2.17</v>
      </c>
      <c r="P153">
        <v>14.13</v>
      </c>
      <c r="Q153">
        <v>8.35</v>
      </c>
      <c r="R153">
        <v>47.23</v>
      </c>
      <c r="S153">
        <v>38.75</v>
      </c>
      <c r="T153">
        <v>5.65</v>
      </c>
      <c r="U153">
        <v>0.65</v>
      </c>
      <c r="V153">
        <v>16.36</v>
      </c>
      <c r="W153">
        <v>1.19</v>
      </c>
      <c r="X153" s="1">
        <v>43256</v>
      </c>
    </row>
    <row r="154" spans="1:24" x14ac:dyDescent="0.25">
      <c r="A154" t="s">
        <v>170</v>
      </c>
      <c r="B154">
        <v>2018</v>
      </c>
      <c r="C154" s="8" t="s">
        <v>278</v>
      </c>
      <c r="D154">
        <v>8</v>
      </c>
      <c r="E154">
        <v>7.85</v>
      </c>
      <c r="F154">
        <v>102</v>
      </c>
      <c r="G154">
        <v>739</v>
      </c>
      <c r="H154">
        <v>1516</v>
      </c>
      <c r="I154">
        <v>1825</v>
      </c>
      <c r="J154">
        <v>74</v>
      </c>
      <c r="K154">
        <v>3.43</v>
      </c>
      <c r="L154">
        <v>2.83</v>
      </c>
      <c r="M154">
        <v>121</v>
      </c>
      <c r="N154">
        <v>69</v>
      </c>
      <c r="O154">
        <v>2.12</v>
      </c>
      <c r="P154">
        <v>13.02</v>
      </c>
      <c r="Q154">
        <v>7.27</v>
      </c>
      <c r="R154">
        <v>48.49</v>
      </c>
      <c r="S154">
        <v>35.020000000000003</v>
      </c>
      <c r="T154">
        <v>9.2100000000000009</v>
      </c>
      <c r="U154">
        <v>0.5</v>
      </c>
      <c r="V154">
        <v>12.72</v>
      </c>
      <c r="W154">
        <v>0.86</v>
      </c>
      <c r="X154" s="1">
        <v>43256</v>
      </c>
    </row>
    <row r="155" spans="1:24" x14ac:dyDescent="0.25">
      <c r="A155" t="s">
        <v>171</v>
      </c>
      <c r="B155">
        <v>2018</v>
      </c>
      <c r="C155" s="8" t="s">
        <v>278</v>
      </c>
      <c r="D155">
        <v>7.9</v>
      </c>
      <c r="E155">
        <v>7.85</v>
      </c>
      <c r="F155">
        <v>109</v>
      </c>
      <c r="G155">
        <v>819</v>
      </c>
      <c r="H155">
        <v>1375</v>
      </c>
      <c r="I155">
        <v>1850</v>
      </c>
      <c r="J155">
        <v>72</v>
      </c>
      <c r="K155">
        <v>3.37</v>
      </c>
      <c r="L155">
        <v>2.72</v>
      </c>
      <c r="M155">
        <v>127</v>
      </c>
      <c r="N155">
        <v>70</v>
      </c>
      <c r="O155">
        <v>2.0099999999999998</v>
      </c>
      <c r="P155">
        <v>12.6</v>
      </c>
      <c r="Q155">
        <v>8.33</v>
      </c>
      <c r="R155">
        <v>45.45</v>
      </c>
      <c r="S155">
        <v>36.69</v>
      </c>
      <c r="T155">
        <v>9.52</v>
      </c>
      <c r="U155">
        <v>0.61</v>
      </c>
      <c r="V155">
        <v>8.2899999999999991</v>
      </c>
      <c r="W155">
        <v>1</v>
      </c>
      <c r="X155" s="1">
        <v>43256</v>
      </c>
    </row>
    <row r="156" spans="1:24" x14ac:dyDescent="0.25">
      <c r="A156" t="s">
        <v>172</v>
      </c>
      <c r="B156">
        <v>2018</v>
      </c>
      <c r="C156" s="8" t="s">
        <v>279</v>
      </c>
      <c r="D156">
        <v>7.5</v>
      </c>
      <c r="E156">
        <v>7.8</v>
      </c>
      <c r="F156">
        <v>156</v>
      </c>
      <c r="G156">
        <v>1084</v>
      </c>
      <c r="H156">
        <v>693</v>
      </c>
      <c r="I156">
        <v>3232</v>
      </c>
      <c r="J156">
        <v>13</v>
      </c>
      <c r="K156">
        <v>1.31</v>
      </c>
      <c r="L156">
        <v>2.14</v>
      </c>
      <c r="M156">
        <v>211</v>
      </c>
      <c r="N156">
        <v>96</v>
      </c>
      <c r="O156">
        <v>2.95</v>
      </c>
      <c r="P156">
        <v>13.95</v>
      </c>
      <c r="Q156">
        <v>9.9499999999999993</v>
      </c>
      <c r="R156">
        <v>20.68</v>
      </c>
      <c r="S156">
        <v>57.89</v>
      </c>
      <c r="T156">
        <v>11.46</v>
      </c>
      <c r="U156">
        <v>0.56999999999999995</v>
      </c>
      <c r="V156">
        <v>4.5</v>
      </c>
      <c r="W156">
        <v>1.07</v>
      </c>
      <c r="X156" s="1">
        <v>43256</v>
      </c>
    </row>
    <row r="157" spans="1:24" x14ac:dyDescent="0.25">
      <c r="A157" t="s">
        <v>173</v>
      </c>
      <c r="B157">
        <v>2018</v>
      </c>
      <c r="C157" s="8" t="s">
        <v>279</v>
      </c>
      <c r="D157">
        <v>7.5</v>
      </c>
      <c r="E157">
        <v>7.8</v>
      </c>
      <c r="F157">
        <v>158</v>
      </c>
      <c r="G157">
        <v>1123</v>
      </c>
      <c r="H157">
        <v>698</v>
      </c>
      <c r="I157">
        <v>3178</v>
      </c>
      <c r="J157">
        <v>17</v>
      </c>
      <c r="K157">
        <v>1.37</v>
      </c>
      <c r="L157">
        <v>2.23</v>
      </c>
      <c r="M157">
        <v>207</v>
      </c>
      <c r="N157">
        <v>90</v>
      </c>
      <c r="O157">
        <v>2.92</v>
      </c>
      <c r="P157">
        <v>13.89</v>
      </c>
      <c r="Q157">
        <v>10.36</v>
      </c>
      <c r="R157">
        <v>20.93</v>
      </c>
      <c r="S157">
        <v>57.18</v>
      </c>
      <c r="T157">
        <v>11.51</v>
      </c>
      <c r="U157">
        <v>0.6</v>
      </c>
      <c r="V157">
        <v>6.25</v>
      </c>
      <c r="W157">
        <v>0.91</v>
      </c>
      <c r="X157" s="1">
        <v>43256</v>
      </c>
    </row>
    <row r="158" spans="1:24" x14ac:dyDescent="0.25">
      <c r="A158" t="s">
        <v>174</v>
      </c>
      <c r="B158">
        <v>2018</v>
      </c>
      <c r="C158" s="8" t="s">
        <v>279</v>
      </c>
      <c r="D158">
        <v>7.5</v>
      </c>
      <c r="E158">
        <v>7.8</v>
      </c>
      <c r="F158">
        <v>151</v>
      </c>
      <c r="G158">
        <v>1074</v>
      </c>
      <c r="H158">
        <v>764</v>
      </c>
      <c r="I158">
        <v>3339</v>
      </c>
      <c r="J158">
        <v>19</v>
      </c>
      <c r="K158">
        <v>1.43</v>
      </c>
      <c r="L158">
        <v>4.92</v>
      </c>
      <c r="M158">
        <v>202</v>
      </c>
      <c r="N158">
        <v>93</v>
      </c>
      <c r="O158">
        <v>2.97</v>
      </c>
      <c r="P158">
        <v>14.5</v>
      </c>
      <c r="Q158">
        <v>9.49</v>
      </c>
      <c r="R158">
        <v>21.94</v>
      </c>
      <c r="S158">
        <v>57.53</v>
      </c>
      <c r="T158">
        <v>11.02</v>
      </c>
      <c r="U158">
        <v>0.56999999999999995</v>
      </c>
      <c r="V158">
        <v>1.05</v>
      </c>
      <c r="W158">
        <v>1.44</v>
      </c>
      <c r="X158" s="1">
        <v>43256</v>
      </c>
    </row>
    <row r="159" spans="1:24" x14ac:dyDescent="0.25">
      <c r="A159" t="s">
        <v>175</v>
      </c>
      <c r="B159">
        <v>2018</v>
      </c>
      <c r="C159" s="8" t="s">
        <v>279</v>
      </c>
      <c r="D159">
        <v>7.7</v>
      </c>
      <c r="E159">
        <v>7.8</v>
      </c>
      <c r="F159">
        <v>121</v>
      </c>
      <c r="G159">
        <v>932</v>
      </c>
      <c r="H159">
        <v>665</v>
      </c>
      <c r="I159">
        <v>2760</v>
      </c>
      <c r="J159">
        <v>22</v>
      </c>
      <c r="K159">
        <v>1.29</v>
      </c>
      <c r="L159">
        <v>1.72</v>
      </c>
      <c r="M159">
        <v>181</v>
      </c>
      <c r="N159">
        <v>90</v>
      </c>
      <c r="O159">
        <v>2.63</v>
      </c>
      <c r="P159">
        <v>12.46</v>
      </c>
      <c r="Q159">
        <v>9.58</v>
      </c>
      <c r="R159">
        <v>22.22</v>
      </c>
      <c r="S159">
        <v>55.35</v>
      </c>
      <c r="T159">
        <v>12.83</v>
      </c>
      <c r="U159">
        <v>0.53</v>
      </c>
      <c r="V159">
        <v>3.91</v>
      </c>
      <c r="W159">
        <v>0.86</v>
      </c>
      <c r="X159" s="1">
        <v>43256</v>
      </c>
    </row>
    <row r="160" spans="1:24" x14ac:dyDescent="0.25">
      <c r="A160" t="s">
        <v>176</v>
      </c>
      <c r="B160">
        <v>2018</v>
      </c>
      <c r="C160" s="8" t="s">
        <v>279</v>
      </c>
      <c r="D160">
        <v>7.3</v>
      </c>
      <c r="E160">
        <v>7.85</v>
      </c>
      <c r="F160">
        <v>72</v>
      </c>
      <c r="G160">
        <v>836</v>
      </c>
      <c r="H160">
        <v>404</v>
      </c>
      <c r="I160">
        <v>2009</v>
      </c>
      <c r="J160">
        <v>17</v>
      </c>
      <c r="K160">
        <v>1.03</v>
      </c>
      <c r="L160">
        <v>2.21</v>
      </c>
      <c r="M160">
        <v>105</v>
      </c>
      <c r="N160">
        <v>88</v>
      </c>
      <c r="O160">
        <v>1.99</v>
      </c>
      <c r="P160">
        <v>8.9700000000000006</v>
      </c>
      <c r="Q160">
        <v>11.93</v>
      </c>
      <c r="R160">
        <v>18.75</v>
      </c>
      <c r="S160">
        <v>55.94</v>
      </c>
      <c r="T160">
        <v>13.36</v>
      </c>
      <c r="U160">
        <v>0.41</v>
      </c>
      <c r="V160">
        <v>6.79</v>
      </c>
      <c r="W160">
        <v>0.84</v>
      </c>
      <c r="X160" s="1">
        <v>43256</v>
      </c>
    </row>
    <row r="161" spans="1:24" x14ac:dyDescent="0.25">
      <c r="A161" t="s">
        <v>177</v>
      </c>
      <c r="B161">
        <v>2018</v>
      </c>
      <c r="C161" s="8" t="s">
        <v>279</v>
      </c>
      <c r="D161">
        <v>7.1</v>
      </c>
      <c r="E161">
        <v>7.85</v>
      </c>
      <c r="F161">
        <v>93</v>
      </c>
      <c r="G161">
        <v>939</v>
      </c>
      <c r="H161">
        <v>479</v>
      </c>
      <c r="I161">
        <v>2061</v>
      </c>
      <c r="J161">
        <v>21</v>
      </c>
      <c r="K161">
        <v>1.17</v>
      </c>
      <c r="L161">
        <v>2.6</v>
      </c>
      <c r="M161">
        <v>112</v>
      </c>
      <c r="N161">
        <v>93</v>
      </c>
      <c r="O161">
        <v>2.13</v>
      </c>
      <c r="P161">
        <v>9.5500000000000007</v>
      </c>
      <c r="Q161">
        <v>12.6</v>
      </c>
      <c r="R161">
        <v>20.89</v>
      </c>
      <c r="S161">
        <v>53.94</v>
      </c>
      <c r="T161">
        <v>12.56</v>
      </c>
      <c r="U161">
        <v>0.44</v>
      </c>
      <c r="V161">
        <v>14.01</v>
      </c>
      <c r="W161">
        <v>0.78</v>
      </c>
      <c r="X161" s="1">
        <v>43256</v>
      </c>
    </row>
    <row r="162" spans="1:24" x14ac:dyDescent="0.25">
      <c r="A162" t="s">
        <v>178</v>
      </c>
      <c r="B162">
        <v>2018</v>
      </c>
      <c r="C162" s="8" t="s">
        <v>279</v>
      </c>
      <c r="D162">
        <v>7.5</v>
      </c>
      <c r="E162">
        <v>7.8</v>
      </c>
      <c r="F162">
        <v>113</v>
      </c>
      <c r="G162">
        <v>981</v>
      </c>
      <c r="H162">
        <v>535</v>
      </c>
      <c r="I162">
        <v>2590</v>
      </c>
      <c r="J162">
        <v>21</v>
      </c>
      <c r="K162">
        <v>1.5</v>
      </c>
      <c r="L162">
        <v>2.88</v>
      </c>
      <c r="M162">
        <v>123</v>
      </c>
      <c r="N162">
        <v>97</v>
      </c>
      <c r="O162">
        <v>2.1</v>
      </c>
      <c r="P162">
        <v>11.56</v>
      </c>
      <c r="Q162">
        <v>10.87</v>
      </c>
      <c r="R162">
        <v>19.28</v>
      </c>
      <c r="S162">
        <v>56</v>
      </c>
      <c r="T162">
        <v>13.83</v>
      </c>
      <c r="U162">
        <v>0.55000000000000004</v>
      </c>
      <c r="V162">
        <v>14.12</v>
      </c>
      <c r="W162">
        <v>0.78</v>
      </c>
      <c r="X162" s="1">
        <v>43256</v>
      </c>
    </row>
    <row r="163" spans="1:24" x14ac:dyDescent="0.25">
      <c r="A163" t="s">
        <v>179</v>
      </c>
      <c r="B163">
        <v>2018</v>
      </c>
      <c r="C163" s="8" t="s">
        <v>279</v>
      </c>
      <c r="D163">
        <v>7.4</v>
      </c>
      <c r="E163">
        <v>7.85</v>
      </c>
      <c r="F163">
        <v>101</v>
      </c>
      <c r="G163">
        <v>1013</v>
      </c>
      <c r="H163">
        <v>521</v>
      </c>
      <c r="I163">
        <v>2704</v>
      </c>
      <c r="J163">
        <v>20</v>
      </c>
      <c r="K163">
        <v>1.31</v>
      </c>
      <c r="L163">
        <v>2.5499999999999998</v>
      </c>
      <c r="M163">
        <v>128</v>
      </c>
      <c r="N163">
        <v>88</v>
      </c>
      <c r="O163">
        <v>2.15</v>
      </c>
      <c r="P163">
        <v>11.42</v>
      </c>
      <c r="Q163">
        <v>11.36</v>
      </c>
      <c r="R163">
        <v>18.989999999999998</v>
      </c>
      <c r="S163">
        <v>59.14</v>
      </c>
      <c r="T163">
        <v>10.49</v>
      </c>
      <c r="U163">
        <v>0.48</v>
      </c>
      <c r="V163">
        <v>7.64</v>
      </c>
      <c r="W163">
        <v>0.79</v>
      </c>
      <c r="X163" s="1">
        <v>43256</v>
      </c>
    </row>
    <row r="164" spans="1:24" x14ac:dyDescent="0.25">
      <c r="A164" t="s">
        <v>180</v>
      </c>
      <c r="B164">
        <v>2018</v>
      </c>
      <c r="C164" s="8" t="s">
        <v>278</v>
      </c>
      <c r="D164">
        <v>7.2</v>
      </c>
      <c r="E164">
        <v>7.85</v>
      </c>
      <c r="F164">
        <v>31</v>
      </c>
      <c r="G164">
        <v>905</v>
      </c>
      <c r="H164">
        <v>380</v>
      </c>
      <c r="I164">
        <v>2275</v>
      </c>
      <c r="J164">
        <v>15</v>
      </c>
      <c r="K164">
        <v>0.76</v>
      </c>
      <c r="L164">
        <v>1.8</v>
      </c>
      <c r="M164">
        <v>158</v>
      </c>
      <c r="N164">
        <v>96</v>
      </c>
      <c r="O164">
        <v>2.2599999999999998</v>
      </c>
      <c r="P164">
        <v>9.6300000000000008</v>
      </c>
      <c r="Q164">
        <v>12.04</v>
      </c>
      <c r="R164">
        <v>16.43</v>
      </c>
      <c r="S164">
        <v>59.05</v>
      </c>
      <c r="T164">
        <v>12.45</v>
      </c>
      <c r="U164">
        <v>0.43</v>
      </c>
      <c r="V164">
        <v>1.81</v>
      </c>
      <c r="W164">
        <v>0.76</v>
      </c>
      <c r="X164" s="1">
        <v>43256</v>
      </c>
    </row>
    <row r="165" spans="1:24" x14ac:dyDescent="0.25">
      <c r="A165" t="s">
        <v>181</v>
      </c>
      <c r="B165">
        <v>2018</v>
      </c>
      <c r="C165" s="8" t="s">
        <v>278</v>
      </c>
      <c r="D165">
        <v>7.5</v>
      </c>
      <c r="E165">
        <v>7.85</v>
      </c>
      <c r="F165">
        <v>35</v>
      </c>
      <c r="G165">
        <v>931</v>
      </c>
      <c r="H165">
        <v>400</v>
      </c>
      <c r="I165">
        <v>2195</v>
      </c>
      <c r="J165">
        <v>13</v>
      </c>
      <c r="K165">
        <v>0.93</v>
      </c>
      <c r="L165">
        <v>1.6</v>
      </c>
      <c r="M165">
        <v>156</v>
      </c>
      <c r="N165">
        <v>96</v>
      </c>
      <c r="O165">
        <v>2.16</v>
      </c>
      <c r="P165">
        <v>9.5399999999999991</v>
      </c>
      <c r="Q165">
        <v>12.5</v>
      </c>
      <c r="R165">
        <v>17.45</v>
      </c>
      <c r="S165">
        <v>57.47</v>
      </c>
      <c r="T165">
        <v>12.56</v>
      </c>
      <c r="U165">
        <v>0.56999999999999995</v>
      </c>
      <c r="V165">
        <v>2.69</v>
      </c>
      <c r="W165">
        <v>0.88</v>
      </c>
      <c r="X165" s="1">
        <v>43256</v>
      </c>
    </row>
    <row r="166" spans="1:24" x14ac:dyDescent="0.25">
      <c r="A166" t="s">
        <v>182</v>
      </c>
      <c r="B166">
        <v>2018</v>
      </c>
      <c r="C166" s="8" t="s">
        <v>278</v>
      </c>
      <c r="D166">
        <v>7.2</v>
      </c>
      <c r="E166">
        <v>7.8</v>
      </c>
      <c r="F166">
        <v>38</v>
      </c>
      <c r="G166">
        <v>880</v>
      </c>
      <c r="H166">
        <v>358</v>
      </c>
      <c r="I166">
        <v>2025</v>
      </c>
      <c r="J166">
        <v>16</v>
      </c>
      <c r="K166">
        <v>0.85</v>
      </c>
      <c r="L166">
        <v>1.5</v>
      </c>
      <c r="M166">
        <v>144</v>
      </c>
      <c r="N166">
        <v>99</v>
      </c>
      <c r="O166">
        <v>2.06</v>
      </c>
      <c r="P166">
        <v>9.2799999999999994</v>
      </c>
      <c r="Q166">
        <v>12.15</v>
      </c>
      <c r="R166">
        <v>16.059999999999999</v>
      </c>
      <c r="S166">
        <v>54.53</v>
      </c>
      <c r="T166">
        <v>17.23</v>
      </c>
      <c r="U166">
        <v>0.45</v>
      </c>
      <c r="V166">
        <v>6.26</v>
      </c>
      <c r="W166">
        <v>0.79</v>
      </c>
      <c r="X166" s="1">
        <v>43256</v>
      </c>
    </row>
    <row r="167" spans="1:24" x14ac:dyDescent="0.25">
      <c r="A167" t="s">
        <v>183</v>
      </c>
      <c r="B167">
        <v>2018</v>
      </c>
      <c r="C167" s="8" t="s">
        <v>278</v>
      </c>
      <c r="D167">
        <v>7.8</v>
      </c>
      <c r="E167">
        <v>7.9</v>
      </c>
      <c r="F167">
        <v>95</v>
      </c>
      <c r="G167">
        <v>764</v>
      </c>
      <c r="H167">
        <v>333</v>
      </c>
      <c r="I167">
        <v>1815</v>
      </c>
      <c r="J167">
        <v>16</v>
      </c>
      <c r="K167">
        <v>0.94</v>
      </c>
      <c r="L167">
        <v>1.79</v>
      </c>
      <c r="M167">
        <v>115</v>
      </c>
      <c r="N167">
        <v>93</v>
      </c>
      <c r="O167">
        <v>1.79</v>
      </c>
      <c r="P167">
        <v>7.7</v>
      </c>
      <c r="Q167">
        <v>12.71</v>
      </c>
      <c r="R167">
        <v>18</v>
      </c>
      <c r="S167">
        <v>58.89</v>
      </c>
      <c r="T167">
        <v>10.38</v>
      </c>
      <c r="U167">
        <v>0.26</v>
      </c>
      <c r="V167">
        <v>7.72</v>
      </c>
      <c r="W167">
        <v>1.97</v>
      </c>
      <c r="X167" s="1">
        <v>43256</v>
      </c>
    </row>
    <row r="168" spans="1:24" x14ac:dyDescent="0.25">
      <c r="A168" t="s">
        <v>184</v>
      </c>
      <c r="B168">
        <v>2018</v>
      </c>
      <c r="C168" s="8" t="s">
        <v>275</v>
      </c>
      <c r="D168">
        <v>7.7</v>
      </c>
      <c r="E168">
        <v>7.75</v>
      </c>
      <c r="F168">
        <v>292</v>
      </c>
      <c r="G168">
        <v>1427</v>
      </c>
      <c r="H168">
        <v>2059</v>
      </c>
      <c r="I168">
        <v>5410</v>
      </c>
      <c r="J168">
        <v>29</v>
      </c>
      <c r="K168">
        <v>3.73</v>
      </c>
      <c r="L168">
        <v>19.14</v>
      </c>
      <c r="M168">
        <v>316</v>
      </c>
      <c r="N168">
        <v>84</v>
      </c>
      <c r="O168">
        <v>5.39</v>
      </c>
      <c r="P168">
        <v>25.93</v>
      </c>
      <c r="Q168">
        <v>7.05</v>
      </c>
      <c r="R168">
        <v>33.08</v>
      </c>
      <c r="S168">
        <v>52.15</v>
      </c>
      <c r="T168">
        <v>7.71</v>
      </c>
      <c r="U168">
        <v>1.96</v>
      </c>
      <c r="V168">
        <v>12.98</v>
      </c>
      <c r="W168">
        <v>2.2200000000000002</v>
      </c>
      <c r="X168" s="1">
        <v>43257</v>
      </c>
    </row>
    <row r="169" spans="1:24" x14ac:dyDescent="0.25">
      <c r="A169" t="s">
        <v>185</v>
      </c>
      <c r="B169">
        <v>2018</v>
      </c>
      <c r="C169" s="8" t="s">
        <v>275</v>
      </c>
      <c r="D169">
        <v>7.7</v>
      </c>
      <c r="E169">
        <v>7.8</v>
      </c>
      <c r="F169">
        <v>75</v>
      </c>
      <c r="G169">
        <v>1033</v>
      </c>
      <c r="H169">
        <v>1909</v>
      </c>
      <c r="I169">
        <v>5240</v>
      </c>
      <c r="J169">
        <v>28</v>
      </c>
      <c r="K169">
        <v>3.09</v>
      </c>
      <c r="L169">
        <v>7.39</v>
      </c>
      <c r="M169">
        <v>303</v>
      </c>
      <c r="N169">
        <v>81</v>
      </c>
      <c r="O169">
        <v>5.3</v>
      </c>
      <c r="P169">
        <v>23.97</v>
      </c>
      <c r="Q169">
        <v>5.52</v>
      </c>
      <c r="R169">
        <v>33.17</v>
      </c>
      <c r="S169">
        <v>54.63</v>
      </c>
      <c r="T169">
        <v>6.67</v>
      </c>
      <c r="U169">
        <v>1.47</v>
      </c>
      <c r="V169">
        <v>8.76</v>
      </c>
      <c r="W169">
        <v>2.94</v>
      </c>
      <c r="X169" s="1">
        <v>43257</v>
      </c>
    </row>
    <row r="170" spans="1:24" x14ac:dyDescent="0.25">
      <c r="A170" t="s">
        <v>186</v>
      </c>
      <c r="B170">
        <v>2018</v>
      </c>
      <c r="C170" s="8" t="s">
        <v>275</v>
      </c>
      <c r="D170">
        <v>7.8</v>
      </c>
      <c r="E170">
        <v>7.7</v>
      </c>
      <c r="F170">
        <v>240</v>
      </c>
      <c r="G170">
        <v>1453</v>
      </c>
      <c r="H170">
        <v>2003</v>
      </c>
      <c r="I170">
        <v>5313</v>
      </c>
      <c r="J170">
        <v>34</v>
      </c>
      <c r="K170">
        <v>3.79</v>
      </c>
      <c r="L170">
        <v>16.329999999999998</v>
      </c>
      <c r="M170">
        <v>315</v>
      </c>
      <c r="N170">
        <v>84</v>
      </c>
      <c r="O170">
        <v>5.46</v>
      </c>
      <c r="P170">
        <v>25.89</v>
      </c>
      <c r="Q170">
        <v>7.19</v>
      </c>
      <c r="R170">
        <v>32.229999999999997</v>
      </c>
      <c r="S170">
        <v>51.3</v>
      </c>
      <c r="T170">
        <v>9.26</v>
      </c>
      <c r="U170">
        <v>2.21</v>
      </c>
      <c r="V170">
        <v>12.28</v>
      </c>
      <c r="W170">
        <v>2.92</v>
      </c>
      <c r="X170" s="1">
        <v>43257</v>
      </c>
    </row>
    <row r="171" spans="1:24" x14ac:dyDescent="0.25">
      <c r="A171" t="s">
        <v>187</v>
      </c>
      <c r="B171">
        <v>2018</v>
      </c>
      <c r="C171" s="8" t="s">
        <v>275</v>
      </c>
      <c r="D171">
        <v>7.6</v>
      </c>
      <c r="E171">
        <v>7.65</v>
      </c>
      <c r="F171">
        <v>102</v>
      </c>
      <c r="G171">
        <v>1470</v>
      </c>
      <c r="H171">
        <v>2303</v>
      </c>
      <c r="I171">
        <v>5794</v>
      </c>
      <c r="J171">
        <v>28</v>
      </c>
      <c r="K171">
        <v>3.61</v>
      </c>
      <c r="L171">
        <v>11.21</v>
      </c>
      <c r="M171">
        <v>356</v>
      </c>
      <c r="N171">
        <v>89</v>
      </c>
      <c r="O171">
        <v>6</v>
      </c>
      <c r="P171">
        <v>28.76</v>
      </c>
      <c r="Q171">
        <v>6.55</v>
      </c>
      <c r="R171">
        <v>33.35</v>
      </c>
      <c r="S171">
        <v>50.35</v>
      </c>
      <c r="T171">
        <v>9.73</v>
      </c>
      <c r="U171">
        <v>1.72</v>
      </c>
      <c r="V171">
        <v>13.71</v>
      </c>
      <c r="W171">
        <v>2.5499999999999998</v>
      </c>
      <c r="X171" s="1">
        <v>43257</v>
      </c>
    </row>
    <row r="172" spans="1:24" x14ac:dyDescent="0.25">
      <c r="A172" t="s">
        <v>188</v>
      </c>
      <c r="B172">
        <v>2018</v>
      </c>
      <c r="C172" s="8" t="s">
        <v>275</v>
      </c>
      <c r="D172">
        <v>7.8</v>
      </c>
      <c r="E172">
        <v>7.65</v>
      </c>
      <c r="F172">
        <v>231</v>
      </c>
      <c r="G172">
        <v>1691</v>
      </c>
      <c r="H172">
        <v>1744</v>
      </c>
      <c r="I172">
        <v>5884</v>
      </c>
      <c r="J172">
        <v>29</v>
      </c>
      <c r="K172">
        <v>3.59</v>
      </c>
      <c r="L172">
        <v>15.51</v>
      </c>
      <c r="M172">
        <v>408</v>
      </c>
      <c r="N172">
        <v>83</v>
      </c>
      <c r="O172">
        <v>6.82</v>
      </c>
      <c r="P172">
        <v>26.94</v>
      </c>
      <c r="Q172">
        <v>8.0399999999999991</v>
      </c>
      <c r="R172">
        <v>26.96</v>
      </c>
      <c r="S172">
        <v>54.59</v>
      </c>
      <c r="T172">
        <v>10.39</v>
      </c>
      <c r="U172">
        <v>2.17</v>
      </c>
      <c r="V172">
        <v>5.83</v>
      </c>
      <c r="W172">
        <v>2.4900000000000002</v>
      </c>
      <c r="X172" s="1">
        <v>43257</v>
      </c>
    </row>
    <row r="173" spans="1:24" x14ac:dyDescent="0.25">
      <c r="A173" t="s">
        <v>189</v>
      </c>
      <c r="B173">
        <v>2018</v>
      </c>
      <c r="C173" s="8" t="s">
        <v>275</v>
      </c>
      <c r="D173">
        <v>8</v>
      </c>
      <c r="E173">
        <v>7.8</v>
      </c>
      <c r="F173">
        <v>636</v>
      </c>
      <c r="G173">
        <v>2106</v>
      </c>
      <c r="H173">
        <v>2021</v>
      </c>
      <c r="I173">
        <v>8735</v>
      </c>
      <c r="J173">
        <v>43</v>
      </c>
      <c r="K173">
        <v>4.22</v>
      </c>
      <c r="L173">
        <v>35.880000000000003</v>
      </c>
      <c r="M173">
        <v>347</v>
      </c>
      <c r="N173">
        <v>102</v>
      </c>
      <c r="O173">
        <v>7.13</v>
      </c>
      <c r="P173">
        <v>34.549999999999997</v>
      </c>
      <c r="Q173">
        <v>7.81</v>
      </c>
      <c r="R173">
        <v>24.36</v>
      </c>
      <c r="S173">
        <v>63.19</v>
      </c>
      <c r="T173">
        <v>4.62</v>
      </c>
      <c r="U173">
        <v>2.92</v>
      </c>
      <c r="V173">
        <v>16.64</v>
      </c>
      <c r="W173">
        <v>1.67</v>
      </c>
      <c r="X173" s="1">
        <v>43257</v>
      </c>
    </row>
    <row r="174" spans="1:24" x14ac:dyDescent="0.25">
      <c r="A174" t="s">
        <v>190</v>
      </c>
      <c r="B174">
        <v>2018</v>
      </c>
      <c r="C174" s="8" t="s">
        <v>275</v>
      </c>
      <c r="D174">
        <v>7.8</v>
      </c>
      <c r="E174">
        <v>7.75</v>
      </c>
      <c r="F174">
        <v>281</v>
      </c>
      <c r="G174">
        <v>1650</v>
      </c>
      <c r="H174">
        <v>1769</v>
      </c>
      <c r="I174">
        <v>5812</v>
      </c>
      <c r="J174">
        <v>28</v>
      </c>
      <c r="K174">
        <v>3.91</v>
      </c>
      <c r="L174">
        <v>20.2</v>
      </c>
      <c r="M174">
        <v>379</v>
      </c>
      <c r="N174">
        <v>87</v>
      </c>
      <c r="O174">
        <v>6.76</v>
      </c>
      <c r="P174">
        <v>26.01</v>
      </c>
      <c r="Q174">
        <v>8.1300000000000008</v>
      </c>
      <c r="R174">
        <v>28.33</v>
      </c>
      <c r="S174">
        <v>55.84</v>
      </c>
      <c r="T174">
        <v>7.68</v>
      </c>
      <c r="U174">
        <v>2.52</v>
      </c>
      <c r="V174">
        <v>18.510000000000002</v>
      </c>
      <c r="W174">
        <v>2.3199999999999998</v>
      </c>
      <c r="X174" s="1">
        <v>43257</v>
      </c>
    </row>
    <row r="175" spans="1:24" x14ac:dyDescent="0.25">
      <c r="A175" t="s">
        <v>191</v>
      </c>
      <c r="B175">
        <v>2018</v>
      </c>
      <c r="C175" s="8" t="s">
        <v>275</v>
      </c>
      <c r="D175">
        <v>7.2</v>
      </c>
      <c r="E175">
        <v>7.7</v>
      </c>
      <c r="F175">
        <v>125</v>
      </c>
      <c r="G175">
        <v>1222</v>
      </c>
      <c r="H175">
        <v>1486</v>
      </c>
      <c r="I175">
        <v>4753</v>
      </c>
      <c r="J175">
        <v>28</v>
      </c>
      <c r="K175">
        <v>2.25</v>
      </c>
      <c r="L175">
        <v>9.07</v>
      </c>
      <c r="M175">
        <v>401</v>
      </c>
      <c r="N175">
        <v>87</v>
      </c>
      <c r="O175">
        <v>5.53</v>
      </c>
      <c r="P175">
        <v>22.04</v>
      </c>
      <c r="Q175">
        <v>7.1</v>
      </c>
      <c r="R175">
        <v>28.09</v>
      </c>
      <c r="S175">
        <v>53.91</v>
      </c>
      <c r="T175">
        <v>10.88</v>
      </c>
      <c r="U175">
        <v>1.74</v>
      </c>
      <c r="V175">
        <v>5.81</v>
      </c>
      <c r="W175">
        <v>1.59</v>
      </c>
      <c r="X175" s="1">
        <v>43257</v>
      </c>
    </row>
    <row r="176" spans="1:24" x14ac:dyDescent="0.25">
      <c r="A176" t="s">
        <v>192</v>
      </c>
      <c r="B176">
        <v>2018</v>
      </c>
      <c r="C176" s="8" t="s">
        <v>275</v>
      </c>
      <c r="D176">
        <v>6.6</v>
      </c>
      <c r="E176">
        <v>7.65</v>
      </c>
      <c r="F176">
        <v>169</v>
      </c>
      <c r="G176">
        <v>1581</v>
      </c>
      <c r="H176">
        <v>1674</v>
      </c>
      <c r="I176">
        <v>4989</v>
      </c>
      <c r="J176">
        <v>35</v>
      </c>
      <c r="K176">
        <v>2.08</v>
      </c>
      <c r="L176">
        <v>8.17</v>
      </c>
      <c r="M176">
        <v>368</v>
      </c>
      <c r="N176">
        <v>100</v>
      </c>
      <c r="O176">
        <v>4.66</v>
      </c>
      <c r="P176">
        <v>24.27</v>
      </c>
      <c r="Q176">
        <v>8.35</v>
      </c>
      <c r="R176">
        <v>28.73</v>
      </c>
      <c r="S176">
        <v>51.38</v>
      </c>
      <c r="T176">
        <v>11.53</v>
      </c>
      <c r="U176">
        <v>1.76</v>
      </c>
      <c r="V176">
        <v>16.36</v>
      </c>
      <c r="W176">
        <v>2.5499999999999998</v>
      </c>
      <c r="X176" s="1">
        <v>43257</v>
      </c>
    </row>
    <row r="177" spans="1:24" x14ac:dyDescent="0.25">
      <c r="A177" t="s">
        <v>193</v>
      </c>
      <c r="B177">
        <v>2018</v>
      </c>
      <c r="C177" s="8" t="s">
        <v>275</v>
      </c>
      <c r="D177">
        <v>7.2</v>
      </c>
      <c r="E177">
        <v>7.75</v>
      </c>
      <c r="F177">
        <v>62</v>
      </c>
      <c r="G177">
        <v>1267</v>
      </c>
      <c r="H177">
        <v>1593</v>
      </c>
      <c r="I177">
        <v>4381</v>
      </c>
      <c r="J177">
        <v>31</v>
      </c>
      <c r="K177">
        <v>2.0699999999999998</v>
      </c>
      <c r="L177">
        <v>6.05</v>
      </c>
      <c r="M177">
        <v>352</v>
      </c>
      <c r="N177">
        <v>100</v>
      </c>
      <c r="O177">
        <v>4.4000000000000004</v>
      </c>
      <c r="P177">
        <v>21.21</v>
      </c>
      <c r="Q177">
        <v>7.65</v>
      </c>
      <c r="R177">
        <v>31.28</v>
      </c>
      <c r="S177">
        <v>51.62</v>
      </c>
      <c r="T177">
        <v>9.42</v>
      </c>
      <c r="U177">
        <v>1.53</v>
      </c>
      <c r="V177">
        <v>113.91</v>
      </c>
      <c r="W177">
        <v>2.2799999999999998</v>
      </c>
      <c r="X177" s="1">
        <v>43257</v>
      </c>
    </row>
    <row r="178" spans="1:24" x14ac:dyDescent="0.25">
      <c r="A178" t="s">
        <v>194</v>
      </c>
      <c r="B178">
        <v>2018</v>
      </c>
      <c r="C178" s="8" t="s">
        <v>275</v>
      </c>
      <c r="D178">
        <v>7</v>
      </c>
      <c r="E178">
        <v>7.65</v>
      </c>
      <c r="F178">
        <v>40</v>
      </c>
      <c r="G178">
        <v>1098</v>
      </c>
      <c r="H178">
        <v>1627</v>
      </c>
      <c r="I178">
        <v>4807</v>
      </c>
      <c r="J178">
        <v>32</v>
      </c>
      <c r="K178">
        <v>2.12</v>
      </c>
      <c r="L178">
        <v>6.27</v>
      </c>
      <c r="M178">
        <v>386</v>
      </c>
      <c r="N178">
        <v>120</v>
      </c>
      <c r="O178">
        <v>4.51</v>
      </c>
      <c r="P178">
        <v>23</v>
      </c>
      <c r="Q178">
        <v>6.11</v>
      </c>
      <c r="R178">
        <v>29.46</v>
      </c>
      <c r="S178">
        <v>52.24</v>
      </c>
      <c r="T178">
        <v>12.17</v>
      </c>
      <c r="U178">
        <v>1.61</v>
      </c>
      <c r="V178">
        <v>12.19</v>
      </c>
      <c r="W178">
        <v>1.66</v>
      </c>
      <c r="X178" s="1">
        <v>43257</v>
      </c>
    </row>
    <row r="179" spans="1:24" x14ac:dyDescent="0.25">
      <c r="A179" t="s">
        <v>195</v>
      </c>
      <c r="B179">
        <v>2018</v>
      </c>
      <c r="C179" s="8" t="s">
        <v>275</v>
      </c>
      <c r="D179">
        <v>7.1</v>
      </c>
      <c r="E179">
        <v>7.7</v>
      </c>
      <c r="F179">
        <v>40</v>
      </c>
      <c r="G179">
        <v>1124</v>
      </c>
      <c r="H179">
        <v>1405</v>
      </c>
      <c r="I179">
        <v>4918</v>
      </c>
      <c r="J179">
        <v>27</v>
      </c>
      <c r="K179">
        <v>2.1800000000000002</v>
      </c>
      <c r="L179">
        <v>5.5</v>
      </c>
      <c r="M179">
        <v>406</v>
      </c>
      <c r="N179">
        <v>76</v>
      </c>
      <c r="O179">
        <v>4.7300000000000004</v>
      </c>
      <c r="P179">
        <v>21.99</v>
      </c>
      <c r="Q179">
        <v>6.55</v>
      </c>
      <c r="R179">
        <v>26.62</v>
      </c>
      <c r="S179">
        <v>55.91</v>
      </c>
      <c r="T179">
        <v>10.91</v>
      </c>
      <c r="U179">
        <v>1.69</v>
      </c>
      <c r="V179">
        <v>20.100000000000001</v>
      </c>
      <c r="W179">
        <v>2.16</v>
      </c>
      <c r="X179" s="1">
        <v>43257</v>
      </c>
    </row>
    <row r="180" spans="1:24" x14ac:dyDescent="0.25">
      <c r="A180" t="s">
        <v>196</v>
      </c>
      <c r="B180">
        <v>2018</v>
      </c>
      <c r="C180" s="8" t="s">
        <v>279</v>
      </c>
      <c r="D180">
        <v>7.4</v>
      </c>
      <c r="E180">
        <v>7.85</v>
      </c>
      <c r="F180">
        <v>225</v>
      </c>
      <c r="G180">
        <v>914</v>
      </c>
      <c r="H180">
        <v>897</v>
      </c>
      <c r="I180">
        <v>2398</v>
      </c>
      <c r="J180">
        <v>19</v>
      </c>
      <c r="K180">
        <v>1.97</v>
      </c>
      <c r="L180">
        <v>24.35</v>
      </c>
      <c r="M180">
        <v>121</v>
      </c>
      <c r="N180">
        <v>93</v>
      </c>
      <c r="O180">
        <v>1.92</v>
      </c>
      <c r="P180">
        <v>12.1</v>
      </c>
      <c r="Q180">
        <v>9.68</v>
      </c>
      <c r="R180">
        <v>30.87</v>
      </c>
      <c r="S180">
        <v>49.52</v>
      </c>
      <c r="T180">
        <v>9.91</v>
      </c>
      <c r="U180">
        <v>1.01</v>
      </c>
      <c r="V180">
        <v>40.119999999999997</v>
      </c>
      <c r="W180">
        <v>1.95</v>
      </c>
      <c r="X180" s="1">
        <v>43258</v>
      </c>
    </row>
    <row r="181" spans="1:24" x14ac:dyDescent="0.25">
      <c r="A181" t="s">
        <v>197</v>
      </c>
      <c r="B181">
        <v>2018</v>
      </c>
      <c r="C181" s="8" t="s">
        <v>279</v>
      </c>
      <c r="D181">
        <v>7.4</v>
      </c>
      <c r="E181">
        <v>7.85</v>
      </c>
      <c r="F181">
        <v>150</v>
      </c>
      <c r="G181">
        <v>937</v>
      </c>
      <c r="H181">
        <v>1020</v>
      </c>
      <c r="I181">
        <v>2629</v>
      </c>
      <c r="J181">
        <v>22</v>
      </c>
      <c r="K181">
        <v>2.2400000000000002</v>
      </c>
      <c r="L181">
        <v>24.66</v>
      </c>
      <c r="M181">
        <v>141</v>
      </c>
      <c r="N181">
        <v>80</v>
      </c>
      <c r="O181">
        <v>2.27</v>
      </c>
      <c r="P181">
        <v>13.22</v>
      </c>
      <c r="Q181">
        <v>9.08</v>
      </c>
      <c r="R181">
        <v>32.130000000000003</v>
      </c>
      <c r="S181">
        <v>49.7</v>
      </c>
      <c r="T181">
        <v>9.07</v>
      </c>
      <c r="U181">
        <v>1.1299999999999999</v>
      </c>
      <c r="V181">
        <v>4.41</v>
      </c>
      <c r="W181">
        <v>1.47</v>
      </c>
      <c r="X181" s="1">
        <v>43258</v>
      </c>
    </row>
    <row r="182" spans="1:24" x14ac:dyDescent="0.25">
      <c r="A182" t="s">
        <v>198</v>
      </c>
      <c r="B182">
        <v>2018</v>
      </c>
      <c r="C182" s="8" t="s">
        <v>279</v>
      </c>
      <c r="D182">
        <v>7.2</v>
      </c>
      <c r="E182">
        <v>7.8</v>
      </c>
      <c r="F182">
        <v>197</v>
      </c>
      <c r="G182">
        <v>927</v>
      </c>
      <c r="H182">
        <v>1170</v>
      </c>
      <c r="I182">
        <v>3163</v>
      </c>
      <c r="J182">
        <v>27</v>
      </c>
      <c r="K182">
        <v>2.68</v>
      </c>
      <c r="L182">
        <v>31.11</v>
      </c>
      <c r="M182">
        <v>133</v>
      </c>
      <c r="N182">
        <v>91</v>
      </c>
      <c r="O182">
        <v>2.95</v>
      </c>
      <c r="P182">
        <v>15.57</v>
      </c>
      <c r="Q182">
        <v>7.63</v>
      </c>
      <c r="R182">
        <v>31.3</v>
      </c>
      <c r="S182">
        <v>50.78</v>
      </c>
      <c r="T182">
        <v>10.27</v>
      </c>
      <c r="U182">
        <v>1.65</v>
      </c>
      <c r="V182">
        <v>4.21</v>
      </c>
      <c r="W182">
        <v>1.42</v>
      </c>
      <c r="X182" s="1">
        <v>43258</v>
      </c>
    </row>
    <row r="183" spans="1:24" x14ac:dyDescent="0.25">
      <c r="A183" t="s">
        <v>199</v>
      </c>
      <c r="B183">
        <v>2018</v>
      </c>
      <c r="C183" s="8" t="s">
        <v>279</v>
      </c>
      <c r="D183">
        <v>7.3</v>
      </c>
      <c r="E183">
        <v>7.8</v>
      </c>
      <c r="F183">
        <v>139</v>
      </c>
      <c r="G183">
        <v>825</v>
      </c>
      <c r="H183">
        <v>949</v>
      </c>
      <c r="I183">
        <v>2518</v>
      </c>
      <c r="J183">
        <v>22</v>
      </c>
      <c r="K183">
        <v>2.48</v>
      </c>
      <c r="L183">
        <v>30.93</v>
      </c>
      <c r="M183">
        <v>133</v>
      </c>
      <c r="N183">
        <v>88</v>
      </c>
      <c r="O183">
        <v>2.3199999999999998</v>
      </c>
      <c r="P183">
        <v>12.9</v>
      </c>
      <c r="Q183">
        <v>8.19</v>
      </c>
      <c r="R183">
        <v>30.63</v>
      </c>
      <c r="S183">
        <v>48.77</v>
      </c>
      <c r="T183">
        <v>12.39</v>
      </c>
      <c r="U183">
        <v>1.01</v>
      </c>
      <c r="V183">
        <v>9.8000000000000007</v>
      </c>
      <c r="W183">
        <v>1.93</v>
      </c>
      <c r="X183" s="1">
        <v>43258</v>
      </c>
    </row>
    <row r="184" spans="1:24" x14ac:dyDescent="0.25">
      <c r="A184" t="s">
        <v>200</v>
      </c>
      <c r="B184">
        <v>2018</v>
      </c>
      <c r="C184" s="8" t="s">
        <v>279</v>
      </c>
      <c r="D184">
        <v>6.1</v>
      </c>
      <c r="E184">
        <v>7.75</v>
      </c>
      <c r="F184">
        <v>224</v>
      </c>
      <c r="G184">
        <v>742</v>
      </c>
      <c r="H184">
        <v>684</v>
      </c>
      <c r="I184">
        <v>2100</v>
      </c>
      <c r="J184">
        <v>33</v>
      </c>
      <c r="K184">
        <v>1.18</v>
      </c>
      <c r="L184">
        <v>25.72</v>
      </c>
      <c r="M184">
        <v>151</v>
      </c>
      <c r="N184">
        <v>125</v>
      </c>
      <c r="O184">
        <v>2.54</v>
      </c>
      <c r="P184">
        <v>11.05</v>
      </c>
      <c r="Q184">
        <v>8.6</v>
      </c>
      <c r="R184">
        <v>25.78</v>
      </c>
      <c r="S184">
        <v>47.5</v>
      </c>
      <c r="T184">
        <v>18.09</v>
      </c>
      <c r="U184">
        <v>0.84</v>
      </c>
      <c r="V184">
        <v>8.1300000000000008</v>
      </c>
      <c r="W184">
        <v>1.39</v>
      </c>
      <c r="X184" s="1">
        <v>43258</v>
      </c>
    </row>
    <row r="185" spans="1:24" x14ac:dyDescent="0.25">
      <c r="A185" t="s">
        <v>201</v>
      </c>
      <c r="B185">
        <v>2018</v>
      </c>
      <c r="C185" s="8" t="s">
        <v>279</v>
      </c>
      <c r="D185">
        <v>7</v>
      </c>
      <c r="E185">
        <v>7.8</v>
      </c>
      <c r="F185">
        <v>173</v>
      </c>
      <c r="G185">
        <v>1186</v>
      </c>
      <c r="H185">
        <v>830</v>
      </c>
      <c r="I185">
        <v>2306</v>
      </c>
      <c r="J185">
        <v>29</v>
      </c>
      <c r="K185">
        <v>1.93</v>
      </c>
      <c r="L185">
        <v>26.02</v>
      </c>
      <c r="M185">
        <v>146</v>
      </c>
      <c r="N185">
        <v>89</v>
      </c>
      <c r="O185">
        <v>2.5299999999999998</v>
      </c>
      <c r="P185">
        <v>12.34</v>
      </c>
      <c r="Q185">
        <v>12.31</v>
      </c>
      <c r="R185">
        <v>28.01</v>
      </c>
      <c r="S185">
        <v>46.7</v>
      </c>
      <c r="T185">
        <v>12.96</v>
      </c>
      <c r="U185">
        <v>1.1200000000000001</v>
      </c>
      <c r="V185">
        <v>25.72</v>
      </c>
      <c r="W185">
        <v>1.46</v>
      </c>
      <c r="X185" s="1">
        <v>43258</v>
      </c>
    </row>
    <row r="186" spans="1:24" x14ac:dyDescent="0.25">
      <c r="A186" t="s">
        <v>202</v>
      </c>
      <c r="B186">
        <v>2018</v>
      </c>
      <c r="C186" s="8" t="s">
        <v>279</v>
      </c>
      <c r="D186">
        <v>7.1</v>
      </c>
      <c r="E186">
        <v>7.8</v>
      </c>
      <c r="F186">
        <v>163</v>
      </c>
      <c r="G186">
        <v>1084</v>
      </c>
      <c r="H186">
        <v>902</v>
      </c>
      <c r="I186">
        <v>2585</v>
      </c>
      <c r="J186">
        <v>31</v>
      </c>
      <c r="K186">
        <v>2</v>
      </c>
      <c r="L186">
        <v>21.67</v>
      </c>
      <c r="M186">
        <v>151</v>
      </c>
      <c r="N186">
        <v>79</v>
      </c>
      <c r="O186">
        <v>3.03</v>
      </c>
      <c r="P186">
        <v>13.21</v>
      </c>
      <c r="Q186">
        <v>10.51</v>
      </c>
      <c r="R186">
        <v>28.44</v>
      </c>
      <c r="S186">
        <v>48.91</v>
      </c>
      <c r="T186">
        <v>12.11</v>
      </c>
      <c r="U186">
        <v>1.1299999999999999</v>
      </c>
      <c r="V186">
        <v>28.39</v>
      </c>
      <c r="W186">
        <v>1.18</v>
      </c>
      <c r="X186" s="1">
        <v>43258</v>
      </c>
    </row>
    <row r="187" spans="1:24" x14ac:dyDescent="0.25">
      <c r="A187" t="s">
        <v>203</v>
      </c>
      <c r="B187">
        <v>2018</v>
      </c>
      <c r="C187" s="8" t="s">
        <v>279</v>
      </c>
      <c r="D187">
        <v>6.9</v>
      </c>
      <c r="E187">
        <v>7.8</v>
      </c>
      <c r="F187">
        <v>233</v>
      </c>
      <c r="G187">
        <v>1041</v>
      </c>
      <c r="H187">
        <v>764</v>
      </c>
      <c r="I187">
        <v>2251</v>
      </c>
      <c r="J187">
        <v>39</v>
      </c>
      <c r="K187">
        <v>1.7</v>
      </c>
      <c r="L187">
        <v>26.16</v>
      </c>
      <c r="M187">
        <v>135</v>
      </c>
      <c r="N187">
        <v>88</v>
      </c>
      <c r="O187">
        <v>2.52</v>
      </c>
      <c r="P187">
        <v>11.74</v>
      </c>
      <c r="Q187">
        <v>11.36</v>
      </c>
      <c r="R187">
        <v>27.1</v>
      </c>
      <c r="S187">
        <v>47.91</v>
      </c>
      <c r="T187">
        <v>13.62</v>
      </c>
      <c r="U187">
        <v>1.1599999999999999</v>
      </c>
      <c r="V187">
        <v>23.82</v>
      </c>
      <c r="W187">
        <v>1.63</v>
      </c>
      <c r="X187" s="1">
        <v>43258</v>
      </c>
    </row>
    <row r="188" spans="1:24" x14ac:dyDescent="0.25">
      <c r="A188" t="s">
        <v>204</v>
      </c>
      <c r="B188">
        <v>2018</v>
      </c>
      <c r="C188" s="8" t="s">
        <v>279</v>
      </c>
      <c r="D188">
        <v>8.1</v>
      </c>
      <c r="E188">
        <v>7.85</v>
      </c>
      <c r="F188">
        <v>169</v>
      </c>
      <c r="G188">
        <v>1288</v>
      </c>
      <c r="H188">
        <v>923</v>
      </c>
      <c r="I188">
        <v>2898</v>
      </c>
      <c r="J188">
        <v>20</v>
      </c>
      <c r="K188">
        <v>2.2000000000000002</v>
      </c>
      <c r="L188">
        <v>18.3</v>
      </c>
      <c r="M188">
        <v>226</v>
      </c>
      <c r="N188">
        <v>86</v>
      </c>
      <c r="O188">
        <v>2.81</v>
      </c>
      <c r="P188">
        <v>13.94</v>
      </c>
      <c r="Q188">
        <v>11.84</v>
      </c>
      <c r="R188">
        <v>27.58</v>
      </c>
      <c r="S188">
        <v>51.96</v>
      </c>
      <c r="T188">
        <v>8.6</v>
      </c>
      <c r="U188">
        <v>0.83</v>
      </c>
      <c r="V188">
        <v>34.270000000000003</v>
      </c>
      <c r="W188">
        <v>1.65</v>
      </c>
      <c r="X188" s="1">
        <v>43258</v>
      </c>
    </row>
    <row r="189" spans="1:24" x14ac:dyDescent="0.25">
      <c r="A189" t="s">
        <v>205</v>
      </c>
      <c r="B189">
        <v>2018</v>
      </c>
      <c r="C189" s="8" t="s">
        <v>279</v>
      </c>
      <c r="D189">
        <v>8.1</v>
      </c>
      <c r="E189">
        <v>7.9</v>
      </c>
      <c r="F189">
        <v>185</v>
      </c>
      <c r="G189">
        <v>1080</v>
      </c>
      <c r="H189">
        <v>943</v>
      </c>
      <c r="I189">
        <v>3091</v>
      </c>
      <c r="J189">
        <v>21</v>
      </c>
      <c r="K189">
        <v>2.29</v>
      </c>
      <c r="L189">
        <v>22.09</v>
      </c>
      <c r="M189">
        <v>229</v>
      </c>
      <c r="N189">
        <v>86</v>
      </c>
      <c r="O189">
        <v>3.12</v>
      </c>
      <c r="P189">
        <v>13.84</v>
      </c>
      <c r="Q189">
        <v>10</v>
      </c>
      <c r="R189">
        <v>28.38</v>
      </c>
      <c r="S189">
        <v>55.82</v>
      </c>
      <c r="T189">
        <v>5.77</v>
      </c>
      <c r="U189">
        <v>0.86</v>
      </c>
      <c r="V189">
        <v>2.36</v>
      </c>
      <c r="W189">
        <v>3.36</v>
      </c>
      <c r="X189" s="1">
        <v>43258</v>
      </c>
    </row>
    <row r="190" spans="1:24" x14ac:dyDescent="0.25">
      <c r="A190" t="s">
        <v>206</v>
      </c>
      <c r="B190">
        <v>2018</v>
      </c>
      <c r="C190" s="8" t="s">
        <v>279</v>
      </c>
      <c r="D190">
        <v>7.8</v>
      </c>
      <c r="E190">
        <v>7.85</v>
      </c>
      <c r="F190">
        <v>240</v>
      </c>
      <c r="G190">
        <v>1202</v>
      </c>
      <c r="H190">
        <v>896</v>
      </c>
      <c r="I190">
        <v>2954</v>
      </c>
      <c r="J190">
        <v>27</v>
      </c>
      <c r="K190">
        <v>2.25</v>
      </c>
      <c r="L190">
        <v>24.9</v>
      </c>
      <c r="M190">
        <v>226</v>
      </c>
      <c r="N190">
        <v>87</v>
      </c>
      <c r="O190">
        <v>2.78</v>
      </c>
      <c r="P190">
        <v>13.85</v>
      </c>
      <c r="Q190">
        <v>11.11</v>
      </c>
      <c r="R190">
        <v>26.93</v>
      </c>
      <c r="S190">
        <v>53.28</v>
      </c>
      <c r="T190">
        <v>8.65</v>
      </c>
      <c r="U190">
        <v>0.97</v>
      </c>
      <c r="V190">
        <v>3.11</v>
      </c>
      <c r="W190">
        <v>1.53</v>
      </c>
      <c r="X190" s="1">
        <v>43258</v>
      </c>
    </row>
    <row r="191" spans="1:24" x14ac:dyDescent="0.25">
      <c r="A191" t="s">
        <v>207</v>
      </c>
      <c r="B191">
        <v>2018</v>
      </c>
      <c r="C191" s="8" t="s">
        <v>279</v>
      </c>
      <c r="D191">
        <v>8.1</v>
      </c>
      <c r="E191">
        <v>7.85</v>
      </c>
      <c r="F191">
        <v>270</v>
      </c>
      <c r="G191">
        <v>1260</v>
      </c>
      <c r="H191">
        <v>966</v>
      </c>
      <c r="I191">
        <v>3449</v>
      </c>
      <c r="J191">
        <v>25</v>
      </c>
      <c r="K191">
        <v>2.57</v>
      </c>
      <c r="L191">
        <v>21.03</v>
      </c>
      <c r="M191">
        <v>214</v>
      </c>
      <c r="N191">
        <v>85</v>
      </c>
      <c r="O191">
        <v>2.8</v>
      </c>
      <c r="P191">
        <v>15.46</v>
      </c>
      <c r="Q191">
        <v>10.44</v>
      </c>
      <c r="R191">
        <v>26.03</v>
      </c>
      <c r="S191">
        <v>55.76</v>
      </c>
      <c r="T191">
        <v>7.76</v>
      </c>
      <c r="U191">
        <v>1</v>
      </c>
      <c r="V191">
        <v>8.1300000000000008</v>
      </c>
      <c r="W191">
        <v>2.13</v>
      </c>
      <c r="X191" s="1">
        <v>43258</v>
      </c>
    </row>
    <row r="192" spans="1:24" x14ac:dyDescent="0.25">
      <c r="A192" t="s">
        <v>208</v>
      </c>
      <c r="B192">
        <v>2018</v>
      </c>
      <c r="C192" s="8" t="s">
        <v>280</v>
      </c>
      <c r="D192">
        <v>8.1999999999999993</v>
      </c>
      <c r="E192">
        <v>7.9</v>
      </c>
      <c r="F192">
        <v>129</v>
      </c>
      <c r="G192">
        <v>909</v>
      </c>
      <c r="H192">
        <v>717</v>
      </c>
      <c r="I192">
        <v>2440</v>
      </c>
      <c r="J192">
        <v>19</v>
      </c>
      <c r="K192">
        <v>3.48</v>
      </c>
      <c r="L192">
        <v>13.82</v>
      </c>
      <c r="M192">
        <v>96</v>
      </c>
      <c r="N192">
        <v>100</v>
      </c>
      <c r="O192">
        <v>2.14</v>
      </c>
      <c r="P192">
        <v>11.05</v>
      </c>
      <c r="Q192">
        <v>10.54</v>
      </c>
      <c r="R192">
        <v>27.02</v>
      </c>
      <c r="S192">
        <v>55.18</v>
      </c>
      <c r="T192">
        <v>7.23</v>
      </c>
      <c r="U192">
        <v>0.45</v>
      </c>
      <c r="V192">
        <v>7.03</v>
      </c>
      <c r="W192">
        <v>1.64</v>
      </c>
      <c r="X192" s="1">
        <v>43259</v>
      </c>
    </row>
    <row r="193" spans="1:24" x14ac:dyDescent="0.25">
      <c r="A193" t="s">
        <v>209</v>
      </c>
      <c r="B193">
        <v>2018</v>
      </c>
      <c r="C193" s="8" t="s">
        <v>280</v>
      </c>
      <c r="D193">
        <v>8.5</v>
      </c>
      <c r="E193">
        <v>7.95</v>
      </c>
      <c r="F193">
        <v>90</v>
      </c>
      <c r="G193">
        <v>972</v>
      </c>
      <c r="H193">
        <v>800</v>
      </c>
      <c r="I193">
        <v>6488</v>
      </c>
      <c r="J193">
        <v>21</v>
      </c>
      <c r="K193">
        <v>3.46</v>
      </c>
      <c r="L193">
        <v>18.8</v>
      </c>
      <c r="M193">
        <v>95</v>
      </c>
      <c r="N193">
        <v>74</v>
      </c>
      <c r="O193">
        <v>2.77</v>
      </c>
      <c r="P193">
        <v>21.19</v>
      </c>
      <c r="Q193">
        <v>5.87</v>
      </c>
      <c r="R193">
        <v>15.72</v>
      </c>
      <c r="S193">
        <v>76.510000000000005</v>
      </c>
      <c r="T193">
        <v>1.88</v>
      </c>
      <c r="U193">
        <v>0.48</v>
      </c>
      <c r="V193">
        <v>6.26</v>
      </c>
      <c r="W193">
        <v>0.79</v>
      </c>
      <c r="X193" s="1">
        <v>43259</v>
      </c>
    </row>
    <row r="194" spans="1:24" x14ac:dyDescent="0.25">
      <c r="A194" t="s">
        <v>210</v>
      </c>
      <c r="B194">
        <v>2018</v>
      </c>
      <c r="C194" s="8" t="s">
        <v>280</v>
      </c>
      <c r="D194">
        <v>8.1</v>
      </c>
      <c r="E194">
        <v>7.9</v>
      </c>
      <c r="F194">
        <v>66</v>
      </c>
      <c r="G194">
        <v>729</v>
      </c>
      <c r="H194">
        <v>696</v>
      </c>
      <c r="I194">
        <v>2421</v>
      </c>
      <c r="J194">
        <v>16</v>
      </c>
      <c r="K194">
        <v>2.5499999999999998</v>
      </c>
      <c r="L194">
        <v>8.41</v>
      </c>
      <c r="M194">
        <v>90</v>
      </c>
      <c r="N194">
        <v>87</v>
      </c>
      <c r="O194">
        <v>2.33</v>
      </c>
      <c r="P194">
        <v>10.68</v>
      </c>
      <c r="Q194">
        <v>8.74</v>
      </c>
      <c r="R194">
        <v>27.13</v>
      </c>
      <c r="S194">
        <v>56.63</v>
      </c>
      <c r="T194">
        <v>7.48</v>
      </c>
      <c r="U194">
        <v>0.37</v>
      </c>
      <c r="V194">
        <v>4.05</v>
      </c>
      <c r="W194">
        <v>1.47</v>
      </c>
      <c r="X194" s="1">
        <v>43259</v>
      </c>
    </row>
    <row r="195" spans="1:24" x14ac:dyDescent="0.25">
      <c r="A195" t="s">
        <v>211</v>
      </c>
      <c r="B195">
        <v>2018</v>
      </c>
      <c r="C195" s="8" t="s">
        <v>280</v>
      </c>
      <c r="D195">
        <v>8</v>
      </c>
      <c r="E195">
        <v>7.9</v>
      </c>
      <c r="F195">
        <v>105</v>
      </c>
      <c r="G195">
        <v>662</v>
      </c>
      <c r="H195">
        <v>612</v>
      </c>
      <c r="I195">
        <v>2097</v>
      </c>
      <c r="J195">
        <v>17</v>
      </c>
      <c r="K195">
        <v>2.21</v>
      </c>
      <c r="L195">
        <v>16.22</v>
      </c>
      <c r="M195">
        <v>79</v>
      </c>
      <c r="N195">
        <v>84</v>
      </c>
      <c r="O195">
        <v>3.5</v>
      </c>
      <c r="P195">
        <v>9.44</v>
      </c>
      <c r="Q195">
        <v>8.98</v>
      </c>
      <c r="R195">
        <v>27</v>
      </c>
      <c r="S195">
        <v>55.52</v>
      </c>
      <c r="T195">
        <v>8.4700000000000006</v>
      </c>
      <c r="U195">
        <v>0.42</v>
      </c>
      <c r="V195">
        <v>2.74</v>
      </c>
      <c r="W195">
        <v>1.2</v>
      </c>
      <c r="X195" s="1">
        <v>43259</v>
      </c>
    </row>
    <row r="196" spans="1:24" x14ac:dyDescent="0.25">
      <c r="A196" t="s">
        <v>212</v>
      </c>
      <c r="B196">
        <v>2018</v>
      </c>
      <c r="C196" s="8" t="s">
        <v>278</v>
      </c>
      <c r="D196">
        <v>7.3</v>
      </c>
      <c r="E196">
        <v>7.85</v>
      </c>
      <c r="F196">
        <v>34</v>
      </c>
      <c r="G196">
        <v>666</v>
      </c>
      <c r="H196">
        <v>752</v>
      </c>
      <c r="I196">
        <v>2046</v>
      </c>
      <c r="J196">
        <v>127</v>
      </c>
      <c r="K196">
        <v>2.36</v>
      </c>
      <c r="L196">
        <v>2.27</v>
      </c>
      <c r="M196">
        <v>96</v>
      </c>
      <c r="N196">
        <v>75</v>
      </c>
      <c r="O196">
        <v>1.73</v>
      </c>
      <c r="P196">
        <v>10.3</v>
      </c>
      <c r="Q196">
        <v>8.2799999999999994</v>
      </c>
      <c r="R196">
        <v>30.41</v>
      </c>
      <c r="S196">
        <v>49.64</v>
      </c>
      <c r="T196">
        <v>11.64</v>
      </c>
      <c r="U196">
        <v>0.4</v>
      </c>
      <c r="V196">
        <v>9.7100000000000009</v>
      </c>
      <c r="W196">
        <v>1.06</v>
      </c>
      <c r="X196" s="1">
        <v>43259</v>
      </c>
    </row>
    <row r="197" spans="1:24" x14ac:dyDescent="0.25">
      <c r="A197" t="s">
        <v>262</v>
      </c>
      <c r="B197">
        <v>2018</v>
      </c>
      <c r="C197" s="8" t="s">
        <v>278</v>
      </c>
      <c r="D197">
        <v>7.6</v>
      </c>
      <c r="E197">
        <v>7.85</v>
      </c>
      <c r="F197">
        <v>44</v>
      </c>
      <c r="G197">
        <v>721</v>
      </c>
      <c r="H197">
        <v>774</v>
      </c>
      <c r="I197">
        <v>2558</v>
      </c>
      <c r="J197">
        <v>24</v>
      </c>
      <c r="K197">
        <v>2.2200000000000002</v>
      </c>
      <c r="L197">
        <v>1.49</v>
      </c>
      <c r="M197">
        <v>112</v>
      </c>
      <c r="N197">
        <v>72</v>
      </c>
      <c r="O197">
        <v>1.91</v>
      </c>
      <c r="P197">
        <v>11.74</v>
      </c>
      <c r="Q197">
        <v>7.87</v>
      </c>
      <c r="R197">
        <v>27.45</v>
      </c>
      <c r="S197">
        <v>54.45</v>
      </c>
      <c r="T197">
        <v>10.210000000000001</v>
      </c>
      <c r="U197">
        <v>0.59</v>
      </c>
      <c r="V197">
        <v>3.34</v>
      </c>
      <c r="W197">
        <v>1.24</v>
      </c>
      <c r="X197" s="1">
        <v>43259</v>
      </c>
    </row>
    <row r="198" spans="1:24" x14ac:dyDescent="0.25">
      <c r="A198" t="s">
        <v>213</v>
      </c>
      <c r="B198">
        <v>2018</v>
      </c>
      <c r="C198" s="8" t="s">
        <v>278</v>
      </c>
      <c r="D198">
        <v>7.5</v>
      </c>
      <c r="E198">
        <v>7.8</v>
      </c>
      <c r="F198">
        <v>49</v>
      </c>
      <c r="G198">
        <v>479</v>
      </c>
      <c r="H198">
        <v>746</v>
      </c>
      <c r="I198">
        <v>2086</v>
      </c>
      <c r="J198">
        <v>17</v>
      </c>
      <c r="K198">
        <v>2.02</v>
      </c>
      <c r="L198">
        <v>1.3</v>
      </c>
      <c r="M198">
        <v>107</v>
      </c>
      <c r="N198">
        <v>72</v>
      </c>
      <c r="O198">
        <v>1.86</v>
      </c>
      <c r="P198">
        <v>10.53</v>
      </c>
      <c r="Q198">
        <v>5.82</v>
      </c>
      <c r="R198">
        <v>29.49</v>
      </c>
      <c r="S198">
        <v>49.49</v>
      </c>
      <c r="T198">
        <v>15.18</v>
      </c>
      <c r="U198">
        <v>0.41</v>
      </c>
      <c r="V198">
        <v>2.08</v>
      </c>
      <c r="W198">
        <v>2.77</v>
      </c>
      <c r="X198" s="1">
        <v>43259</v>
      </c>
    </row>
    <row r="199" spans="1:24" x14ac:dyDescent="0.25">
      <c r="A199" t="s">
        <v>214</v>
      </c>
      <c r="B199">
        <v>2018</v>
      </c>
      <c r="C199" s="8" t="s">
        <v>278</v>
      </c>
      <c r="D199">
        <v>7.1</v>
      </c>
      <c r="E199">
        <v>7.9</v>
      </c>
      <c r="F199">
        <v>64</v>
      </c>
      <c r="G199">
        <v>762</v>
      </c>
      <c r="H199">
        <v>768</v>
      </c>
      <c r="I199">
        <v>2318</v>
      </c>
      <c r="J199">
        <v>199</v>
      </c>
      <c r="K199">
        <v>2.35</v>
      </c>
      <c r="L199">
        <v>6.11</v>
      </c>
      <c r="M199">
        <v>98</v>
      </c>
      <c r="N199">
        <v>83</v>
      </c>
      <c r="O199">
        <v>2.35</v>
      </c>
      <c r="P199">
        <v>10.77</v>
      </c>
      <c r="Q199">
        <v>9.06</v>
      </c>
      <c r="R199">
        <v>29.7</v>
      </c>
      <c r="S199">
        <v>53.79</v>
      </c>
      <c r="T199">
        <v>7.42</v>
      </c>
      <c r="U199">
        <v>0.49</v>
      </c>
      <c r="V199">
        <v>38.51</v>
      </c>
      <c r="W199">
        <v>1.1000000000000001</v>
      </c>
      <c r="X199" s="1">
        <v>43259</v>
      </c>
    </row>
    <row r="200" spans="1:24" x14ac:dyDescent="0.25">
      <c r="A200" t="s">
        <v>215</v>
      </c>
      <c r="B200">
        <v>2018</v>
      </c>
      <c r="C200" s="8" t="s">
        <v>278</v>
      </c>
      <c r="D200">
        <v>8.1999999999999993</v>
      </c>
      <c r="E200">
        <v>7.9</v>
      </c>
      <c r="F200">
        <v>52</v>
      </c>
      <c r="G200">
        <v>504</v>
      </c>
      <c r="H200">
        <v>284</v>
      </c>
      <c r="I200">
        <v>3378</v>
      </c>
      <c r="J200">
        <v>12</v>
      </c>
      <c r="K200">
        <v>1.1000000000000001</v>
      </c>
      <c r="L200">
        <v>0.93</v>
      </c>
      <c r="M200">
        <v>84</v>
      </c>
      <c r="N200">
        <v>82</v>
      </c>
      <c r="O200">
        <v>1.8</v>
      </c>
      <c r="P200">
        <v>11.07</v>
      </c>
      <c r="Q200">
        <v>5.83</v>
      </c>
      <c r="R200">
        <v>10.68</v>
      </c>
      <c r="S200">
        <v>76.25</v>
      </c>
      <c r="T200">
        <v>7.22</v>
      </c>
      <c r="U200">
        <v>0.33</v>
      </c>
      <c r="V200">
        <v>2.0099999999999998</v>
      </c>
      <c r="W200">
        <v>1.35</v>
      </c>
      <c r="X200" s="1">
        <v>43259</v>
      </c>
    </row>
    <row r="201" spans="1:24" x14ac:dyDescent="0.25">
      <c r="A201" t="s">
        <v>216</v>
      </c>
      <c r="B201">
        <v>2018</v>
      </c>
      <c r="C201" s="8" t="s">
        <v>278</v>
      </c>
      <c r="D201">
        <v>7.8</v>
      </c>
      <c r="E201">
        <v>7.9</v>
      </c>
      <c r="F201">
        <v>51</v>
      </c>
      <c r="G201">
        <v>478</v>
      </c>
      <c r="H201">
        <v>268</v>
      </c>
      <c r="I201">
        <v>3050</v>
      </c>
      <c r="J201">
        <v>11</v>
      </c>
      <c r="K201">
        <v>1.04</v>
      </c>
      <c r="L201">
        <v>0.7</v>
      </c>
      <c r="M201">
        <v>76</v>
      </c>
      <c r="N201">
        <v>77</v>
      </c>
      <c r="O201">
        <v>1.55</v>
      </c>
      <c r="P201">
        <v>10.15</v>
      </c>
      <c r="Q201">
        <v>6.03</v>
      </c>
      <c r="R201">
        <v>10.99</v>
      </c>
      <c r="S201">
        <v>75.08</v>
      </c>
      <c r="T201">
        <v>7.87</v>
      </c>
      <c r="U201">
        <v>0.35</v>
      </c>
      <c r="V201">
        <v>14.85</v>
      </c>
      <c r="W201">
        <v>5.73</v>
      </c>
      <c r="X201" s="1">
        <v>43259</v>
      </c>
    </row>
    <row r="202" spans="1:24" x14ac:dyDescent="0.25">
      <c r="A202" t="s">
        <v>217</v>
      </c>
      <c r="B202">
        <v>2018</v>
      </c>
      <c r="C202" s="8" t="s">
        <v>278</v>
      </c>
      <c r="D202">
        <v>7.8</v>
      </c>
      <c r="E202">
        <v>7.85</v>
      </c>
      <c r="F202">
        <v>38</v>
      </c>
      <c r="G202">
        <v>469</v>
      </c>
      <c r="H202">
        <v>265</v>
      </c>
      <c r="I202">
        <v>2764</v>
      </c>
      <c r="J202">
        <v>8</v>
      </c>
      <c r="K202">
        <v>0.93</v>
      </c>
      <c r="L202">
        <v>0.78</v>
      </c>
      <c r="M202">
        <v>77</v>
      </c>
      <c r="N202">
        <v>85</v>
      </c>
      <c r="O202">
        <v>1.48</v>
      </c>
      <c r="P202">
        <v>9.81</v>
      </c>
      <c r="Q202">
        <v>6.12</v>
      </c>
      <c r="R202">
        <v>11.24</v>
      </c>
      <c r="S202">
        <v>70.39</v>
      </c>
      <c r="T202">
        <v>12.22</v>
      </c>
      <c r="U202">
        <v>0.35</v>
      </c>
      <c r="V202">
        <v>1.1000000000000001</v>
      </c>
      <c r="W202">
        <v>1.48</v>
      </c>
      <c r="X202" s="1">
        <v>43259</v>
      </c>
    </row>
    <row r="203" spans="1:24" x14ac:dyDescent="0.25">
      <c r="A203" t="s">
        <v>263</v>
      </c>
      <c r="B203">
        <v>2018</v>
      </c>
      <c r="C203" s="8" t="s">
        <v>278</v>
      </c>
      <c r="D203">
        <v>8</v>
      </c>
      <c r="E203">
        <v>7.85</v>
      </c>
      <c r="F203">
        <v>56</v>
      </c>
      <c r="G203">
        <v>570</v>
      </c>
      <c r="H203">
        <v>306</v>
      </c>
      <c r="I203">
        <v>3455</v>
      </c>
      <c r="J203">
        <v>10</v>
      </c>
      <c r="K203">
        <v>1.1399999999999999</v>
      </c>
      <c r="L203">
        <v>0.84</v>
      </c>
      <c r="M203">
        <v>78</v>
      </c>
      <c r="N203">
        <v>79</v>
      </c>
      <c r="O203">
        <v>1.68</v>
      </c>
      <c r="P203">
        <v>11.84</v>
      </c>
      <c r="Q203">
        <v>6.17</v>
      </c>
      <c r="R203">
        <v>10.76</v>
      </c>
      <c r="S203">
        <v>72.930000000000007</v>
      </c>
      <c r="T203">
        <v>10.130000000000001</v>
      </c>
      <c r="U203">
        <v>0.44</v>
      </c>
      <c r="V203">
        <v>3.65</v>
      </c>
      <c r="W203">
        <v>1.24</v>
      </c>
      <c r="X203" s="1">
        <v>43259</v>
      </c>
    </row>
    <row r="204" spans="1:24" x14ac:dyDescent="0.25">
      <c r="A204" t="s">
        <v>218</v>
      </c>
      <c r="B204">
        <v>2018</v>
      </c>
      <c r="C204" s="8" t="s">
        <v>276</v>
      </c>
      <c r="D204">
        <v>8.1999999999999993</v>
      </c>
      <c r="E204">
        <v>7.8</v>
      </c>
      <c r="F204">
        <v>47</v>
      </c>
      <c r="G204">
        <v>708</v>
      </c>
      <c r="H204">
        <v>1790</v>
      </c>
      <c r="I204">
        <v>3050</v>
      </c>
      <c r="J204">
        <v>38</v>
      </c>
      <c r="K204">
        <v>4.3099999999999996</v>
      </c>
      <c r="L204">
        <v>1.48</v>
      </c>
      <c r="M204">
        <v>288</v>
      </c>
      <c r="N204">
        <v>89</v>
      </c>
      <c r="O204">
        <v>4.82</v>
      </c>
      <c r="P204">
        <v>17.59</v>
      </c>
      <c r="Q204">
        <v>5.15</v>
      </c>
      <c r="R204">
        <v>42.39</v>
      </c>
      <c r="S204">
        <v>43.34</v>
      </c>
      <c r="T204">
        <v>9.09</v>
      </c>
      <c r="U204">
        <v>0.9</v>
      </c>
      <c r="V204">
        <v>6.49</v>
      </c>
      <c r="W204">
        <v>1.07</v>
      </c>
      <c r="X204" s="1">
        <v>43262</v>
      </c>
    </row>
    <row r="205" spans="1:24" x14ac:dyDescent="0.25">
      <c r="A205" t="s">
        <v>219</v>
      </c>
      <c r="B205">
        <v>2018</v>
      </c>
      <c r="C205" s="8" t="s">
        <v>276</v>
      </c>
      <c r="D205">
        <v>7.7</v>
      </c>
      <c r="E205">
        <v>7.8</v>
      </c>
      <c r="F205">
        <v>60</v>
      </c>
      <c r="G205">
        <v>909</v>
      </c>
      <c r="H205">
        <v>2038</v>
      </c>
      <c r="I205">
        <v>3676</v>
      </c>
      <c r="J205">
        <v>86</v>
      </c>
      <c r="K205">
        <v>4.82</v>
      </c>
      <c r="L205">
        <v>1.65</v>
      </c>
      <c r="M205">
        <v>331</v>
      </c>
      <c r="N205">
        <v>86</v>
      </c>
      <c r="O205">
        <v>5.12</v>
      </c>
      <c r="P205">
        <v>20.440000000000001</v>
      </c>
      <c r="Q205">
        <v>5.69</v>
      </c>
      <c r="R205">
        <v>41.53</v>
      </c>
      <c r="S205">
        <v>44.94</v>
      </c>
      <c r="T205">
        <v>7.82</v>
      </c>
      <c r="U205">
        <v>0.95</v>
      </c>
      <c r="V205">
        <v>74.3</v>
      </c>
      <c r="W205">
        <v>1.33</v>
      </c>
      <c r="X205" s="1">
        <v>43262</v>
      </c>
    </row>
    <row r="206" spans="1:24" x14ac:dyDescent="0.25">
      <c r="A206" t="s">
        <v>220</v>
      </c>
      <c r="B206">
        <v>2018</v>
      </c>
      <c r="C206" s="8" t="s">
        <v>276</v>
      </c>
      <c r="D206">
        <v>7.5</v>
      </c>
      <c r="E206">
        <v>7.8</v>
      </c>
      <c r="F206">
        <v>51</v>
      </c>
      <c r="G206">
        <v>1050</v>
      </c>
      <c r="H206">
        <v>1622</v>
      </c>
      <c r="I206">
        <v>3964</v>
      </c>
      <c r="J206">
        <v>100</v>
      </c>
      <c r="K206">
        <v>4.34</v>
      </c>
      <c r="L206">
        <v>1.54</v>
      </c>
      <c r="M206">
        <v>324</v>
      </c>
      <c r="N206">
        <v>89</v>
      </c>
      <c r="O206">
        <v>4.88</v>
      </c>
      <c r="P206">
        <v>19.61</v>
      </c>
      <c r="Q206">
        <v>6.86</v>
      </c>
      <c r="R206">
        <v>34.450000000000003</v>
      </c>
      <c r="S206">
        <v>50.52</v>
      </c>
      <c r="T206">
        <v>8.15</v>
      </c>
      <c r="U206">
        <v>1.05</v>
      </c>
      <c r="V206">
        <v>82.8</v>
      </c>
      <c r="W206">
        <v>2.42</v>
      </c>
      <c r="X206" s="1">
        <v>43262</v>
      </c>
    </row>
    <row r="207" spans="1:24" x14ac:dyDescent="0.25">
      <c r="A207" t="s">
        <v>221</v>
      </c>
      <c r="B207">
        <v>2018</v>
      </c>
      <c r="C207" s="8" t="s">
        <v>276</v>
      </c>
      <c r="D207">
        <v>7.9</v>
      </c>
      <c r="E207">
        <v>7.8</v>
      </c>
      <c r="F207">
        <v>62</v>
      </c>
      <c r="G207">
        <v>1098</v>
      </c>
      <c r="H207">
        <v>1540</v>
      </c>
      <c r="I207">
        <v>3605</v>
      </c>
      <c r="J207">
        <v>26</v>
      </c>
      <c r="K207">
        <v>4.5199999999999996</v>
      </c>
      <c r="L207">
        <v>1.65</v>
      </c>
      <c r="M207">
        <v>330</v>
      </c>
      <c r="N207">
        <v>87</v>
      </c>
      <c r="O207">
        <v>4.99</v>
      </c>
      <c r="P207">
        <v>18.43</v>
      </c>
      <c r="Q207">
        <v>7.63</v>
      </c>
      <c r="R207">
        <v>34.799999999999997</v>
      </c>
      <c r="S207">
        <v>48.88</v>
      </c>
      <c r="T207">
        <v>8.67</v>
      </c>
      <c r="U207">
        <v>0.94</v>
      </c>
      <c r="V207">
        <v>6.03</v>
      </c>
      <c r="W207">
        <v>2.86</v>
      </c>
      <c r="X207" s="1">
        <v>43262</v>
      </c>
    </row>
    <row r="208" spans="1:24" x14ac:dyDescent="0.25">
      <c r="A208" t="s">
        <v>222</v>
      </c>
      <c r="B208">
        <v>2018</v>
      </c>
      <c r="C208" s="8" t="s">
        <v>279</v>
      </c>
      <c r="D208">
        <v>7.6</v>
      </c>
      <c r="E208">
        <v>7.8</v>
      </c>
      <c r="F208">
        <v>55</v>
      </c>
      <c r="G208">
        <v>852</v>
      </c>
      <c r="H208">
        <v>1009</v>
      </c>
      <c r="I208">
        <v>2850</v>
      </c>
      <c r="J208">
        <v>19</v>
      </c>
      <c r="K208">
        <v>2.4700000000000002</v>
      </c>
      <c r="L208">
        <v>1.23</v>
      </c>
      <c r="M208">
        <v>217</v>
      </c>
      <c r="N208">
        <v>85</v>
      </c>
      <c r="O208">
        <v>3.41</v>
      </c>
      <c r="P208">
        <v>14.02</v>
      </c>
      <c r="Q208">
        <v>7.79</v>
      </c>
      <c r="R208">
        <v>29.98</v>
      </c>
      <c r="S208">
        <v>50.81</v>
      </c>
      <c r="T208">
        <v>11.41</v>
      </c>
      <c r="U208">
        <v>0.76</v>
      </c>
      <c r="V208">
        <v>7.35</v>
      </c>
      <c r="W208">
        <v>1.23</v>
      </c>
      <c r="X208" s="1">
        <v>43262</v>
      </c>
    </row>
    <row r="209" spans="1:24" x14ac:dyDescent="0.25">
      <c r="A209" t="s">
        <v>223</v>
      </c>
      <c r="B209">
        <v>2018</v>
      </c>
      <c r="C209" s="8" t="s">
        <v>279</v>
      </c>
      <c r="D209">
        <v>7.4</v>
      </c>
      <c r="E209">
        <v>7.8</v>
      </c>
      <c r="F209">
        <v>46</v>
      </c>
      <c r="G209">
        <v>746</v>
      </c>
      <c r="H209">
        <v>1040</v>
      </c>
      <c r="I209">
        <v>2834</v>
      </c>
      <c r="J209">
        <v>19</v>
      </c>
      <c r="K209">
        <v>2.46</v>
      </c>
      <c r="L209">
        <v>1.31</v>
      </c>
      <c r="M209">
        <v>213</v>
      </c>
      <c r="N209">
        <v>82</v>
      </c>
      <c r="O209">
        <v>3.2</v>
      </c>
      <c r="P209">
        <v>13.97</v>
      </c>
      <c r="Q209">
        <v>6.84</v>
      </c>
      <c r="R209">
        <v>31</v>
      </c>
      <c r="S209">
        <v>50.69</v>
      </c>
      <c r="T209">
        <v>11.44</v>
      </c>
      <c r="U209">
        <v>0.71</v>
      </c>
      <c r="V209">
        <v>9.6300000000000008</v>
      </c>
      <c r="W209">
        <v>1.24</v>
      </c>
      <c r="X209" s="1">
        <v>43262</v>
      </c>
    </row>
    <row r="210" spans="1:24" x14ac:dyDescent="0.25">
      <c r="A210" t="s">
        <v>224</v>
      </c>
      <c r="B210">
        <v>2018</v>
      </c>
      <c r="C210" s="8" t="s">
        <v>279</v>
      </c>
      <c r="D210">
        <v>7.6</v>
      </c>
      <c r="E210">
        <v>7.8</v>
      </c>
      <c r="F210">
        <v>37</v>
      </c>
      <c r="G210">
        <v>715</v>
      </c>
      <c r="H210">
        <v>1018</v>
      </c>
      <c r="I210">
        <v>2754</v>
      </c>
      <c r="J210">
        <v>16</v>
      </c>
      <c r="K210">
        <v>2.1</v>
      </c>
      <c r="L210">
        <v>0.99</v>
      </c>
      <c r="M210">
        <v>239</v>
      </c>
      <c r="N210">
        <v>89</v>
      </c>
      <c r="O210">
        <v>3.39</v>
      </c>
      <c r="P210">
        <v>13.64</v>
      </c>
      <c r="Q210">
        <v>6.71</v>
      </c>
      <c r="R210">
        <v>31.08</v>
      </c>
      <c r="S210">
        <v>50.46</v>
      </c>
      <c r="T210">
        <v>11.72</v>
      </c>
      <c r="U210">
        <v>0.67</v>
      </c>
      <c r="V210">
        <v>9.11</v>
      </c>
      <c r="W210">
        <v>1.63</v>
      </c>
      <c r="X210" s="1">
        <v>43262</v>
      </c>
    </row>
    <row r="211" spans="1:24" x14ac:dyDescent="0.25">
      <c r="A211" t="s">
        <v>225</v>
      </c>
      <c r="B211">
        <v>2018</v>
      </c>
      <c r="C211" s="8" t="s">
        <v>279</v>
      </c>
      <c r="D211">
        <v>7.6</v>
      </c>
      <c r="E211">
        <v>7.8</v>
      </c>
      <c r="F211">
        <v>33</v>
      </c>
      <c r="G211">
        <v>730</v>
      </c>
      <c r="H211">
        <v>1082</v>
      </c>
      <c r="I211">
        <v>2837</v>
      </c>
      <c r="J211">
        <v>13</v>
      </c>
      <c r="K211">
        <v>2.2000000000000002</v>
      </c>
      <c r="L211">
        <v>0.93</v>
      </c>
      <c r="M211">
        <v>238</v>
      </c>
      <c r="N211">
        <v>86</v>
      </c>
      <c r="O211">
        <v>3.51</v>
      </c>
      <c r="P211">
        <v>14.13</v>
      </c>
      <c r="Q211">
        <v>6.62</v>
      </c>
      <c r="R211">
        <v>31.89</v>
      </c>
      <c r="S211">
        <v>50.17</v>
      </c>
      <c r="T211">
        <v>11.31</v>
      </c>
      <c r="U211">
        <v>0.71</v>
      </c>
      <c r="V211">
        <v>6.39</v>
      </c>
      <c r="W211">
        <v>1.45</v>
      </c>
      <c r="X211" s="1">
        <v>43262</v>
      </c>
    </row>
    <row r="212" spans="1:24" x14ac:dyDescent="0.25">
      <c r="A212" t="s">
        <v>226</v>
      </c>
      <c r="B212">
        <v>2018</v>
      </c>
      <c r="C212" s="8" t="s">
        <v>276</v>
      </c>
      <c r="D212">
        <v>7.8</v>
      </c>
      <c r="E212">
        <v>7.75</v>
      </c>
      <c r="F212">
        <v>24</v>
      </c>
      <c r="G212">
        <v>956</v>
      </c>
      <c r="H212">
        <v>755</v>
      </c>
      <c r="I212">
        <v>5721</v>
      </c>
      <c r="J212">
        <v>25</v>
      </c>
      <c r="K212">
        <v>2.2999999999999998</v>
      </c>
      <c r="L212">
        <v>1.3</v>
      </c>
      <c r="M212">
        <v>316</v>
      </c>
      <c r="N212">
        <v>80</v>
      </c>
      <c r="O212">
        <v>4.37</v>
      </c>
      <c r="P212">
        <v>20.67</v>
      </c>
      <c r="Q212">
        <v>5.92</v>
      </c>
      <c r="R212">
        <v>15.21</v>
      </c>
      <c r="S212">
        <v>69.180000000000007</v>
      </c>
      <c r="T212">
        <v>9.67</v>
      </c>
      <c r="U212">
        <v>1.38</v>
      </c>
      <c r="V212">
        <v>8.2899999999999991</v>
      </c>
      <c r="W212">
        <v>4.8600000000000003</v>
      </c>
      <c r="X212" s="1">
        <v>43262</v>
      </c>
    </row>
    <row r="213" spans="1:24" x14ac:dyDescent="0.25">
      <c r="A213" t="s">
        <v>227</v>
      </c>
      <c r="B213">
        <v>2018</v>
      </c>
      <c r="C213" s="8" t="s">
        <v>276</v>
      </c>
      <c r="D213">
        <v>7.2</v>
      </c>
      <c r="E213">
        <v>7.75</v>
      </c>
      <c r="F213">
        <v>22</v>
      </c>
      <c r="G213">
        <v>898</v>
      </c>
      <c r="H213">
        <v>775</v>
      </c>
      <c r="I213">
        <v>4571</v>
      </c>
      <c r="J213">
        <v>23</v>
      </c>
      <c r="K213">
        <v>1.86</v>
      </c>
      <c r="L213">
        <v>1.2</v>
      </c>
      <c r="M213">
        <v>303</v>
      </c>
      <c r="N213">
        <v>90</v>
      </c>
      <c r="O213">
        <v>4.05</v>
      </c>
      <c r="P213">
        <v>17.8</v>
      </c>
      <c r="Q213">
        <v>6.46</v>
      </c>
      <c r="R213">
        <v>18.13</v>
      </c>
      <c r="S213">
        <v>64.17</v>
      </c>
      <c r="T213">
        <v>11.23</v>
      </c>
      <c r="U213">
        <v>1.25</v>
      </c>
      <c r="V213">
        <v>10.54</v>
      </c>
      <c r="W213">
        <v>3.69</v>
      </c>
      <c r="X213" s="1">
        <v>43262</v>
      </c>
    </row>
    <row r="214" spans="1:24" x14ac:dyDescent="0.25">
      <c r="A214" t="s">
        <v>228</v>
      </c>
      <c r="B214">
        <v>2018</v>
      </c>
      <c r="C214" s="8" t="s">
        <v>276</v>
      </c>
      <c r="D214">
        <v>7.3</v>
      </c>
      <c r="E214">
        <v>7.7</v>
      </c>
      <c r="F214">
        <v>18</v>
      </c>
      <c r="G214">
        <v>846</v>
      </c>
      <c r="H214">
        <v>774</v>
      </c>
      <c r="I214">
        <v>5003</v>
      </c>
      <c r="J214">
        <v>25</v>
      </c>
      <c r="K214">
        <v>1.9</v>
      </c>
      <c r="L214">
        <v>1.1599999999999999</v>
      </c>
      <c r="M214">
        <v>328</v>
      </c>
      <c r="N214">
        <v>92</v>
      </c>
      <c r="O214">
        <v>4.18</v>
      </c>
      <c r="P214">
        <v>19.21</v>
      </c>
      <c r="Q214">
        <v>5.64</v>
      </c>
      <c r="R214">
        <v>16.78</v>
      </c>
      <c r="S214">
        <v>65.08</v>
      </c>
      <c r="T214">
        <v>12.48</v>
      </c>
      <c r="U214">
        <v>1.27</v>
      </c>
      <c r="V214">
        <v>11.17</v>
      </c>
      <c r="W214">
        <v>5.5</v>
      </c>
      <c r="X214" s="1">
        <v>43262</v>
      </c>
    </row>
    <row r="215" spans="1:24" x14ac:dyDescent="0.25">
      <c r="A215" t="s">
        <v>229</v>
      </c>
      <c r="B215">
        <v>2018</v>
      </c>
      <c r="C215" s="8" t="s">
        <v>276</v>
      </c>
      <c r="D215">
        <v>7.5</v>
      </c>
      <c r="E215">
        <v>7.75</v>
      </c>
      <c r="F215">
        <v>31</v>
      </c>
      <c r="G215">
        <v>981</v>
      </c>
      <c r="H215">
        <v>734</v>
      </c>
      <c r="I215">
        <v>4746</v>
      </c>
      <c r="J215">
        <v>30</v>
      </c>
      <c r="K215">
        <v>2.0099999999999998</v>
      </c>
      <c r="L215">
        <v>1.23</v>
      </c>
      <c r="M215">
        <v>333</v>
      </c>
      <c r="N215">
        <v>97</v>
      </c>
      <c r="O215">
        <v>4.24</v>
      </c>
      <c r="P215">
        <v>18.18</v>
      </c>
      <c r="Q215">
        <v>6.91</v>
      </c>
      <c r="R215">
        <v>16.82</v>
      </c>
      <c r="S215">
        <v>65.260000000000005</v>
      </c>
      <c r="T215">
        <v>11</v>
      </c>
      <c r="U215">
        <v>1.27</v>
      </c>
      <c r="V215">
        <v>8.15</v>
      </c>
      <c r="W215">
        <v>3.9</v>
      </c>
      <c r="X215" s="1">
        <v>43262</v>
      </c>
    </row>
    <row r="216" spans="1:24" x14ac:dyDescent="0.25">
      <c r="A216" t="s">
        <v>238</v>
      </c>
      <c r="B216">
        <v>2018</v>
      </c>
      <c r="C216" s="8" t="s">
        <v>275</v>
      </c>
      <c r="D216">
        <v>7.6</v>
      </c>
      <c r="E216">
        <v>7.7</v>
      </c>
      <c r="F216">
        <v>99</v>
      </c>
      <c r="G216">
        <v>1378</v>
      </c>
      <c r="H216">
        <v>1541</v>
      </c>
      <c r="I216">
        <v>4854</v>
      </c>
      <c r="J216">
        <v>44</v>
      </c>
      <c r="K216">
        <v>3.28</v>
      </c>
      <c r="L216">
        <v>3.48</v>
      </c>
      <c r="M216">
        <v>389</v>
      </c>
      <c r="N216">
        <v>74</v>
      </c>
      <c r="O216">
        <v>4.37</v>
      </c>
      <c r="P216">
        <v>22.72</v>
      </c>
      <c r="Q216">
        <v>7.77</v>
      </c>
      <c r="R216">
        <v>28.25</v>
      </c>
      <c r="S216">
        <v>53.4</v>
      </c>
      <c r="T216">
        <v>10.56</v>
      </c>
      <c r="U216">
        <v>1.6</v>
      </c>
      <c r="V216">
        <v>31.09</v>
      </c>
      <c r="W216">
        <v>4.08</v>
      </c>
      <c r="X216" s="1">
        <v>43263</v>
      </c>
    </row>
    <row r="217" spans="1:24" x14ac:dyDescent="0.25">
      <c r="A217" t="s">
        <v>239</v>
      </c>
      <c r="B217">
        <v>2018</v>
      </c>
      <c r="C217" s="8" t="s">
        <v>275</v>
      </c>
      <c r="D217">
        <v>7.3</v>
      </c>
      <c r="E217">
        <v>7.7</v>
      </c>
      <c r="F217">
        <v>110</v>
      </c>
      <c r="G217">
        <v>1369</v>
      </c>
      <c r="H217">
        <v>1553</v>
      </c>
      <c r="I217">
        <v>4805</v>
      </c>
      <c r="J217">
        <v>39</v>
      </c>
      <c r="K217">
        <v>2.89</v>
      </c>
      <c r="L217">
        <v>4.82</v>
      </c>
      <c r="M217">
        <v>406</v>
      </c>
      <c r="N217">
        <v>74</v>
      </c>
      <c r="O217">
        <v>4.74</v>
      </c>
      <c r="P217">
        <v>22.63</v>
      </c>
      <c r="Q217">
        <v>7.75</v>
      </c>
      <c r="R217">
        <v>28.58</v>
      </c>
      <c r="S217">
        <v>53.06</v>
      </c>
      <c r="T217">
        <v>10.6</v>
      </c>
      <c r="U217">
        <v>1.56</v>
      </c>
      <c r="V217">
        <v>29.07</v>
      </c>
      <c r="W217">
        <v>1.99</v>
      </c>
      <c r="X217" s="1">
        <v>43263</v>
      </c>
    </row>
    <row r="218" spans="1:24" x14ac:dyDescent="0.25">
      <c r="A218" t="s">
        <v>240</v>
      </c>
      <c r="B218">
        <v>2018</v>
      </c>
      <c r="C218" s="8" t="s">
        <v>275</v>
      </c>
      <c r="D218">
        <v>7.7</v>
      </c>
      <c r="E218">
        <v>7.75</v>
      </c>
      <c r="F218">
        <v>132</v>
      </c>
      <c r="G218">
        <v>1395</v>
      </c>
      <c r="H218">
        <v>1657</v>
      </c>
      <c r="I218">
        <v>4917</v>
      </c>
      <c r="J218">
        <v>29</v>
      </c>
      <c r="K218">
        <v>3.5</v>
      </c>
      <c r="L218">
        <v>4.58</v>
      </c>
      <c r="M218">
        <v>390</v>
      </c>
      <c r="N218">
        <v>70</v>
      </c>
      <c r="O218">
        <v>4.66</v>
      </c>
      <c r="P218">
        <v>22.98</v>
      </c>
      <c r="Q218">
        <v>7.78</v>
      </c>
      <c r="R218">
        <v>30.03</v>
      </c>
      <c r="S218">
        <v>53.48</v>
      </c>
      <c r="T218">
        <v>8.6999999999999993</v>
      </c>
      <c r="U218">
        <v>1.61</v>
      </c>
      <c r="V218">
        <v>15.72</v>
      </c>
      <c r="W218">
        <v>1.89</v>
      </c>
      <c r="X218" s="1">
        <v>43263</v>
      </c>
    </row>
    <row r="219" spans="1:24" x14ac:dyDescent="0.25">
      <c r="A219" t="s">
        <v>241</v>
      </c>
      <c r="B219">
        <v>2018</v>
      </c>
      <c r="C219" s="8" t="s">
        <v>275</v>
      </c>
      <c r="D219">
        <v>8.5</v>
      </c>
      <c r="E219">
        <v>7.8</v>
      </c>
      <c r="F219">
        <v>93</v>
      </c>
      <c r="G219">
        <v>1335</v>
      </c>
      <c r="H219">
        <v>1469</v>
      </c>
      <c r="I219">
        <v>8954</v>
      </c>
      <c r="J219">
        <v>28</v>
      </c>
      <c r="K219">
        <v>5.0199999999999996</v>
      </c>
      <c r="L219">
        <v>4.62</v>
      </c>
      <c r="M219">
        <v>336</v>
      </c>
      <c r="N219">
        <v>46</v>
      </c>
      <c r="O219">
        <v>4.46</v>
      </c>
      <c r="P219">
        <v>31.81</v>
      </c>
      <c r="Q219">
        <v>5.37</v>
      </c>
      <c r="R219">
        <v>19.23</v>
      </c>
      <c r="S219">
        <v>70.349999999999994</v>
      </c>
      <c r="T219">
        <v>5.0199999999999996</v>
      </c>
      <c r="U219">
        <v>1.78</v>
      </c>
      <c r="V219">
        <v>11.03</v>
      </c>
      <c r="W219">
        <v>1.1499999999999999</v>
      </c>
      <c r="X219" s="1">
        <v>43263</v>
      </c>
    </row>
    <row r="220" spans="1:24" x14ac:dyDescent="0.25">
      <c r="A220" t="s">
        <v>249</v>
      </c>
      <c r="B220">
        <v>2018</v>
      </c>
      <c r="C220" s="8" t="s">
        <v>276</v>
      </c>
      <c r="D220">
        <v>7.7</v>
      </c>
      <c r="E220">
        <v>7.75</v>
      </c>
      <c r="F220">
        <v>130</v>
      </c>
      <c r="G220">
        <v>1404</v>
      </c>
      <c r="H220">
        <v>1366</v>
      </c>
      <c r="I220">
        <v>4348</v>
      </c>
      <c r="J220">
        <v>29</v>
      </c>
      <c r="K220">
        <v>2.72</v>
      </c>
      <c r="L220">
        <v>4.8600000000000003</v>
      </c>
      <c r="M220">
        <v>440</v>
      </c>
      <c r="N220">
        <v>102</v>
      </c>
      <c r="O220">
        <v>4.63</v>
      </c>
      <c r="P220">
        <v>20.36</v>
      </c>
      <c r="Q220">
        <v>8.84</v>
      </c>
      <c r="R220">
        <v>27.95</v>
      </c>
      <c r="S220">
        <v>53.38</v>
      </c>
      <c r="T220">
        <v>9.82</v>
      </c>
      <c r="U220">
        <v>1.52</v>
      </c>
      <c r="V220">
        <v>15.81</v>
      </c>
      <c r="W220">
        <v>1.6</v>
      </c>
      <c r="X220" s="1">
        <v>43263</v>
      </c>
    </row>
    <row r="221" spans="1:24" x14ac:dyDescent="0.25">
      <c r="A221" t="s">
        <v>265</v>
      </c>
      <c r="B221">
        <v>2018</v>
      </c>
      <c r="C221" s="8" t="s">
        <v>276</v>
      </c>
      <c r="D221">
        <v>7.4</v>
      </c>
      <c r="E221">
        <v>7.75</v>
      </c>
      <c r="F221">
        <v>114</v>
      </c>
      <c r="G221">
        <v>1505</v>
      </c>
      <c r="H221">
        <v>1371</v>
      </c>
      <c r="I221">
        <v>4140</v>
      </c>
      <c r="J221">
        <v>27</v>
      </c>
      <c r="K221">
        <v>2.56</v>
      </c>
      <c r="L221">
        <v>4.8899999999999997</v>
      </c>
      <c r="M221">
        <v>431</v>
      </c>
      <c r="N221">
        <v>103</v>
      </c>
      <c r="O221">
        <v>4.58</v>
      </c>
      <c r="P221">
        <v>19.989999999999998</v>
      </c>
      <c r="Q221">
        <v>9.65</v>
      </c>
      <c r="R221">
        <v>28.57</v>
      </c>
      <c r="S221">
        <v>51.77</v>
      </c>
      <c r="T221">
        <v>10</v>
      </c>
      <c r="U221">
        <v>1.32</v>
      </c>
      <c r="V221">
        <v>15.69</v>
      </c>
      <c r="W221">
        <v>2.16</v>
      </c>
      <c r="X221" s="1">
        <v>43263</v>
      </c>
    </row>
    <row r="222" spans="1:24" x14ac:dyDescent="0.25">
      <c r="A222" t="s">
        <v>266</v>
      </c>
      <c r="B222">
        <v>2018</v>
      </c>
      <c r="C222" s="8" t="s">
        <v>276</v>
      </c>
      <c r="D222">
        <v>7.5</v>
      </c>
      <c r="E222">
        <v>7.75</v>
      </c>
      <c r="F222">
        <v>102</v>
      </c>
      <c r="G222">
        <v>1419</v>
      </c>
      <c r="H222">
        <v>1396</v>
      </c>
      <c r="I222">
        <v>4368</v>
      </c>
      <c r="J222">
        <v>30</v>
      </c>
      <c r="K222">
        <v>2.79</v>
      </c>
      <c r="L222">
        <v>4.26</v>
      </c>
      <c r="M222">
        <v>442</v>
      </c>
      <c r="N222">
        <v>100</v>
      </c>
      <c r="O222">
        <v>4.74</v>
      </c>
      <c r="P222">
        <v>20.55</v>
      </c>
      <c r="Q222">
        <v>8.85</v>
      </c>
      <c r="R222">
        <v>28.29</v>
      </c>
      <c r="S222">
        <v>53.12</v>
      </c>
      <c r="T222">
        <v>9.7200000000000006</v>
      </c>
      <c r="U222">
        <v>1.35</v>
      </c>
      <c r="V222">
        <v>19.11</v>
      </c>
      <c r="W222">
        <v>1.76</v>
      </c>
      <c r="X222" s="1">
        <v>43263</v>
      </c>
    </row>
    <row r="223" spans="1:24" x14ac:dyDescent="0.25">
      <c r="A223" t="s">
        <v>267</v>
      </c>
      <c r="B223">
        <v>2018</v>
      </c>
      <c r="C223" s="8" t="s">
        <v>276</v>
      </c>
      <c r="D223">
        <v>7.5</v>
      </c>
      <c r="E223">
        <v>7.75</v>
      </c>
      <c r="F223">
        <v>117</v>
      </c>
      <c r="G223">
        <v>1577</v>
      </c>
      <c r="H223">
        <v>1379</v>
      </c>
      <c r="I223">
        <v>4282</v>
      </c>
      <c r="J223">
        <v>37</v>
      </c>
      <c r="K223">
        <v>3</v>
      </c>
      <c r="L223">
        <v>5.51</v>
      </c>
      <c r="M223">
        <v>444</v>
      </c>
      <c r="N223">
        <v>104</v>
      </c>
      <c r="O223">
        <v>4.6900000000000004</v>
      </c>
      <c r="P223">
        <v>20.47</v>
      </c>
      <c r="Q223">
        <v>9.8699999999999992</v>
      </c>
      <c r="R223">
        <v>28.06</v>
      </c>
      <c r="S223">
        <v>52.28</v>
      </c>
      <c r="T223">
        <v>9.76</v>
      </c>
      <c r="U223">
        <v>1.37</v>
      </c>
      <c r="V223">
        <v>22.62</v>
      </c>
      <c r="W223">
        <v>1.72</v>
      </c>
      <c r="X223" s="1">
        <v>43263</v>
      </c>
    </row>
    <row r="224" spans="1:24" x14ac:dyDescent="0.25">
      <c r="A224" t="s">
        <v>230</v>
      </c>
      <c r="B224">
        <v>2018</v>
      </c>
      <c r="C224" s="8" t="s">
        <v>275</v>
      </c>
      <c r="D224">
        <v>6.7</v>
      </c>
      <c r="E224">
        <v>7.65</v>
      </c>
      <c r="F224">
        <v>142</v>
      </c>
      <c r="G224">
        <v>1760</v>
      </c>
      <c r="H224">
        <v>1375</v>
      </c>
      <c r="I224">
        <v>4605</v>
      </c>
      <c r="J224">
        <v>26</v>
      </c>
      <c r="K224">
        <v>2.0299999999999998</v>
      </c>
      <c r="L224">
        <v>3.89</v>
      </c>
      <c r="M224">
        <v>351</v>
      </c>
      <c r="N224">
        <v>143</v>
      </c>
      <c r="O224">
        <v>6.24</v>
      </c>
      <c r="P224">
        <v>22.29</v>
      </c>
      <c r="Q224">
        <v>10.11</v>
      </c>
      <c r="R224">
        <v>25.69</v>
      </c>
      <c r="S224">
        <v>51.63</v>
      </c>
      <c r="T224">
        <v>12.55</v>
      </c>
      <c r="U224">
        <v>1.5</v>
      </c>
      <c r="V224">
        <v>12.73</v>
      </c>
      <c r="W224">
        <v>1.45</v>
      </c>
      <c r="X224" s="1">
        <v>43263</v>
      </c>
    </row>
    <row r="225" spans="1:24" x14ac:dyDescent="0.25">
      <c r="A225" t="s">
        <v>231</v>
      </c>
      <c r="B225">
        <v>2018</v>
      </c>
      <c r="C225" s="8" t="s">
        <v>275</v>
      </c>
      <c r="D225">
        <v>7.3</v>
      </c>
      <c r="E225">
        <v>7.7</v>
      </c>
      <c r="F225">
        <v>165</v>
      </c>
      <c r="G225">
        <v>1573</v>
      </c>
      <c r="H225">
        <v>1461</v>
      </c>
      <c r="I225">
        <v>5130</v>
      </c>
      <c r="J225">
        <v>22</v>
      </c>
      <c r="K225">
        <v>2.74</v>
      </c>
      <c r="L225">
        <v>5.44</v>
      </c>
      <c r="M225">
        <v>449</v>
      </c>
      <c r="N225">
        <v>92</v>
      </c>
      <c r="O225">
        <v>6.22</v>
      </c>
      <c r="P225">
        <v>23.32</v>
      </c>
      <c r="Q225">
        <v>8.64</v>
      </c>
      <c r="R225">
        <v>26.09</v>
      </c>
      <c r="S225">
        <v>54.97</v>
      </c>
      <c r="T225">
        <v>10.28</v>
      </c>
      <c r="U225">
        <v>1.64</v>
      </c>
      <c r="V225">
        <v>10.55</v>
      </c>
      <c r="W225">
        <v>1.05</v>
      </c>
      <c r="X225" s="1">
        <v>43263</v>
      </c>
    </row>
    <row r="226" spans="1:24" x14ac:dyDescent="0.25">
      <c r="A226" t="s">
        <v>232</v>
      </c>
      <c r="B226">
        <v>2018</v>
      </c>
      <c r="C226" s="8" t="s">
        <v>275</v>
      </c>
      <c r="D226">
        <v>7.4</v>
      </c>
      <c r="E226">
        <v>7.7</v>
      </c>
      <c r="F226">
        <v>142</v>
      </c>
      <c r="G226">
        <v>1241</v>
      </c>
      <c r="H226">
        <v>1504</v>
      </c>
      <c r="I226">
        <v>5115</v>
      </c>
      <c r="J226">
        <v>17</v>
      </c>
      <c r="K226">
        <v>2.33</v>
      </c>
      <c r="L226">
        <v>5.93</v>
      </c>
      <c r="M226">
        <v>454</v>
      </c>
      <c r="N226">
        <v>104</v>
      </c>
      <c r="O226">
        <v>6.04</v>
      </c>
      <c r="P226">
        <v>23.04</v>
      </c>
      <c r="Q226">
        <v>6.9</v>
      </c>
      <c r="R226">
        <v>27.19</v>
      </c>
      <c r="S226">
        <v>55.48</v>
      </c>
      <c r="T226">
        <v>10.41</v>
      </c>
      <c r="U226">
        <v>1.67</v>
      </c>
      <c r="V226">
        <v>11</v>
      </c>
      <c r="W226">
        <v>3.73</v>
      </c>
      <c r="X226" s="1">
        <v>43263</v>
      </c>
    </row>
    <row r="227" spans="1:24" x14ac:dyDescent="0.25">
      <c r="A227" t="s">
        <v>233</v>
      </c>
      <c r="B227">
        <v>2018</v>
      </c>
      <c r="C227" s="8" t="s">
        <v>275</v>
      </c>
      <c r="D227">
        <v>7.4</v>
      </c>
      <c r="E227">
        <v>7.7</v>
      </c>
      <c r="F227">
        <v>109</v>
      </c>
      <c r="G227">
        <v>1261</v>
      </c>
      <c r="H227">
        <v>1420</v>
      </c>
      <c r="I227">
        <v>4920</v>
      </c>
      <c r="J227">
        <v>19</v>
      </c>
      <c r="K227">
        <v>2.4500000000000002</v>
      </c>
      <c r="L227">
        <v>4.58</v>
      </c>
      <c r="M227">
        <v>473</v>
      </c>
      <c r="N227">
        <v>80</v>
      </c>
      <c r="O227">
        <v>6.3</v>
      </c>
      <c r="P227">
        <v>22.23</v>
      </c>
      <c r="Q227">
        <v>7.27</v>
      </c>
      <c r="R227">
        <v>26.61</v>
      </c>
      <c r="S227">
        <v>55.32</v>
      </c>
      <c r="T227">
        <v>10.79</v>
      </c>
      <c r="U227">
        <v>1.65</v>
      </c>
      <c r="V227">
        <v>7.7</v>
      </c>
      <c r="W227">
        <v>1.1299999999999999</v>
      </c>
      <c r="X227" s="1">
        <v>43263</v>
      </c>
    </row>
    <row r="228" spans="1:24" x14ac:dyDescent="0.25">
      <c r="A228" t="s">
        <v>234</v>
      </c>
      <c r="B228">
        <v>2018</v>
      </c>
      <c r="C228" s="8" t="s">
        <v>275</v>
      </c>
      <c r="D228">
        <v>7.5</v>
      </c>
      <c r="E228">
        <v>7.75</v>
      </c>
      <c r="F228">
        <v>149</v>
      </c>
      <c r="G228">
        <v>1743</v>
      </c>
      <c r="H228">
        <v>1411</v>
      </c>
      <c r="I228">
        <v>5054</v>
      </c>
      <c r="J228">
        <v>23</v>
      </c>
      <c r="K228">
        <v>3.3</v>
      </c>
      <c r="L228">
        <v>6.76</v>
      </c>
      <c r="M228">
        <v>476</v>
      </c>
      <c r="N228">
        <v>80</v>
      </c>
      <c r="O228">
        <v>5.84</v>
      </c>
      <c r="P228">
        <v>22.74</v>
      </c>
      <c r="Q228">
        <v>9.82</v>
      </c>
      <c r="R228">
        <v>25.84</v>
      </c>
      <c r="S228">
        <v>55.54</v>
      </c>
      <c r="T228">
        <v>8.7899999999999991</v>
      </c>
      <c r="U228">
        <v>1.84</v>
      </c>
      <c r="V228">
        <v>18.600000000000001</v>
      </c>
      <c r="W228">
        <v>2.82</v>
      </c>
      <c r="X228" s="1">
        <v>43263</v>
      </c>
    </row>
    <row r="229" spans="1:24" x14ac:dyDescent="0.25">
      <c r="A229" t="s">
        <v>235</v>
      </c>
      <c r="B229">
        <v>2018</v>
      </c>
      <c r="C229" s="8" t="s">
        <v>275</v>
      </c>
      <c r="D229">
        <v>7.1</v>
      </c>
      <c r="E229">
        <v>7.7</v>
      </c>
      <c r="F229">
        <v>97</v>
      </c>
      <c r="G229">
        <v>1308</v>
      </c>
      <c r="H229">
        <v>1598</v>
      </c>
      <c r="I229">
        <v>4925</v>
      </c>
      <c r="J229">
        <v>31</v>
      </c>
      <c r="K229">
        <v>2.66</v>
      </c>
      <c r="L229">
        <v>5.95</v>
      </c>
      <c r="M229">
        <v>486</v>
      </c>
      <c r="N229">
        <v>72</v>
      </c>
      <c r="O229">
        <v>6.2</v>
      </c>
      <c r="P229">
        <v>23.04</v>
      </c>
      <c r="Q229">
        <v>7.27</v>
      </c>
      <c r="R229">
        <v>28.88</v>
      </c>
      <c r="S229">
        <v>53.42</v>
      </c>
      <c r="T229">
        <v>10.41</v>
      </c>
      <c r="U229">
        <v>1.68</v>
      </c>
      <c r="V229">
        <v>42.49</v>
      </c>
      <c r="W229">
        <v>1.73</v>
      </c>
      <c r="X229" s="1">
        <v>43263</v>
      </c>
    </row>
    <row r="230" spans="1:24" x14ac:dyDescent="0.25">
      <c r="A230" t="s">
        <v>236</v>
      </c>
      <c r="B230">
        <v>2018</v>
      </c>
      <c r="C230" s="8" t="s">
        <v>275</v>
      </c>
      <c r="D230">
        <v>7.4</v>
      </c>
      <c r="E230">
        <v>7.7</v>
      </c>
      <c r="F230">
        <v>134</v>
      </c>
      <c r="G230">
        <v>1415</v>
      </c>
      <c r="H230">
        <v>1659</v>
      </c>
      <c r="I230">
        <v>5056</v>
      </c>
      <c r="J230">
        <v>24</v>
      </c>
      <c r="K230">
        <v>2.77</v>
      </c>
      <c r="L230">
        <v>7.02</v>
      </c>
      <c r="M230">
        <v>449</v>
      </c>
      <c r="N230">
        <v>77</v>
      </c>
      <c r="O230">
        <v>6.17</v>
      </c>
      <c r="P230">
        <v>23.76</v>
      </c>
      <c r="Q230">
        <v>7.63</v>
      </c>
      <c r="R230">
        <v>29.08</v>
      </c>
      <c r="S230">
        <v>53.18</v>
      </c>
      <c r="T230">
        <v>10.09</v>
      </c>
      <c r="U230">
        <v>1.8</v>
      </c>
      <c r="V230">
        <v>18.36</v>
      </c>
      <c r="W230">
        <v>1.07</v>
      </c>
      <c r="X230" s="1">
        <v>43263</v>
      </c>
    </row>
    <row r="231" spans="1:24" x14ac:dyDescent="0.25">
      <c r="A231" t="s">
        <v>237</v>
      </c>
      <c r="B231">
        <v>2018</v>
      </c>
      <c r="C231" s="8" t="s">
        <v>275</v>
      </c>
      <c r="D231">
        <v>7.6</v>
      </c>
      <c r="E231">
        <v>7.7</v>
      </c>
      <c r="F231">
        <v>195</v>
      </c>
      <c r="G231">
        <v>1569</v>
      </c>
      <c r="H231">
        <v>1579</v>
      </c>
      <c r="I231">
        <v>5201</v>
      </c>
      <c r="J231">
        <v>24</v>
      </c>
      <c r="K231">
        <v>2.93</v>
      </c>
      <c r="L231">
        <v>8.3800000000000008</v>
      </c>
      <c r="M231">
        <v>463</v>
      </c>
      <c r="N231">
        <v>83</v>
      </c>
      <c r="O231">
        <v>6.39</v>
      </c>
      <c r="P231">
        <v>23.99</v>
      </c>
      <c r="Q231">
        <v>8.3800000000000008</v>
      </c>
      <c r="R231">
        <v>27.42</v>
      </c>
      <c r="S231">
        <v>54.19</v>
      </c>
      <c r="T231">
        <v>10</v>
      </c>
      <c r="U231">
        <v>1.76</v>
      </c>
      <c r="V231">
        <v>14.63</v>
      </c>
      <c r="W231">
        <v>1.29</v>
      </c>
      <c r="X231" s="1">
        <v>43263</v>
      </c>
    </row>
    <row r="232" spans="1:24" x14ac:dyDescent="0.25">
      <c r="A232" t="s">
        <v>264</v>
      </c>
      <c r="B232">
        <v>2018</v>
      </c>
      <c r="C232" s="8" t="s">
        <v>276</v>
      </c>
      <c r="D232">
        <v>7.8</v>
      </c>
      <c r="E232">
        <v>7.7</v>
      </c>
      <c r="F232">
        <v>26</v>
      </c>
      <c r="G232">
        <v>1469</v>
      </c>
      <c r="H232">
        <v>1422</v>
      </c>
      <c r="I232">
        <v>5310</v>
      </c>
      <c r="J232">
        <v>31</v>
      </c>
      <c r="K232">
        <v>3.26</v>
      </c>
      <c r="L232">
        <v>2.21</v>
      </c>
      <c r="M232">
        <v>337</v>
      </c>
      <c r="N232">
        <v>75</v>
      </c>
      <c r="O232">
        <v>5.25</v>
      </c>
      <c r="P232">
        <v>23.48</v>
      </c>
      <c r="Q232">
        <v>8.01</v>
      </c>
      <c r="R232">
        <v>25.23</v>
      </c>
      <c r="S232">
        <v>56.52</v>
      </c>
      <c r="T232">
        <v>10.220000000000001</v>
      </c>
      <c r="U232">
        <v>1.53</v>
      </c>
      <c r="V232">
        <v>17.690000000000001</v>
      </c>
      <c r="W232">
        <v>1.41</v>
      </c>
      <c r="X232" s="1">
        <v>43263</v>
      </c>
    </row>
    <row r="233" spans="1:24" x14ac:dyDescent="0.25">
      <c r="A233" t="s">
        <v>242</v>
      </c>
      <c r="B233">
        <v>2018</v>
      </c>
      <c r="C233" s="8" t="s">
        <v>276</v>
      </c>
      <c r="D233">
        <v>7.1</v>
      </c>
      <c r="E233">
        <v>7.65</v>
      </c>
      <c r="F233">
        <v>23</v>
      </c>
      <c r="G233">
        <v>1401</v>
      </c>
      <c r="H233">
        <v>1403</v>
      </c>
      <c r="I233">
        <v>5320</v>
      </c>
      <c r="J233">
        <v>34</v>
      </c>
      <c r="K233">
        <v>3.04</v>
      </c>
      <c r="L233">
        <v>2.16</v>
      </c>
      <c r="M233">
        <v>338</v>
      </c>
      <c r="N233">
        <v>72</v>
      </c>
      <c r="O233">
        <v>5.27</v>
      </c>
      <c r="P233">
        <v>23.74</v>
      </c>
      <c r="Q233">
        <v>7.56</v>
      </c>
      <c r="R233">
        <v>24.62</v>
      </c>
      <c r="S233">
        <v>56.01</v>
      </c>
      <c r="T233">
        <v>11.79</v>
      </c>
      <c r="U233">
        <v>1.52</v>
      </c>
      <c r="V233">
        <v>14.6</v>
      </c>
      <c r="W233">
        <v>1.45</v>
      </c>
      <c r="X233" s="1">
        <v>43263</v>
      </c>
    </row>
    <row r="234" spans="1:24" x14ac:dyDescent="0.25">
      <c r="A234" t="s">
        <v>243</v>
      </c>
      <c r="B234">
        <v>2018</v>
      </c>
      <c r="C234" s="8" t="s">
        <v>276</v>
      </c>
      <c r="D234">
        <v>6.7</v>
      </c>
      <c r="E234">
        <v>7.7</v>
      </c>
      <c r="F234">
        <v>21</v>
      </c>
      <c r="G234">
        <v>1135</v>
      </c>
      <c r="H234">
        <v>1422</v>
      </c>
      <c r="I234">
        <v>5265</v>
      </c>
      <c r="J234">
        <v>29</v>
      </c>
      <c r="K234">
        <v>3.26</v>
      </c>
      <c r="L234">
        <v>1.65</v>
      </c>
      <c r="M234">
        <v>316</v>
      </c>
      <c r="N234">
        <v>76</v>
      </c>
      <c r="O234">
        <v>5.37</v>
      </c>
      <c r="P234">
        <v>22.94</v>
      </c>
      <c r="Q234">
        <v>6.34</v>
      </c>
      <c r="R234">
        <v>25.82</v>
      </c>
      <c r="S234">
        <v>57.37</v>
      </c>
      <c r="T234">
        <v>10.46</v>
      </c>
      <c r="U234">
        <v>1.42</v>
      </c>
      <c r="V234">
        <v>7.53</v>
      </c>
      <c r="W234">
        <v>2.71</v>
      </c>
      <c r="X234" s="1">
        <v>43263</v>
      </c>
    </row>
    <row r="235" spans="1:24" x14ac:dyDescent="0.25">
      <c r="A235" t="s">
        <v>244</v>
      </c>
      <c r="B235">
        <v>2018</v>
      </c>
      <c r="C235" s="8" t="s">
        <v>276</v>
      </c>
      <c r="D235">
        <v>7.4</v>
      </c>
      <c r="E235">
        <v>7.7</v>
      </c>
      <c r="F235">
        <v>17</v>
      </c>
      <c r="G235">
        <v>1445</v>
      </c>
      <c r="H235">
        <v>1432</v>
      </c>
      <c r="I235">
        <v>5531</v>
      </c>
      <c r="J235">
        <v>29</v>
      </c>
      <c r="K235">
        <v>3.07</v>
      </c>
      <c r="L235">
        <v>1.96</v>
      </c>
      <c r="M235">
        <v>300</v>
      </c>
      <c r="N235">
        <v>75</v>
      </c>
      <c r="O235">
        <v>5.37</v>
      </c>
      <c r="P235">
        <v>24.04</v>
      </c>
      <c r="Q235">
        <v>7.7</v>
      </c>
      <c r="R235">
        <v>24.81</v>
      </c>
      <c r="S235">
        <v>57.5</v>
      </c>
      <c r="T235">
        <v>9.98</v>
      </c>
      <c r="U235">
        <v>1.5</v>
      </c>
      <c r="V235">
        <v>14.1</v>
      </c>
      <c r="W235">
        <v>1.64</v>
      </c>
      <c r="X235" s="1">
        <v>43263</v>
      </c>
    </row>
    <row r="236" spans="1:24" x14ac:dyDescent="0.25">
      <c r="A236" t="s">
        <v>245</v>
      </c>
      <c r="B236">
        <v>2018</v>
      </c>
      <c r="C236" s="8" t="s">
        <v>275</v>
      </c>
      <c r="D236">
        <v>8.3000000000000007</v>
      </c>
      <c r="E236">
        <v>7.75</v>
      </c>
      <c r="F236">
        <v>11</v>
      </c>
      <c r="G236">
        <v>1197</v>
      </c>
      <c r="H236">
        <v>1989</v>
      </c>
      <c r="I236">
        <v>10140</v>
      </c>
      <c r="J236">
        <v>32</v>
      </c>
      <c r="K236">
        <v>5.1100000000000003</v>
      </c>
      <c r="L236">
        <v>2.17</v>
      </c>
      <c r="M236">
        <v>243</v>
      </c>
      <c r="N236">
        <v>73</v>
      </c>
      <c r="O236">
        <v>6.39</v>
      </c>
      <c r="P236">
        <v>37.17</v>
      </c>
      <c r="Q236">
        <v>4.12</v>
      </c>
      <c r="R236">
        <v>22.29</v>
      </c>
      <c r="S236">
        <v>68.19</v>
      </c>
      <c r="T236">
        <v>5.38</v>
      </c>
      <c r="U236">
        <v>1.7</v>
      </c>
      <c r="V236">
        <v>6.9</v>
      </c>
      <c r="W236">
        <v>1.4</v>
      </c>
      <c r="X236" s="1">
        <v>43263</v>
      </c>
    </row>
    <row r="237" spans="1:24" x14ac:dyDescent="0.25">
      <c r="A237" t="s">
        <v>246</v>
      </c>
      <c r="B237">
        <v>2018</v>
      </c>
      <c r="C237" s="8" t="s">
        <v>275</v>
      </c>
      <c r="D237">
        <v>8.3000000000000007</v>
      </c>
      <c r="E237">
        <v>7.7</v>
      </c>
      <c r="F237">
        <v>19</v>
      </c>
      <c r="G237">
        <v>1296</v>
      </c>
      <c r="H237">
        <v>1687</v>
      </c>
      <c r="I237">
        <v>6710</v>
      </c>
      <c r="J237">
        <v>27</v>
      </c>
      <c r="K237">
        <v>4.5599999999999996</v>
      </c>
      <c r="L237">
        <v>2.54</v>
      </c>
      <c r="M237">
        <v>282</v>
      </c>
      <c r="N237">
        <v>81</v>
      </c>
      <c r="O237">
        <v>6.23</v>
      </c>
      <c r="P237">
        <v>27.86</v>
      </c>
      <c r="Q237">
        <v>5.96</v>
      </c>
      <c r="R237">
        <v>25.22</v>
      </c>
      <c r="S237">
        <v>60.19</v>
      </c>
      <c r="T237">
        <v>8.61</v>
      </c>
      <c r="U237">
        <v>1.66</v>
      </c>
      <c r="V237">
        <v>8.58</v>
      </c>
      <c r="W237">
        <v>1.02</v>
      </c>
      <c r="X237" s="1">
        <v>43263</v>
      </c>
    </row>
    <row r="238" spans="1:24" x14ac:dyDescent="0.25">
      <c r="A238" t="s">
        <v>247</v>
      </c>
      <c r="B238">
        <v>2018</v>
      </c>
      <c r="C238" s="8" t="s">
        <v>275</v>
      </c>
      <c r="D238">
        <v>8.5</v>
      </c>
      <c r="E238">
        <v>7.75</v>
      </c>
      <c r="F238">
        <v>37</v>
      </c>
      <c r="G238">
        <v>1370</v>
      </c>
      <c r="H238">
        <v>1447</v>
      </c>
      <c r="I238">
        <v>9606</v>
      </c>
      <c r="J238">
        <v>34</v>
      </c>
      <c r="K238">
        <v>4.4800000000000004</v>
      </c>
      <c r="L238">
        <v>3.07</v>
      </c>
      <c r="M238">
        <v>294</v>
      </c>
      <c r="N238">
        <v>62</v>
      </c>
      <c r="O238">
        <v>5.61</v>
      </c>
      <c r="P238">
        <v>33.799999999999997</v>
      </c>
      <c r="Q238">
        <v>5.19</v>
      </c>
      <c r="R238">
        <v>17.829999999999998</v>
      </c>
      <c r="S238">
        <v>71.040000000000006</v>
      </c>
      <c r="T238">
        <v>5.91</v>
      </c>
      <c r="U238">
        <v>1.53</v>
      </c>
      <c r="V238">
        <v>13.9</v>
      </c>
      <c r="W238">
        <v>1.41</v>
      </c>
      <c r="X238" s="1">
        <v>43263</v>
      </c>
    </row>
    <row r="239" spans="1:24" x14ac:dyDescent="0.25">
      <c r="A239" t="s">
        <v>248</v>
      </c>
      <c r="B239">
        <v>2018</v>
      </c>
      <c r="C239" s="8" t="s">
        <v>275</v>
      </c>
      <c r="D239">
        <v>8.1999999999999993</v>
      </c>
      <c r="E239">
        <v>7.7</v>
      </c>
      <c r="F239">
        <v>32</v>
      </c>
      <c r="G239">
        <v>1561</v>
      </c>
      <c r="H239">
        <v>1896</v>
      </c>
      <c r="I239">
        <v>6567</v>
      </c>
      <c r="J239">
        <v>36</v>
      </c>
      <c r="K239">
        <v>4.67</v>
      </c>
      <c r="L239">
        <v>4.1100000000000003</v>
      </c>
      <c r="M239">
        <v>325</v>
      </c>
      <c r="N239">
        <v>80</v>
      </c>
      <c r="O239">
        <v>6.41</v>
      </c>
      <c r="P239">
        <v>28.71</v>
      </c>
      <c r="Q239">
        <v>6.96</v>
      </c>
      <c r="R239">
        <v>27.5</v>
      </c>
      <c r="S239">
        <v>57.16</v>
      </c>
      <c r="T239">
        <v>8.35</v>
      </c>
      <c r="U239">
        <v>1.83</v>
      </c>
      <c r="V239">
        <v>27.12</v>
      </c>
      <c r="W239">
        <v>1.99</v>
      </c>
      <c r="X239" s="1">
        <v>43263</v>
      </c>
    </row>
    <row r="240" spans="1:24" x14ac:dyDescent="0.25">
      <c r="A240" t="s">
        <v>250</v>
      </c>
      <c r="B240">
        <v>2018</v>
      </c>
      <c r="C240" s="8" t="s">
        <v>276</v>
      </c>
      <c r="D240">
        <v>8.1999999999999993</v>
      </c>
      <c r="E240">
        <v>7.75</v>
      </c>
      <c r="F240">
        <v>147</v>
      </c>
      <c r="G240">
        <v>1789</v>
      </c>
      <c r="H240">
        <v>1730</v>
      </c>
      <c r="I240">
        <v>6421</v>
      </c>
      <c r="J240">
        <v>53</v>
      </c>
      <c r="K240">
        <v>5.88</v>
      </c>
      <c r="L240">
        <v>8.93</v>
      </c>
      <c r="M240">
        <v>263</v>
      </c>
      <c r="N240">
        <v>82</v>
      </c>
      <c r="O240">
        <v>4.59</v>
      </c>
      <c r="P240">
        <v>27.55</v>
      </c>
      <c r="Q240">
        <v>8.32</v>
      </c>
      <c r="R240">
        <v>26.16</v>
      </c>
      <c r="S240">
        <v>58.25</v>
      </c>
      <c r="T240">
        <v>7.25</v>
      </c>
      <c r="U240">
        <v>1.61</v>
      </c>
      <c r="V240">
        <v>37.549999999999997</v>
      </c>
      <c r="W240">
        <v>0.98</v>
      </c>
      <c r="X240" s="1">
        <v>43264</v>
      </c>
    </row>
    <row r="241" spans="1:24" x14ac:dyDescent="0.25">
      <c r="A241" t="s">
        <v>251</v>
      </c>
      <c r="B241">
        <v>2018</v>
      </c>
      <c r="C241" s="8" t="s">
        <v>276</v>
      </c>
      <c r="D241">
        <v>7.9</v>
      </c>
      <c r="E241">
        <v>7.75</v>
      </c>
      <c r="F241">
        <v>147</v>
      </c>
      <c r="G241">
        <v>1907</v>
      </c>
      <c r="H241">
        <v>1597</v>
      </c>
      <c r="I241">
        <v>6579</v>
      </c>
      <c r="J241">
        <v>56</v>
      </c>
      <c r="K241">
        <v>5.93</v>
      </c>
      <c r="L241">
        <v>7.81</v>
      </c>
      <c r="M241">
        <v>248</v>
      </c>
      <c r="N241">
        <v>79</v>
      </c>
      <c r="O241">
        <v>4.47</v>
      </c>
      <c r="P241">
        <v>27.54</v>
      </c>
      <c r="Q241">
        <v>8.8699999999999992</v>
      </c>
      <c r="R241">
        <v>24.15</v>
      </c>
      <c r="S241">
        <v>59.7</v>
      </c>
      <c r="T241">
        <v>7.26</v>
      </c>
      <c r="U241">
        <v>1.59</v>
      </c>
      <c r="V241">
        <v>38.409999999999997</v>
      </c>
      <c r="W241">
        <v>1.1399999999999999</v>
      </c>
      <c r="X241" s="1">
        <v>43264</v>
      </c>
    </row>
    <row r="242" spans="1:24" x14ac:dyDescent="0.25">
      <c r="A242" t="s">
        <v>252</v>
      </c>
      <c r="B242">
        <v>2018</v>
      </c>
      <c r="C242" s="8" t="s">
        <v>276</v>
      </c>
      <c r="D242">
        <v>8.3000000000000007</v>
      </c>
      <c r="E242">
        <v>7.8</v>
      </c>
      <c r="F242">
        <v>97</v>
      </c>
      <c r="G242">
        <v>1542</v>
      </c>
      <c r="H242">
        <v>1750</v>
      </c>
      <c r="I242">
        <v>6208</v>
      </c>
      <c r="J242">
        <v>96</v>
      </c>
      <c r="K242">
        <v>5.85</v>
      </c>
      <c r="L242">
        <v>7.37</v>
      </c>
      <c r="M242">
        <v>258</v>
      </c>
      <c r="N242">
        <v>86</v>
      </c>
      <c r="O242">
        <v>4.95</v>
      </c>
      <c r="P242">
        <v>26.38</v>
      </c>
      <c r="Q242">
        <v>7.49</v>
      </c>
      <c r="R242">
        <v>27.63</v>
      </c>
      <c r="S242">
        <v>58.81</v>
      </c>
      <c r="T242">
        <v>6.06</v>
      </c>
      <c r="U242">
        <v>1.38</v>
      </c>
      <c r="V242">
        <v>22.65</v>
      </c>
      <c r="W242">
        <v>1.23</v>
      </c>
      <c r="X242" s="1">
        <v>43264</v>
      </c>
    </row>
    <row r="243" spans="1:24" x14ac:dyDescent="0.25">
      <c r="A243" t="s">
        <v>253</v>
      </c>
      <c r="B243">
        <v>2018</v>
      </c>
      <c r="C243" s="8" t="s">
        <v>276</v>
      </c>
      <c r="D243">
        <v>8.1</v>
      </c>
      <c r="E243">
        <v>7.75</v>
      </c>
      <c r="F243">
        <v>171</v>
      </c>
      <c r="G243">
        <v>2051</v>
      </c>
      <c r="H243">
        <v>1979</v>
      </c>
      <c r="I243">
        <v>5967</v>
      </c>
      <c r="J243">
        <v>82</v>
      </c>
      <c r="K243">
        <v>6.61</v>
      </c>
      <c r="L243">
        <v>9.3800000000000008</v>
      </c>
      <c r="M243">
        <v>274</v>
      </c>
      <c r="N243">
        <v>91</v>
      </c>
      <c r="O243">
        <v>5.0599999999999996</v>
      </c>
      <c r="P243">
        <v>27.79</v>
      </c>
      <c r="Q243">
        <v>9.4600000000000009</v>
      </c>
      <c r="R243">
        <v>29.66</v>
      </c>
      <c r="S243">
        <v>53.67</v>
      </c>
      <c r="T243">
        <v>7.19</v>
      </c>
      <c r="U243">
        <v>1.63</v>
      </c>
      <c r="V243">
        <v>49.2</v>
      </c>
      <c r="W243">
        <v>1.07</v>
      </c>
      <c r="X243" s="1">
        <v>43264</v>
      </c>
    </row>
    <row r="244" spans="1:24" x14ac:dyDescent="0.25">
      <c r="A244" t="s">
        <v>254</v>
      </c>
      <c r="B244">
        <v>2018</v>
      </c>
      <c r="C244" s="8" t="s">
        <v>275</v>
      </c>
      <c r="D244">
        <v>7.3</v>
      </c>
      <c r="E244">
        <v>7.8</v>
      </c>
      <c r="F244">
        <v>295</v>
      </c>
      <c r="G244">
        <v>1555</v>
      </c>
      <c r="H244">
        <v>756</v>
      </c>
      <c r="I244">
        <v>3259</v>
      </c>
      <c r="J244">
        <v>70</v>
      </c>
      <c r="K244">
        <v>3.16</v>
      </c>
      <c r="L244">
        <v>10.29</v>
      </c>
      <c r="M244">
        <v>194</v>
      </c>
      <c r="N244">
        <v>107</v>
      </c>
      <c r="O244">
        <v>2.78</v>
      </c>
      <c r="P244">
        <v>14.89</v>
      </c>
      <c r="Q244">
        <v>13.38</v>
      </c>
      <c r="R244">
        <v>21.15</v>
      </c>
      <c r="S244">
        <v>54.71</v>
      </c>
      <c r="T244">
        <v>10.74</v>
      </c>
      <c r="U244">
        <v>0.92</v>
      </c>
      <c r="V244">
        <v>32.79</v>
      </c>
      <c r="W244">
        <v>1.63</v>
      </c>
      <c r="X244" s="1">
        <v>43264</v>
      </c>
    </row>
    <row r="245" spans="1:24" x14ac:dyDescent="0.25">
      <c r="A245" t="s">
        <v>255</v>
      </c>
      <c r="B245">
        <v>2018</v>
      </c>
      <c r="C245" s="8" t="s">
        <v>275</v>
      </c>
      <c r="D245">
        <v>7</v>
      </c>
      <c r="E245">
        <v>7.8</v>
      </c>
      <c r="F245">
        <v>317</v>
      </c>
      <c r="G245">
        <v>1393</v>
      </c>
      <c r="H245">
        <v>677</v>
      </c>
      <c r="I245">
        <v>3323</v>
      </c>
      <c r="J245">
        <v>72</v>
      </c>
      <c r="K245">
        <v>3.01</v>
      </c>
      <c r="L245">
        <v>13.07</v>
      </c>
      <c r="M245">
        <v>191</v>
      </c>
      <c r="N245">
        <v>140</v>
      </c>
      <c r="O245">
        <v>2.72</v>
      </c>
      <c r="P245">
        <v>14.51</v>
      </c>
      <c r="Q245">
        <v>12.3</v>
      </c>
      <c r="R245">
        <v>19.43</v>
      </c>
      <c r="S245">
        <v>57.23</v>
      </c>
      <c r="T245">
        <v>11.02</v>
      </c>
      <c r="U245">
        <v>1.1200000000000001</v>
      </c>
      <c r="V245">
        <v>47.37</v>
      </c>
      <c r="W245">
        <v>1.52</v>
      </c>
      <c r="X245" s="1">
        <v>43264</v>
      </c>
    </row>
    <row r="246" spans="1:24" x14ac:dyDescent="0.25">
      <c r="A246" t="s">
        <v>256</v>
      </c>
      <c r="B246">
        <v>2018</v>
      </c>
      <c r="C246" s="8" t="s">
        <v>275</v>
      </c>
      <c r="D246">
        <v>6.5</v>
      </c>
      <c r="E246">
        <v>7.8</v>
      </c>
      <c r="F246">
        <v>303</v>
      </c>
      <c r="G246">
        <v>1241</v>
      </c>
      <c r="H246">
        <v>612</v>
      </c>
      <c r="I246">
        <v>2766</v>
      </c>
      <c r="J246">
        <v>52</v>
      </c>
      <c r="K246">
        <v>1.94</v>
      </c>
      <c r="L246">
        <v>8.2100000000000009</v>
      </c>
      <c r="M246">
        <v>165</v>
      </c>
      <c r="N246">
        <v>146</v>
      </c>
      <c r="O246">
        <v>2.95</v>
      </c>
      <c r="P246">
        <v>12.65</v>
      </c>
      <c r="Q246">
        <v>12.57</v>
      </c>
      <c r="R246">
        <v>20.14</v>
      </c>
      <c r="S246">
        <v>54.63</v>
      </c>
      <c r="T246">
        <v>12.64</v>
      </c>
      <c r="U246">
        <v>0.79</v>
      </c>
      <c r="V246">
        <v>30.86</v>
      </c>
      <c r="W246">
        <v>1.26</v>
      </c>
      <c r="X246" s="1">
        <v>43264</v>
      </c>
    </row>
    <row r="247" spans="1:24" x14ac:dyDescent="0.25">
      <c r="A247" t="s">
        <v>257</v>
      </c>
      <c r="B247">
        <v>2018</v>
      </c>
      <c r="C247" s="8" t="s">
        <v>275</v>
      </c>
      <c r="D247">
        <v>7</v>
      </c>
      <c r="E247">
        <v>7.8</v>
      </c>
      <c r="F247">
        <v>258</v>
      </c>
      <c r="G247">
        <v>1317</v>
      </c>
      <c r="H247">
        <v>650</v>
      </c>
      <c r="I247">
        <v>3168</v>
      </c>
      <c r="J247">
        <v>56</v>
      </c>
      <c r="K247">
        <v>2.7</v>
      </c>
      <c r="L247">
        <v>9.83</v>
      </c>
      <c r="M247">
        <v>191</v>
      </c>
      <c r="N247">
        <v>126</v>
      </c>
      <c r="O247">
        <v>2.9</v>
      </c>
      <c r="P247">
        <v>13.91</v>
      </c>
      <c r="Q247">
        <v>12.13</v>
      </c>
      <c r="R247">
        <v>19.46</v>
      </c>
      <c r="S247">
        <v>56.9</v>
      </c>
      <c r="T247">
        <v>11.49</v>
      </c>
      <c r="U247">
        <v>0.92</v>
      </c>
      <c r="V247">
        <v>30.65</v>
      </c>
      <c r="W247">
        <v>1.39</v>
      </c>
      <c r="X247" s="1">
        <v>43264</v>
      </c>
    </row>
    <row r="248" spans="1:24" x14ac:dyDescent="0.25">
      <c r="A248" t="s">
        <v>258</v>
      </c>
      <c r="B248">
        <v>2018</v>
      </c>
      <c r="C248" s="8" t="s">
        <v>275</v>
      </c>
      <c r="D248">
        <v>7.8</v>
      </c>
      <c r="E248">
        <v>7.85</v>
      </c>
      <c r="F248">
        <v>158</v>
      </c>
      <c r="G248">
        <v>898</v>
      </c>
      <c r="H248">
        <v>1478</v>
      </c>
      <c r="I248">
        <v>2462</v>
      </c>
      <c r="J248">
        <v>143</v>
      </c>
      <c r="K248">
        <v>5.2</v>
      </c>
      <c r="L248">
        <v>6.54</v>
      </c>
      <c r="M248">
        <v>224</v>
      </c>
      <c r="N248">
        <v>81</v>
      </c>
      <c r="O248">
        <v>3.03</v>
      </c>
      <c r="P248">
        <v>14.66</v>
      </c>
      <c r="Q248">
        <v>7.85</v>
      </c>
      <c r="R248">
        <v>41.99</v>
      </c>
      <c r="S248">
        <v>41.97</v>
      </c>
      <c r="T248">
        <v>8.18</v>
      </c>
      <c r="U248">
        <v>0.72</v>
      </c>
      <c r="V248">
        <v>23.09</v>
      </c>
      <c r="W248">
        <v>1.03</v>
      </c>
      <c r="X248" s="1">
        <v>43264</v>
      </c>
    </row>
    <row r="249" spans="1:24" x14ac:dyDescent="0.25">
      <c r="A249" t="s">
        <v>259</v>
      </c>
      <c r="B249">
        <v>2018</v>
      </c>
      <c r="C249" s="8" t="s">
        <v>275</v>
      </c>
      <c r="D249">
        <v>7.8</v>
      </c>
      <c r="E249">
        <v>7.85</v>
      </c>
      <c r="F249">
        <v>173</v>
      </c>
      <c r="G249">
        <v>902</v>
      </c>
      <c r="H249">
        <v>1413</v>
      </c>
      <c r="I249">
        <v>2495</v>
      </c>
      <c r="J249">
        <v>106</v>
      </c>
      <c r="K249">
        <v>5</v>
      </c>
      <c r="L249">
        <v>8.4</v>
      </c>
      <c r="M249">
        <v>214</v>
      </c>
      <c r="N249">
        <v>79</v>
      </c>
      <c r="O249">
        <v>2.97</v>
      </c>
      <c r="P249">
        <v>14.48</v>
      </c>
      <c r="Q249">
        <v>7.98</v>
      </c>
      <c r="R249">
        <v>40.65</v>
      </c>
      <c r="S249">
        <v>43.07</v>
      </c>
      <c r="T249">
        <v>8.2799999999999994</v>
      </c>
      <c r="U249">
        <v>0.71</v>
      </c>
      <c r="V249">
        <v>22.04</v>
      </c>
      <c r="W249">
        <v>0.76</v>
      </c>
      <c r="X249" s="1">
        <v>43264</v>
      </c>
    </row>
    <row r="250" spans="1:24" x14ac:dyDescent="0.25">
      <c r="A250" t="s">
        <v>260</v>
      </c>
      <c r="B250">
        <v>2018</v>
      </c>
      <c r="C250" s="8" t="s">
        <v>275</v>
      </c>
      <c r="D250">
        <v>8</v>
      </c>
      <c r="E250">
        <v>7.85</v>
      </c>
      <c r="F250">
        <v>231</v>
      </c>
      <c r="G250">
        <v>1079</v>
      </c>
      <c r="H250">
        <v>1593</v>
      </c>
      <c r="I250">
        <v>2841</v>
      </c>
      <c r="J250">
        <v>132</v>
      </c>
      <c r="K250">
        <v>6.16</v>
      </c>
      <c r="L250">
        <v>13.35</v>
      </c>
      <c r="M250">
        <v>199</v>
      </c>
      <c r="N250">
        <v>81</v>
      </c>
      <c r="O250">
        <v>2.91</v>
      </c>
      <c r="P250">
        <v>16.32</v>
      </c>
      <c r="Q250">
        <v>8.4700000000000006</v>
      </c>
      <c r="R250">
        <v>40.659999999999997</v>
      </c>
      <c r="S250">
        <v>43.51</v>
      </c>
      <c r="T250">
        <v>7.35</v>
      </c>
      <c r="U250">
        <v>0.84</v>
      </c>
      <c r="V250">
        <v>42.33</v>
      </c>
      <c r="W250">
        <v>0.96</v>
      </c>
      <c r="X250" s="1">
        <v>43264</v>
      </c>
    </row>
    <row r="251" spans="1:24" x14ac:dyDescent="0.25">
      <c r="A251" t="s">
        <v>261</v>
      </c>
      <c r="B251">
        <v>2018</v>
      </c>
      <c r="C251" s="8" t="s">
        <v>275</v>
      </c>
      <c r="D251">
        <v>7.9</v>
      </c>
      <c r="E251">
        <v>7.85</v>
      </c>
      <c r="F251">
        <v>216</v>
      </c>
      <c r="G251">
        <v>1115</v>
      </c>
      <c r="H251">
        <v>1674</v>
      </c>
      <c r="I251">
        <v>2903</v>
      </c>
      <c r="J251">
        <v>196</v>
      </c>
      <c r="K251">
        <v>6.13</v>
      </c>
      <c r="L251">
        <v>10.83</v>
      </c>
      <c r="M251">
        <v>226</v>
      </c>
      <c r="N251">
        <v>81</v>
      </c>
      <c r="O251">
        <v>3.31</v>
      </c>
      <c r="P251">
        <v>16.86</v>
      </c>
      <c r="Q251">
        <v>8.4700000000000006</v>
      </c>
      <c r="R251">
        <v>41.36</v>
      </c>
      <c r="S251">
        <v>43.04</v>
      </c>
      <c r="T251">
        <v>7.11</v>
      </c>
      <c r="U251">
        <v>0.82</v>
      </c>
      <c r="V251">
        <v>22.96</v>
      </c>
      <c r="W251">
        <v>1.48</v>
      </c>
      <c r="X251" s="1">
        <v>43264</v>
      </c>
    </row>
    <row r="252" spans="1:24" x14ac:dyDescent="0.25">
      <c r="A252" t="s">
        <v>172</v>
      </c>
      <c r="B252">
        <v>2018</v>
      </c>
      <c r="C252" s="8" t="s">
        <v>276</v>
      </c>
      <c r="D252">
        <v>7.6</v>
      </c>
      <c r="E252">
        <v>7.85</v>
      </c>
      <c r="F252">
        <v>116</v>
      </c>
      <c r="G252">
        <v>941</v>
      </c>
      <c r="H252">
        <v>726</v>
      </c>
      <c r="I252">
        <v>3149</v>
      </c>
      <c r="J252">
        <v>9</v>
      </c>
      <c r="K252">
        <v>1.54</v>
      </c>
      <c r="L252">
        <v>1.67</v>
      </c>
      <c r="M252">
        <v>205</v>
      </c>
      <c r="N252">
        <v>97</v>
      </c>
      <c r="O252">
        <v>3.09</v>
      </c>
      <c r="P252">
        <v>13.3</v>
      </c>
      <c r="Q252">
        <v>9.06</v>
      </c>
      <c r="R252">
        <v>22.73</v>
      </c>
      <c r="S252">
        <v>59.17</v>
      </c>
      <c r="T252">
        <v>9.01</v>
      </c>
      <c r="U252">
        <v>0.71</v>
      </c>
      <c r="V252">
        <v>4.25</v>
      </c>
      <c r="W252">
        <v>3.01</v>
      </c>
      <c r="X252" s="1">
        <v>43313</v>
      </c>
    </row>
    <row r="253" spans="1:24" x14ac:dyDescent="0.25">
      <c r="A253" t="s">
        <v>173</v>
      </c>
      <c r="B253">
        <v>2018</v>
      </c>
      <c r="C253" s="8" t="s">
        <v>276</v>
      </c>
      <c r="D253">
        <v>6.9</v>
      </c>
      <c r="E253">
        <v>7.75</v>
      </c>
      <c r="F253">
        <v>144</v>
      </c>
      <c r="G253">
        <v>1045</v>
      </c>
      <c r="H253">
        <v>733</v>
      </c>
      <c r="I253">
        <v>3285</v>
      </c>
      <c r="J253">
        <v>9</v>
      </c>
      <c r="K253">
        <v>1.57</v>
      </c>
      <c r="L253">
        <v>1.9</v>
      </c>
      <c r="M253">
        <v>212</v>
      </c>
      <c r="N253">
        <v>96</v>
      </c>
      <c r="O253">
        <v>3.16</v>
      </c>
      <c r="P253">
        <v>14.6</v>
      </c>
      <c r="Q253">
        <v>9.17</v>
      </c>
      <c r="R253">
        <v>20.9</v>
      </c>
      <c r="S253">
        <v>56.22</v>
      </c>
      <c r="T253">
        <v>13.69</v>
      </c>
      <c r="U253">
        <v>0.78</v>
      </c>
      <c r="V253">
        <v>1.2</v>
      </c>
      <c r="W253">
        <v>3.32</v>
      </c>
      <c r="X253" s="1">
        <v>43313</v>
      </c>
    </row>
    <row r="254" spans="1:24" x14ac:dyDescent="0.25">
      <c r="A254" t="s">
        <v>174</v>
      </c>
      <c r="B254">
        <v>2018</v>
      </c>
      <c r="C254" s="8" t="s">
        <v>276</v>
      </c>
      <c r="D254">
        <v>7.6</v>
      </c>
      <c r="E254">
        <v>7.75</v>
      </c>
      <c r="F254">
        <v>129</v>
      </c>
      <c r="G254">
        <v>996</v>
      </c>
      <c r="H254">
        <v>726</v>
      </c>
      <c r="I254">
        <v>3321</v>
      </c>
      <c r="J254">
        <v>9</v>
      </c>
      <c r="K254">
        <v>1.39</v>
      </c>
      <c r="L254">
        <v>1.8</v>
      </c>
      <c r="M254">
        <v>204</v>
      </c>
      <c r="N254">
        <v>94</v>
      </c>
      <c r="O254">
        <v>3.2</v>
      </c>
      <c r="P254">
        <v>14.6</v>
      </c>
      <c r="Q254">
        <v>8.74</v>
      </c>
      <c r="R254">
        <v>20.71</v>
      </c>
      <c r="S254">
        <v>56.84</v>
      </c>
      <c r="T254">
        <v>13.69</v>
      </c>
      <c r="U254">
        <v>0.76</v>
      </c>
      <c r="V254">
        <v>9.02</v>
      </c>
      <c r="W254">
        <v>2.77</v>
      </c>
      <c r="X254" s="1">
        <v>43313</v>
      </c>
    </row>
    <row r="255" spans="1:24" x14ac:dyDescent="0.25">
      <c r="A255" t="s">
        <v>176</v>
      </c>
      <c r="B255">
        <v>2018</v>
      </c>
      <c r="C255" s="8" t="s">
        <v>279</v>
      </c>
      <c r="D255">
        <v>7.3</v>
      </c>
      <c r="E255">
        <v>7.8</v>
      </c>
      <c r="F255">
        <v>72</v>
      </c>
      <c r="G255">
        <v>864</v>
      </c>
      <c r="H255">
        <v>443</v>
      </c>
      <c r="I255">
        <v>2109</v>
      </c>
      <c r="J255">
        <v>13</v>
      </c>
      <c r="K255">
        <v>1.17</v>
      </c>
      <c r="L255">
        <v>1.73</v>
      </c>
      <c r="M255">
        <v>110</v>
      </c>
      <c r="N255">
        <v>90</v>
      </c>
      <c r="O255">
        <v>1.87</v>
      </c>
      <c r="P255">
        <v>9.82</v>
      </c>
      <c r="Q255">
        <v>11.27</v>
      </c>
      <c r="R255">
        <v>18.78</v>
      </c>
      <c r="S255">
        <v>53.65</v>
      </c>
      <c r="T255">
        <v>16.28</v>
      </c>
      <c r="U255">
        <v>0.59</v>
      </c>
      <c r="V255">
        <v>9.94</v>
      </c>
      <c r="W255">
        <v>3.06</v>
      </c>
      <c r="X255" s="1">
        <v>43313</v>
      </c>
    </row>
    <row r="256" spans="1:24" x14ac:dyDescent="0.25">
      <c r="A256" t="s">
        <v>177</v>
      </c>
      <c r="B256">
        <v>2018</v>
      </c>
      <c r="C256" s="8" t="s">
        <v>279</v>
      </c>
      <c r="D256">
        <v>7.3</v>
      </c>
      <c r="E256">
        <v>7.8</v>
      </c>
      <c r="F256">
        <v>90</v>
      </c>
      <c r="G256">
        <v>1287</v>
      </c>
      <c r="H256">
        <v>661</v>
      </c>
      <c r="I256">
        <v>2738</v>
      </c>
      <c r="J256">
        <v>17</v>
      </c>
      <c r="K256">
        <v>1.5</v>
      </c>
      <c r="L256">
        <v>1.93</v>
      </c>
      <c r="M256">
        <v>156</v>
      </c>
      <c r="N256">
        <v>106</v>
      </c>
      <c r="O256">
        <v>2.6</v>
      </c>
      <c r="P256">
        <v>12.84</v>
      </c>
      <c r="Q256">
        <v>12.84</v>
      </c>
      <c r="R256">
        <v>21.43</v>
      </c>
      <c r="S256">
        <v>53.27</v>
      </c>
      <c r="T256">
        <v>12.45</v>
      </c>
      <c r="U256">
        <v>0.87</v>
      </c>
      <c r="V256">
        <v>20.96</v>
      </c>
      <c r="W256">
        <v>3.05</v>
      </c>
      <c r="X256" s="1">
        <v>43313</v>
      </c>
    </row>
    <row r="257" spans="1:24" x14ac:dyDescent="0.25">
      <c r="A257" t="s">
        <v>178</v>
      </c>
      <c r="B257">
        <v>2018</v>
      </c>
      <c r="C257" s="8" t="s">
        <v>279</v>
      </c>
      <c r="D257">
        <v>7.6</v>
      </c>
      <c r="E257">
        <v>7.75</v>
      </c>
      <c r="F257">
        <v>113</v>
      </c>
      <c r="G257">
        <v>1177</v>
      </c>
      <c r="H257">
        <v>661</v>
      </c>
      <c r="I257">
        <v>2962</v>
      </c>
      <c r="J257">
        <v>15</v>
      </c>
      <c r="K257">
        <v>1.75</v>
      </c>
      <c r="L257">
        <v>2.5499999999999998</v>
      </c>
      <c r="M257">
        <v>148</v>
      </c>
      <c r="N257">
        <v>101</v>
      </c>
      <c r="O257">
        <v>2.5299999999999998</v>
      </c>
      <c r="P257">
        <v>13.66</v>
      </c>
      <c r="Q257">
        <v>11.04</v>
      </c>
      <c r="R257">
        <v>20.149999999999999</v>
      </c>
      <c r="S257">
        <v>54.17</v>
      </c>
      <c r="T257">
        <v>14.63</v>
      </c>
      <c r="U257">
        <v>0.91</v>
      </c>
      <c r="V257">
        <v>11.82</v>
      </c>
      <c r="W257">
        <v>2.74</v>
      </c>
      <c r="X257" s="1">
        <v>43313</v>
      </c>
    </row>
    <row r="258" spans="1:24" x14ac:dyDescent="0.25">
      <c r="A258" t="s">
        <v>179</v>
      </c>
      <c r="B258">
        <v>2018</v>
      </c>
      <c r="C258" s="8" t="s">
        <v>279</v>
      </c>
      <c r="D258">
        <v>7.9</v>
      </c>
      <c r="E258">
        <v>7.7</v>
      </c>
      <c r="F258">
        <v>102</v>
      </c>
      <c r="G258">
        <v>1162</v>
      </c>
      <c r="H258">
        <v>677</v>
      </c>
      <c r="I258">
        <v>3130</v>
      </c>
      <c r="J258">
        <v>13</v>
      </c>
      <c r="K258">
        <v>1.93</v>
      </c>
      <c r="L258">
        <v>2.48</v>
      </c>
      <c r="M258">
        <v>164</v>
      </c>
      <c r="N258">
        <v>102</v>
      </c>
      <c r="O258">
        <v>2.8</v>
      </c>
      <c r="P258">
        <v>14.53</v>
      </c>
      <c r="Q258">
        <v>10.24</v>
      </c>
      <c r="R258">
        <v>19.399999999999999</v>
      </c>
      <c r="S258">
        <v>53.83</v>
      </c>
      <c r="T258">
        <v>16.510000000000002</v>
      </c>
      <c r="U258">
        <v>0.8</v>
      </c>
      <c r="V258">
        <v>3.6</v>
      </c>
      <c r="W258">
        <v>2.74</v>
      </c>
      <c r="X258" s="1">
        <v>43313</v>
      </c>
    </row>
    <row r="259" spans="1:24" x14ac:dyDescent="0.25">
      <c r="A259" t="s">
        <v>180</v>
      </c>
      <c r="B259">
        <v>2018</v>
      </c>
      <c r="C259" s="8" t="s">
        <v>278</v>
      </c>
      <c r="D259">
        <v>6.9</v>
      </c>
      <c r="E259">
        <v>7.8</v>
      </c>
      <c r="F259">
        <v>27</v>
      </c>
      <c r="G259">
        <v>840</v>
      </c>
      <c r="H259">
        <v>369</v>
      </c>
      <c r="I259">
        <v>2204</v>
      </c>
      <c r="J259">
        <v>17</v>
      </c>
      <c r="K259">
        <v>0.95</v>
      </c>
      <c r="L259">
        <v>1.62</v>
      </c>
      <c r="M259">
        <v>151</v>
      </c>
      <c r="N259">
        <v>92</v>
      </c>
      <c r="O259">
        <v>2.17</v>
      </c>
      <c r="P259">
        <v>9.7200000000000006</v>
      </c>
      <c r="Q259">
        <v>11.07</v>
      </c>
      <c r="R259">
        <v>15.81</v>
      </c>
      <c r="S259">
        <v>56.66</v>
      </c>
      <c r="T259">
        <v>16.45</v>
      </c>
      <c r="U259">
        <v>0.59</v>
      </c>
      <c r="V259">
        <v>10.73</v>
      </c>
      <c r="W259">
        <v>4.99</v>
      </c>
      <c r="X259" s="1">
        <v>43313</v>
      </c>
    </row>
    <row r="260" spans="1:24" x14ac:dyDescent="0.25">
      <c r="A260" t="s">
        <v>181</v>
      </c>
      <c r="B260">
        <v>2018</v>
      </c>
      <c r="C260" s="8" t="s">
        <v>278</v>
      </c>
      <c r="D260">
        <v>7.1</v>
      </c>
      <c r="E260">
        <v>7.8</v>
      </c>
      <c r="F260">
        <v>37</v>
      </c>
      <c r="G260">
        <v>852</v>
      </c>
      <c r="H260">
        <v>385</v>
      </c>
      <c r="I260">
        <v>2288</v>
      </c>
      <c r="J260">
        <v>14</v>
      </c>
      <c r="K260">
        <v>1.1000000000000001</v>
      </c>
      <c r="L260">
        <v>1.38</v>
      </c>
      <c r="M260">
        <v>160</v>
      </c>
      <c r="N260">
        <v>99</v>
      </c>
      <c r="O260">
        <v>2.4300000000000002</v>
      </c>
      <c r="P260">
        <v>10.01</v>
      </c>
      <c r="Q260">
        <v>10.9</v>
      </c>
      <c r="R260">
        <v>16.010000000000002</v>
      </c>
      <c r="S260">
        <v>57.1</v>
      </c>
      <c r="T260">
        <v>15.97</v>
      </c>
      <c r="U260">
        <v>0.67</v>
      </c>
      <c r="V260">
        <v>8.06</v>
      </c>
      <c r="W260">
        <v>3.57</v>
      </c>
      <c r="X260" s="1">
        <v>43313</v>
      </c>
    </row>
    <row r="261" spans="1:24" x14ac:dyDescent="0.25">
      <c r="A261" t="s">
        <v>182</v>
      </c>
      <c r="B261">
        <v>2018</v>
      </c>
      <c r="C261" s="8" t="s">
        <v>278</v>
      </c>
      <c r="D261">
        <v>7</v>
      </c>
      <c r="E261">
        <v>7.65</v>
      </c>
      <c r="F261">
        <v>43</v>
      </c>
      <c r="G261">
        <v>891</v>
      </c>
      <c r="H261">
        <v>362</v>
      </c>
      <c r="I261">
        <v>2070</v>
      </c>
      <c r="J261">
        <v>15</v>
      </c>
      <c r="K261">
        <v>1.1000000000000001</v>
      </c>
      <c r="L261">
        <v>1.44</v>
      </c>
      <c r="M261">
        <v>148</v>
      </c>
      <c r="N261">
        <v>101</v>
      </c>
      <c r="O261">
        <v>2.25</v>
      </c>
      <c r="P261">
        <v>10.62</v>
      </c>
      <c r="Q261">
        <v>10.75</v>
      </c>
      <c r="R261">
        <v>14.19</v>
      </c>
      <c r="S261">
        <v>48.7</v>
      </c>
      <c r="T261">
        <v>26.35</v>
      </c>
      <c r="U261">
        <v>0.61</v>
      </c>
      <c r="V261">
        <v>8.5</v>
      </c>
      <c r="W261">
        <v>3.51</v>
      </c>
      <c r="X261" s="1">
        <v>43313</v>
      </c>
    </row>
    <row r="262" spans="1:24" x14ac:dyDescent="0.25">
      <c r="A262" t="s">
        <v>183</v>
      </c>
      <c r="B262">
        <v>2018</v>
      </c>
      <c r="C262" s="8" t="s">
        <v>278</v>
      </c>
      <c r="D262">
        <v>8</v>
      </c>
      <c r="E262">
        <v>7.8</v>
      </c>
      <c r="F262">
        <v>107</v>
      </c>
      <c r="G262">
        <v>853</v>
      </c>
      <c r="H262">
        <v>336</v>
      </c>
      <c r="I262">
        <v>1918</v>
      </c>
      <c r="J262">
        <v>12</v>
      </c>
      <c r="K262">
        <v>1.23</v>
      </c>
      <c r="L262">
        <v>1.76</v>
      </c>
      <c r="M262">
        <v>113</v>
      </c>
      <c r="N262">
        <v>93</v>
      </c>
      <c r="O262">
        <v>1.74</v>
      </c>
      <c r="P262">
        <v>8.8800000000000008</v>
      </c>
      <c r="Q262">
        <v>12.3</v>
      </c>
      <c r="R262">
        <v>15.75</v>
      </c>
      <c r="S262">
        <v>53.94</v>
      </c>
      <c r="T262">
        <v>18</v>
      </c>
      <c r="U262">
        <v>0.46</v>
      </c>
      <c r="V262">
        <v>13.53</v>
      </c>
      <c r="W262">
        <v>3.75</v>
      </c>
      <c r="X262" s="1">
        <v>43313</v>
      </c>
    </row>
    <row r="263" spans="1:24" x14ac:dyDescent="0.25">
      <c r="A263" t="s">
        <v>184</v>
      </c>
      <c r="B263">
        <v>2018</v>
      </c>
      <c r="C263" s="8" t="s">
        <v>275</v>
      </c>
      <c r="D263">
        <v>7.5</v>
      </c>
      <c r="E263">
        <v>7.6</v>
      </c>
      <c r="F263">
        <v>315</v>
      </c>
      <c r="G263">
        <v>1552</v>
      </c>
      <c r="H263">
        <v>2203</v>
      </c>
      <c r="I263">
        <v>5775</v>
      </c>
      <c r="J263">
        <v>67</v>
      </c>
      <c r="K263">
        <v>5.01</v>
      </c>
      <c r="L263">
        <v>20.29</v>
      </c>
      <c r="M263">
        <v>320</v>
      </c>
      <c r="N263">
        <v>85</v>
      </c>
      <c r="O263">
        <v>5.99</v>
      </c>
      <c r="P263">
        <v>28.8</v>
      </c>
      <c r="Q263">
        <v>6.9</v>
      </c>
      <c r="R263">
        <v>31.86</v>
      </c>
      <c r="S263">
        <v>50.11</v>
      </c>
      <c r="T263">
        <v>11.1</v>
      </c>
      <c r="U263">
        <v>2.4</v>
      </c>
      <c r="V263">
        <v>63.64</v>
      </c>
      <c r="W263">
        <v>2.85</v>
      </c>
      <c r="X263" s="1">
        <v>43313</v>
      </c>
    </row>
    <row r="264" spans="1:24" x14ac:dyDescent="0.25">
      <c r="A264" t="s">
        <v>185</v>
      </c>
      <c r="B264">
        <v>2018</v>
      </c>
      <c r="C264" s="8" t="s">
        <v>275</v>
      </c>
      <c r="D264">
        <v>7.5</v>
      </c>
      <c r="E264">
        <v>7.7</v>
      </c>
      <c r="F264">
        <v>75</v>
      </c>
      <c r="G264">
        <v>1139</v>
      </c>
      <c r="H264">
        <v>2032</v>
      </c>
      <c r="I264">
        <v>5387</v>
      </c>
      <c r="J264">
        <v>23</v>
      </c>
      <c r="K264">
        <v>4.28</v>
      </c>
      <c r="L264">
        <v>9.11</v>
      </c>
      <c r="M264">
        <v>341</v>
      </c>
      <c r="N264">
        <v>85</v>
      </c>
      <c r="O264">
        <v>5.97</v>
      </c>
      <c r="P264">
        <v>25.79</v>
      </c>
      <c r="Q264">
        <v>5.66</v>
      </c>
      <c r="R264">
        <v>32.82</v>
      </c>
      <c r="S264">
        <v>52.21</v>
      </c>
      <c r="T264">
        <v>9.3000000000000007</v>
      </c>
      <c r="U264">
        <v>1.86</v>
      </c>
      <c r="V264">
        <v>7.49</v>
      </c>
      <c r="W264">
        <v>3.4</v>
      </c>
      <c r="X264" s="1">
        <v>43313</v>
      </c>
    </row>
    <row r="265" spans="1:24" x14ac:dyDescent="0.25">
      <c r="A265" t="s">
        <v>186</v>
      </c>
      <c r="B265">
        <v>2018</v>
      </c>
      <c r="C265" s="8" t="s">
        <v>275</v>
      </c>
      <c r="D265">
        <v>7.6</v>
      </c>
      <c r="E265">
        <v>7.7</v>
      </c>
      <c r="F265">
        <v>215</v>
      </c>
      <c r="G265">
        <v>1909</v>
      </c>
      <c r="H265">
        <v>2085</v>
      </c>
      <c r="I265">
        <v>5384</v>
      </c>
      <c r="J265">
        <v>41</v>
      </c>
      <c r="K265">
        <v>4.76</v>
      </c>
      <c r="L265">
        <v>19.66</v>
      </c>
      <c r="M265">
        <v>325</v>
      </c>
      <c r="N265">
        <v>88</v>
      </c>
      <c r="O265">
        <v>6.11</v>
      </c>
      <c r="P265">
        <v>26.99</v>
      </c>
      <c r="Q265">
        <v>9.06</v>
      </c>
      <c r="R265">
        <v>32.18</v>
      </c>
      <c r="S265">
        <v>49.86</v>
      </c>
      <c r="T265">
        <v>8.89</v>
      </c>
      <c r="U265">
        <v>2.76</v>
      </c>
      <c r="V265">
        <v>24.8</v>
      </c>
      <c r="W265">
        <v>3.18</v>
      </c>
      <c r="X265" s="1">
        <v>43313</v>
      </c>
    </row>
    <row r="266" spans="1:24" x14ac:dyDescent="0.25">
      <c r="A266" t="s">
        <v>187</v>
      </c>
      <c r="B266">
        <v>2018</v>
      </c>
      <c r="C266" s="8" t="s">
        <v>275</v>
      </c>
      <c r="D266">
        <v>7.2</v>
      </c>
      <c r="E266">
        <v>7.65</v>
      </c>
      <c r="F266">
        <v>360</v>
      </c>
      <c r="G266">
        <v>1916</v>
      </c>
      <c r="H266">
        <v>2298</v>
      </c>
      <c r="I266">
        <v>6004</v>
      </c>
      <c r="J266">
        <v>35</v>
      </c>
      <c r="K266">
        <v>4.84</v>
      </c>
      <c r="L266">
        <v>23.1</v>
      </c>
      <c r="M266">
        <v>344</v>
      </c>
      <c r="N266">
        <v>87</v>
      </c>
      <c r="O266">
        <v>6.31</v>
      </c>
      <c r="P266">
        <v>29.84</v>
      </c>
      <c r="Q266">
        <v>8.23</v>
      </c>
      <c r="R266">
        <v>32.08</v>
      </c>
      <c r="S266">
        <v>50.29</v>
      </c>
      <c r="T266">
        <v>9.3800000000000008</v>
      </c>
      <c r="U266">
        <v>2.57</v>
      </c>
      <c r="V266">
        <v>11.66</v>
      </c>
      <c r="W266">
        <v>3.29</v>
      </c>
      <c r="X266" s="1">
        <v>43313</v>
      </c>
    </row>
    <row r="267" spans="1:24" x14ac:dyDescent="0.25">
      <c r="A267" t="s">
        <v>188</v>
      </c>
      <c r="B267">
        <v>2018</v>
      </c>
      <c r="C267" s="8" t="s">
        <v>275</v>
      </c>
      <c r="D267">
        <v>7.8</v>
      </c>
      <c r="E267">
        <v>7.7</v>
      </c>
      <c r="F267">
        <v>280</v>
      </c>
      <c r="G267">
        <v>2024</v>
      </c>
      <c r="H267">
        <v>1988</v>
      </c>
      <c r="I267">
        <v>6350</v>
      </c>
      <c r="J267">
        <v>64</v>
      </c>
      <c r="K267">
        <v>5.0199999999999996</v>
      </c>
      <c r="L267">
        <v>17.86</v>
      </c>
      <c r="M267">
        <v>427</v>
      </c>
      <c r="N267">
        <v>82</v>
      </c>
      <c r="O267">
        <v>7.38</v>
      </c>
      <c r="P267">
        <v>29.15</v>
      </c>
      <c r="Q267">
        <v>8.9</v>
      </c>
      <c r="R267">
        <v>28.41</v>
      </c>
      <c r="S267">
        <v>54.45</v>
      </c>
      <c r="T267">
        <v>8.23</v>
      </c>
      <c r="U267">
        <v>2.89</v>
      </c>
      <c r="V267">
        <v>53.61</v>
      </c>
      <c r="W267">
        <v>3.26</v>
      </c>
      <c r="X267" s="1">
        <v>43313</v>
      </c>
    </row>
    <row r="268" spans="1:24" x14ac:dyDescent="0.25">
      <c r="A268" t="s">
        <v>189</v>
      </c>
      <c r="B268">
        <v>2018</v>
      </c>
      <c r="C268" s="8" t="s">
        <v>275</v>
      </c>
      <c r="D268">
        <v>7.7</v>
      </c>
      <c r="E268">
        <v>7.65</v>
      </c>
      <c r="F268">
        <v>261</v>
      </c>
      <c r="G268">
        <v>2025</v>
      </c>
      <c r="H268">
        <v>2326</v>
      </c>
      <c r="I268">
        <v>7089</v>
      </c>
      <c r="J268">
        <v>64</v>
      </c>
      <c r="K268">
        <v>5.12</v>
      </c>
      <c r="L268">
        <v>17.260000000000002</v>
      </c>
      <c r="M268">
        <v>440</v>
      </c>
      <c r="N268">
        <v>94</v>
      </c>
      <c r="O268">
        <v>7.6</v>
      </c>
      <c r="P268">
        <v>32.81</v>
      </c>
      <c r="Q268">
        <v>7.91</v>
      </c>
      <c r="R268">
        <v>29.53</v>
      </c>
      <c r="S268">
        <v>54.01</v>
      </c>
      <c r="T268">
        <v>8.5299999999999994</v>
      </c>
      <c r="U268">
        <v>2.58</v>
      </c>
      <c r="V268">
        <v>61.42</v>
      </c>
      <c r="W268">
        <v>2.87</v>
      </c>
      <c r="X268" s="1">
        <v>43313</v>
      </c>
    </row>
    <row r="269" spans="1:24" x14ac:dyDescent="0.25">
      <c r="A269" t="s">
        <v>190</v>
      </c>
      <c r="B269">
        <v>2018</v>
      </c>
      <c r="C269" s="8" t="s">
        <v>275</v>
      </c>
      <c r="D269">
        <v>7.7</v>
      </c>
      <c r="E269">
        <v>7.7</v>
      </c>
      <c r="F269">
        <v>217</v>
      </c>
      <c r="G269">
        <v>1879</v>
      </c>
      <c r="H269">
        <v>1855</v>
      </c>
      <c r="I269">
        <v>5234</v>
      </c>
      <c r="J269">
        <v>32</v>
      </c>
      <c r="K269">
        <v>3.92</v>
      </c>
      <c r="L269">
        <v>14.84</v>
      </c>
      <c r="M269">
        <v>425</v>
      </c>
      <c r="N269">
        <v>97</v>
      </c>
      <c r="O269">
        <v>6.67</v>
      </c>
      <c r="P269">
        <v>25.62</v>
      </c>
      <c r="Q269">
        <v>9.4</v>
      </c>
      <c r="R269">
        <v>30.16</v>
      </c>
      <c r="S269">
        <v>51.06</v>
      </c>
      <c r="T269">
        <v>9.36</v>
      </c>
      <c r="U269">
        <v>2.57</v>
      </c>
      <c r="V269">
        <v>17.809999999999999</v>
      </c>
      <c r="W269">
        <v>3.26</v>
      </c>
      <c r="X269" s="1">
        <v>43313</v>
      </c>
    </row>
    <row r="270" spans="1:24" x14ac:dyDescent="0.25">
      <c r="A270" t="s">
        <v>191</v>
      </c>
      <c r="B270">
        <v>2018</v>
      </c>
      <c r="C270" s="8" t="s">
        <v>275</v>
      </c>
      <c r="D270">
        <v>7.9</v>
      </c>
      <c r="E270">
        <v>7.7</v>
      </c>
      <c r="F270">
        <v>178</v>
      </c>
      <c r="G270">
        <v>1777</v>
      </c>
      <c r="H270">
        <v>1862</v>
      </c>
      <c r="I270">
        <v>5673</v>
      </c>
      <c r="J270">
        <v>25</v>
      </c>
      <c r="K270">
        <v>4.2</v>
      </c>
      <c r="L270">
        <v>13.29</v>
      </c>
      <c r="M270">
        <v>436</v>
      </c>
      <c r="N270">
        <v>93</v>
      </c>
      <c r="O270">
        <v>6.64</v>
      </c>
      <c r="P270">
        <v>26.61</v>
      </c>
      <c r="Q270">
        <v>8.5500000000000007</v>
      </c>
      <c r="R270">
        <v>29.14</v>
      </c>
      <c r="S270">
        <v>53.27</v>
      </c>
      <c r="T270">
        <v>9.01</v>
      </c>
      <c r="U270">
        <v>2.5299999999999998</v>
      </c>
      <c r="V270">
        <v>10.44</v>
      </c>
      <c r="W270">
        <v>3.17</v>
      </c>
      <c r="X270" s="1">
        <v>43313</v>
      </c>
    </row>
    <row r="271" spans="1:24" x14ac:dyDescent="0.25">
      <c r="A271" t="s">
        <v>192</v>
      </c>
      <c r="B271">
        <v>2018</v>
      </c>
      <c r="C271" s="8" t="s">
        <v>275</v>
      </c>
      <c r="D271">
        <v>6.7</v>
      </c>
      <c r="E271">
        <v>7.55</v>
      </c>
      <c r="F271">
        <v>78</v>
      </c>
      <c r="G271">
        <v>1441</v>
      </c>
      <c r="H271">
        <v>1631</v>
      </c>
      <c r="I271">
        <v>4971</v>
      </c>
      <c r="J271">
        <v>30</v>
      </c>
      <c r="K271">
        <v>2.08</v>
      </c>
      <c r="L271">
        <v>5.72</v>
      </c>
      <c r="M271">
        <v>402</v>
      </c>
      <c r="N271">
        <v>97</v>
      </c>
      <c r="O271">
        <v>5.05</v>
      </c>
      <c r="P271">
        <v>24.67</v>
      </c>
      <c r="Q271">
        <v>7.48</v>
      </c>
      <c r="R271">
        <v>27.54</v>
      </c>
      <c r="S271">
        <v>50.37</v>
      </c>
      <c r="T271">
        <v>14.59</v>
      </c>
      <c r="U271">
        <v>2</v>
      </c>
      <c r="V271">
        <v>42.89</v>
      </c>
      <c r="W271">
        <v>3.2</v>
      </c>
      <c r="X271" s="1">
        <v>43313</v>
      </c>
    </row>
    <row r="272" spans="1:24" x14ac:dyDescent="0.25">
      <c r="A272" t="s">
        <v>193</v>
      </c>
      <c r="B272">
        <v>2018</v>
      </c>
      <c r="C272" s="8" t="s">
        <v>275</v>
      </c>
      <c r="D272">
        <v>7.7</v>
      </c>
      <c r="E272">
        <v>7.7</v>
      </c>
      <c r="F272">
        <v>59</v>
      </c>
      <c r="G272">
        <v>1797</v>
      </c>
      <c r="H272">
        <v>1987</v>
      </c>
      <c r="I272">
        <v>4879</v>
      </c>
      <c r="J272">
        <v>30</v>
      </c>
      <c r="K272">
        <v>2.97</v>
      </c>
      <c r="L272">
        <v>6.34</v>
      </c>
      <c r="M272">
        <v>419</v>
      </c>
      <c r="N272">
        <v>100</v>
      </c>
      <c r="O272">
        <v>5.47</v>
      </c>
      <c r="P272">
        <v>25.18</v>
      </c>
      <c r="Q272">
        <v>9.14</v>
      </c>
      <c r="R272">
        <v>32.869999999999997</v>
      </c>
      <c r="S272">
        <v>48.44</v>
      </c>
      <c r="T272">
        <v>9.5299999999999994</v>
      </c>
      <c r="U272">
        <v>1.93</v>
      </c>
      <c r="V272">
        <v>10.65</v>
      </c>
      <c r="W272">
        <v>3.1</v>
      </c>
      <c r="X272" s="1">
        <v>43313</v>
      </c>
    </row>
    <row r="273" spans="1:24" x14ac:dyDescent="0.25">
      <c r="A273" t="s">
        <v>194</v>
      </c>
      <c r="B273">
        <v>2018</v>
      </c>
      <c r="C273" s="8" t="s">
        <v>275</v>
      </c>
      <c r="D273">
        <v>7.5</v>
      </c>
      <c r="E273">
        <v>7.7</v>
      </c>
      <c r="F273">
        <v>91</v>
      </c>
      <c r="G273">
        <v>1598</v>
      </c>
      <c r="H273">
        <v>1987</v>
      </c>
      <c r="I273">
        <v>4856</v>
      </c>
      <c r="J273">
        <v>32</v>
      </c>
      <c r="K273">
        <v>3.05</v>
      </c>
      <c r="L273">
        <v>7.51</v>
      </c>
      <c r="M273">
        <v>410</v>
      </c>
      <c r="N273">
        <v>92</v>
      </c>
      <c r="O273">
        <v>5.18</v>
      </c>
      <c r="P273">
        <v>24.86</v>
      </c>
      <c r="Q273">
        <v>8.23</v>
      </c>
      <c r="R273">
        <v>33.29</v>
      </c>
      <c r="S273">
        <v>48.81</v>
      </c>
      <c r="T273">
        <v>9.65</v>
      </c>
      <c r="U273">
        <v>1.93</v>
      </c>
      <c r="V273">
        <v>14.16</v>
      </c>
      <c r="W273">
        <v>3.4</v>
      </c>
      <c r="X273" s="1">
        <v>43313</v>
      </c>
    </row>
    <row r="274" spans="1:24" x14ac:dyDescent="0.25">
      <c r="A274" t="s">
        <v>195</v>
      </c>
      <c r="B274">
        <v>2018</v>
      </c>
      <c r="C274" s="8" t="s">
        <v>275</v>
      </c>
      <c r="D274">
        <v>7.2</v>
      </c>
      <c r="E274">
        <v>7.65</v>
      </c>
      <c r="F274">
        <v>277</v>
      </c>
      <c r="G274">
        <v>1571</v>
      </c>
      <c r="H274">
        <v>1909</v>
      </c>
      <c r="I274">
        <v>5426</v>
      </c>
      <c r="J274">
        <v>62</v>
      </c>
      <c r="K274">
        <v>2.64</v>
      </c>
      <c r="L274">
        <v>10.98</v>
      </c>
      <c r="M274">
        <v>416</v>
      </c>
      <c r="N274">
        <v>95</v>
      </c>
      <c r="O274">
        <v>4.7</v>
      </c>
      <c r="P274">
        <v>26.33</v>
      </c>
      <c r="Q274">
        <v>7.64</v>
      </c>
      <c r="R274">
        <v>30.2</v>
      </c>
      <c r="S274">
        <v>51.51</v>
      </c>
      <c r="T274">
        <v>10.63</v>
      </c>
      <c r="U274">
        <v>2.04</v>
      </c>
      <c r="V274">
        <v>139.27000000000001</v>
      </c>
      <c r="W274">
        <v>2.85</v>
      </c>
      <c r="X274" s="1">
        <v>43313</v>
      </c>
    </row>
    <row r="275" spans="1:24" x14ac:dyDescent="0.25">
      <c r="A275" t="s">
        <v>230</v>
      </c>
      <c r="B275">
        <v>2018</v>
      </c>
      <c r="C275" s="8" t="s">
        <v>275</v>
      </c>
      <c r="D275">
        <v>6.7</v>
      </c>
      <c r="E275">
        <v>7.6</v>
      </c>
      <c r="F275">
        <v>231</v>
      </c>
      <c r="G275">
        <v>1566</v>
      </c>
      <c r="H275">
        <v>1360</v>
      </c>
      <c r="I275">
        <v>4879</v>
      </c>
      <c r="J275">
        <v>20</v>
      </c>
      <c r="K275">
        <v>2.23</v>
      </c>
      <c r="L275">
        <v>7.54</v>
      </c>
      <c r="M275">
        <v>426</v>
      </c>
      <c r="N275">
        <v>127</v>
      </c>
      <c r="O275">
        <v>6.41</v>
      </c>
      <c r="P275">
        <v>23.07</v>
      </c>
      <c r="Q275">
        <v>8.6999999999999993</v>
      </c>
      <c r="R275">
        <v>24.56</v>
      </c>
      <c r="S275">
        <v>52.86</v>
      </c>
      <c r="T275">
        <v>13.86</v>
      </c>
      <c r="U275">
        <v>1.74</v>
      </c>
      <c r="V275">
        <v>15.53</v>
      </c>
      <c r="W275">
        <v>2.85</v>
      </c>
      <c r="X275" s="1">
        <v>43319</v>
      </c>
    </row>
    <row r="276" spans="1:24" x14ac:dyDescent="0.25">
      <c r="A276" t="s">
        <v>231</v>
      </c>
      <c r="B276">
        <v>2018</v>
      </c>
      <c r="C276" s="8" t="s">
        <v>275</v>
      </c>
      <c r="D276">
        <v>6.7</v>
      </c>
      <c r="E276">
        <v>7.7</v>
      </c>
      <c r="F276">
        <v>229</v>
      </c>
      <c r="G276">
        <v>1715</v>
      </c>
      <c r="H276">
        <v>1405</v>
      </c>
      <c r="I276">
        <v>4930</v>
      </c>
      <c r="J276">
        <v>41</v>
      </c>
      <c r="K276">
        <v>2.4700000000000002</v>
      </c>
      <c r="L276">
        <v>6.13</v>
      </c>
      <c r="M276">
        <v>430</v>
      </c>
      <c r="N276">
        <v>124</v>
      </c>
      <c r="O276">
        <v>6.46</v>
      </c>
      <c r="P276">
        <v>22.77</v>
      </c>
      <c r="Q276">
        <v>9.65</v>
      </c>
      <c r="R276">
        <v>25.7</v>
      </c>
      <c r="S276">
        <v>54.1</v>
      </c>
      <c r="T276">
        <v>10.53</v>
      </c>
      <c r="U276">
        <v>1.47</v>
      </c>
      <c r="V276">
        <v>78.27</v>
      </c>
      <c r="W276">
        <v>4.4800000000000004</v>
      </c>
      <c r="X276" s="1">
        <v>43319</v>
      </c>
    </row>
    <row r="277" spans="1:24" x14ac:dyDescent="0.25">
      <c r="A277" t="s">
        <v>232</v>
      </c>
      <c r="B277">
        <v>2018</v>
      </c>
      <c r="C277" s="8" t="s">
        <v>275</v>
      </c>
      <c r="D277">
        <v>7.3</v>
      </c>
      <c r="E277">
        <v>7.7</v>
      </c>
      <c r="F277">
        <v>195</v>
      </c>
      <c r="G277">
        <v>1507</v>
      </c>
      <c r="H277">
        <v>1526</v>
      </c>
      <c r="I277">
        <v>4952</v>
      </c>
      <c r="J277">
        <v>16</v>
      </c>
      <c r="K277">
        <v>2.3199999999999998</v>
      </c>
      <c r="L277">
        <v>7</v>
      </c>
      <c r="M277">
        <v>435</v>
      </c>
      <c r="N277">
        <v>125</v>
      </c>
      <c r="O277">
        <v>6.4</v>
      </c>
      <c r="P277">
        <v>23.07</v>
      </c>
      <c r="Q277">
        <v>8.3699999999999992</v>
      </c>
      <c r="R277">
        <v>27.56</v>
      </c>
      <c r="S277">
        <v>53.66</v>
      </c>
      <c r="T277">
        <v>10.4</v>
      </c>
      <c r="U277">
        <v>1.35</v>
      </c>
      <c r="V277">
        <v>6.04</v>
      </c>
      <c r="W277">
        <v>3</v>
      </c>
      <c r="X277" s="1">
        <v>43319</v>
      </c>
    </row>
    <row r="278" spans="1:24" x14ac:dyDescent="0.25">
      <c r="A278" t="s">
        <v>233</v>
      </c>
      <c r="B278">
        <v>2018</v>
      </c>
      <c r="C278" s="8" t="s">
        <v>275</v>
      </c>
      <c r="D278">
        <v>7.1</v>
      </c>
      <c r="E278">
        <v>7.7</v>
      </c>
      <c r="F278">
        <v>159</v>
      </c>
      <c r="G278">
        <v>1559</v>
      </c>
      <c r="H278">
        <v>1463</v>
      </c>
      <c r="I278">
        <v>5070</v>
      </c>
      <c r="J278">
        <v>18</v>
      </c>
      <c r="K278">
        <v>2.48</v>
      </c>
      <c r="L278">
        <v>5.86</v>
      </c>
      <c r="M278">
        <v>463</v>
      </c>
      <c r="N278">
        <v>112</v>
      </c>
      <c r="O278">
        <v>6.84</v>
      </c>
      <c r="P278">
        <v>23.16</v>
      </c>
      <c r="Q278">
        <v>8.6199999999999992</v>
      </c>
      <c r="R278">
        <v>26.3</v>
      </c>
      <c r="S278">
        <v>54.7</v>
      </c>
      <c r="T278">
        <v>10.35</v>
      </c>
      <c r="U278">
        <v>1.52</v>
      </c>
      <c r="V278">
        <v>6.95</v>
      </c>
      <c r="W278">
        <v>4.22</v>
      </c>
      <c r="X278" s="1">
        <v>43319</v>
      </c>
    </row>
    <row r="279" spans="1:24" x14ac:dyDescent="0.25">
      <c r="A279" t="s">
        <v>234</v>
      </c>
      <c r="B279">
        <v>2018</v>
      </c>
      <c r="C279" s="8" t="s">
        <v>275</v>
      </c>
      <c r="D279">
        <v>7.6</v>
      </c>
      <c r="E279">
        <v>7.75</v>
      </c>
      <c r="F279">
        <v>87</v>
      </c>
      <c r="G279">
        <v>1213</v>
      </c>
      <c r="H279">
        <v>1561</v>
      </c>
      <c r="I279">
        <v>4818</v>
      </c>
      <c r="J279">
        <v>27</v>
      </c>
      <c r="K279">
        <v>3.15</v>
      </c>
      <c r="L279">
        <v>5.6</v>
      </c>
      <c r="M279">
        <v>483</v>
      </c>
      <c r="N279">
        <v>87</v>
      </c>
      <c r="O279">
        <v>6.83</v>
      </c>
      <c r="P279">
        <v>22.1</v>
      </c>
      <c r="Q279">
        <v>7.03</v>
      </c>
      <c r="R279">
        <v>29.42</v>
      </c>
      <c r="S279">
        <v>54.49</v>
      </c>
      <c r="T279">
        <v>9.0399999999999991</v>
      </c>
      <c r="U279">
        <v>1.27</v>
      </c>
      <c r="V279">
        <v>6.18</v>
      </c>
      <c r="W279">
        <v>2.89</v>
      </c>
      <c r="X279" s="1">
        <v>43319</v>
      </c>
    </row>
    <row r="280" spans="1:24" x14ac:dyDescent="0.25">
      <c r="A280" t="s">
        <v>235</v>
      </c>
      <c r="B280">
        <v>2018</v>
      </c>
      <c r="C280" s="8" t="s">
        <v>275</v>
      </c>
      <c r="D280">
        <v>7.5</v>
      </c>
      <c r="E280">
        <v>7.8</v>
      </c>
      <c r="F280">
        <v>121</v>
      </c>
      <c r="G280">
        <v>1628</v>
      </c>
      <c r="H280">
        <v>1603</v>
      </c>
      <c r="I280">
        <v>4952</v>
      </c>
      <c r="J280">
        <v>23</v>
      </c>
      <c r="K280">
        <v>3.32</v>
      </c>
      <c r="L280">
        <v>7.55</v>
      </c>
      <c r="M280">
        <v>467</v>
      </c>
      <c r="N280">
        <v>86</v>
      </c>
      <c r="O280">
        <v>6.46</v>
      </c>
      <c r="P280">
        <v>22.74</v>
      </c>
      <c r="Q280">
        <v>9.17</v>
      </c>
      <c r="R280">
        <v>29.36</v>
      </c>
      <c r="S280">
        <v>54.42</v>
      </c>
      <c r="T280">
        <v>7.03</v>
      </c>
      <c r="U280">
        <v>1.63</v>
      </c>
      <c r="V280">
        <v>13.77</v>
      </c>
      <c r="W280">
        <v>3.6</v>
      </c>
      <c r="X280" s="1">
        <v>43319</v>
      </c>
    </row>
    <row r="281" spans="1:24" x14ac:dyDescent="0.25">
      <c r="A281" t="s">
        <v>236</v>
      </c>
      <c r="B281">
        <v>2018</v>
      </c>
      <c r="C281" s="8" t="s">
        <v>275</v>
      </c>
      <c r="D281">
        <v>7.7</v>
      </c>
      <c r="E281">
        <v>7.75</v>
      </c>
      <c r="F281">
        <v>172</v>
      </c>
      <c r="G281">
        <v>1326</v>
      </c>
      <c r="H281">
        <v>1674</v>
      </c>
      <c r="I281">
        <v>4737</v>
      </c>
      <c r="J281">
        <v>16</v>
      </c>
      <c r="K281">
        <v>3.22</v>
      </c>
      <c r="L281">
        <v>7.98</v>
      </c>
      <c r="M281">
        <v>422</v>
      </c>
      <c r="N281">
        <v>91</v>
      </c>
      <c r="O281">
        <v>5.69</v>
      </c>
      <c r="P281">
        <v>22.51</v>
      </c>
      <c r="Q281">
        <v>7.54</v>
      </c>
      <c r="R281">
        <v>30.97</v>
      </c>
      <c r="S281">
        <v>52.59</v>
      </c>
      <c r="T281">
        <v>8.8800000000000008</v>
      </c>
      <c r="U281">
        <v>1.69</v>
      </c>
      <c r="V281">
        <v>4.33</v>
      </c>
      <c r="W281">
        <v>3.23</v>
      </c>
      <c r="X281" s="1">
        <v>43319</v>
      </c>
    </row>
    <row r="282" spans="1:24" x14ac:dyDescent="0.25">
      <c r="A282" t="s">
        <v>237</v>
      </c>
      <c r="B282">
        <v>2018</v>
      </c>
      <c r="C282" s="8" t="s">
        <v>275</v>
      </c>
      <c r="D282">
        <v>7.6</v>
      </c>
      <c r="E282">
        <v>7.7</v>
      </c>
      <c r="F282">
        <v>205</v>
      </c>
      <c r="G282">
        <v>1923</v>
      </c>
      <c r="H282">
        <v>1541</v>
      </c>
      <c r="I282">
        <v>4773</v>
      </c>
      <c r="J282">
        <v>20</v>
      </c>
      <c r="K282">
        <v>3.04</v>
      </c>
      <c r="L282">
        <v>8.73</v>
      </c>
      <c r="M282">
        <v>452</v>
      </c>
      <c r="N282">
        <v>99</v>
      </c>
      <c r="O282">
        <v>6.2</v>
      </c>
      <c r="P282">
        <v>23.21</v>
      </c>
      <c r="Q282">
        <v>10.61</v>
      </c>
      <c r="R282">
        <v>27.65</v>
      </c>
      <c r="S282">
        <v>51.39</v>
      </c>
      <c r="T282">
        <v>10.33</v>
      </c>
      <c r="U282">
        <v>1.52</v>
      </c>
      <c r="V282">
        <v>3.97</v>
      </c>
      <c r="W282">
        <v>3.23</v>
      </c>
      <c r="X282" s="1">
        <v>43319</v>
      </c>
    </row>
    <row r="283" spans="1:24" x14ac:dyDescent="0.25">
      <c r="A283" t="s">
        <v>238</v>
      </c>
      <c r="B283">
        <v>2018</v>
      </c>
      <c r="C283" s="8" t="s">
        <v>275</v>
      </c>
      <c r="D283">
        <v>8</v>
      </c>
      <c r="E283">
        <v>7.75</v>
      </c>
      <c r="F283">
        <v>149</v>
      </c>
      <c r="G283">
        <v>1232</v>
      </c>
      <c r="H283">
        <v>1621</v>
      </c>
      <c r="I283">
        <v>4748</v>
      </c>
      <c r="J283">
        <v>21</v>
      </c>
      <c r="K283">
        <v>3.49</v>
      </c>
      <c r="L283">
        <v>4.4800000000000004</v>
      </c>
      <c r="M283">
        <v>346</v>
      </c>
      <c r="N283">
        <v>80</v>
      </c>
      <c r="O283">
        <v>4.93</v>
      </c>
      <c r="P283">
        <v>22.2</v>
      </c>
      <c r="Q283">
        <v>7.11</v>
      </c>
      <c r="R283">
        <v>30.41</v>
      </c>
      <c r="S283">
        <v>53.45</v>
      </c>
      <c r="T283">
        <v>9</v>
      </c>
      <c r="U283">
        <v>1.26</v>
      </c>
      <c r="V283">
        <v>4.28</v>
      </c>
      <c r="W283">
        <v>3.71</v>
      </c>
      <c r="X283" s="1">
        <v>43319</v>
      </c>
    </row>
    <row r="284" spans="1:24" x14ac:dyDescent="0.25">
      <c r="A284" t="s">
        <v>239</v>
      </c>
      <c r="B284">
        <v>2018</v>
      </c>
      <c r="C284" s="8" t="s">
        <v>275</v>
      </c>
      <c r="D284">
        <v>8.1</v>
      </c>
      <c r="E284">
        <v>7.8</v>
      </c>
      <c r="F284">
        <v>114</v>
      </c>
      <c r="G284">
        <v>1342</v>
      </c>
      <c r="H284">
        <v>1661</v>
      </c>
      <c r="I284">
        <v>4375</v>
      </c>
      <c r="J284">
        <v>19</v>
      </c>
      <c r="K284">
        <v>3.43</v>
      </c>
      <c r="L284">
        <v>5.22</v>
      </c>
      <c r="M284">
        <v>372</v>
      </c>
      <c r="N284">
        <v>78</v>
      </c>
      <c r="O284">
        <v>4.59</v>
      </c>
      <c r="P284">
        <v>21.17</v>
      </c>
      <c r="Q284">
        <v>8.1199999999999992</v>
      </c>
      <c r="R284">
        <v>32.67</v>
      </c>
      <c r="S284">
        <v>51.64</v>
      </c>
      <c r="T284">
        <v>7.55</v>
      </c>
      <c r="U284">
        <v>1.25</v>
      </c>
      <c r="V284">
        <v>3.38</v>
      </c>
      <c r="W284">
        <v>2.7</v>
      </c>
      <c r="X284" s="1">
        <v>43319</v>
      </c>
    </row>
    <row r="285" spans="1:24" x14ac:dyDescent="0.25">
      <c r="A285" t="s">
        <v>240</v>
      </c>
      <c r="B285">
        <v>2018</v>
      </c>
      <c r="C285" s="8" t="s">
        <v>275</v>
      </c>
      <c r="D285">
        <v>7.6</v>
      </c>
      <c r="E285">
        <v>7.75</v>
      </c>
      <c r="F285">
        <v>120</v>
      </c>
      <c r="G285">
        <v>1472</v>
      </c>
      <c r="H285">
        <v>1621</v>
      </c>
      <c r="I285">
        <v>5035</v>
      </c>
      <c r="J285">
        <v>45</v>
      </c>
      <c r="K285">
        <v>3.65</v>
      </c>
      <c r="L285">
        <v>5.32</v>
      </c>
      <c r="M285">
        <v>378</v>
      </c>
      <c r="N285">
        <v>74</v>
      </c>
      <c r="O285">
        <v>5.09</v>
      </c>
      <c r="P285">
        <v>23.22</v>
      </c>
      <c r="Q285">
        <v>8.1199999999999992</v>
      </c>
      <c r="R285">
        <v>29.07</v>
      </c>
      <c r="S285">
        <v>54.18</v>
      </c>
      <c r="T285">
        <v>8.6</v>
      </c>
      <c r="U285">
        <v>1.28</v>
      </c>
      <c r="V285">
        <v>20.61</v>
      </c>
      <c r="W285">
        <v>3.26</v>
      </c>
      <c r="X285" s="1">
        <v>43319</v>
      </c>
    </row>
    <row r="286" spans="1:24" x14ac:dyDescent="0.25">
      <c r="A286" t="s">
        <v>241</v>
      </c>
      <c r="B286">
        <v>2018</v>
      </c>
      <c r="C286" s="8" t="s">
        <v>275</v>
      </c>
      <c r="D286">
        <v>8.4</v>
      </c>
      <c r="E286">
        <v>7.75</v>
      </c>
      <c r="F286">
        <v>63</v>
      </c>
      <c r="G286">
        <v>1195</v>
      </c>
      <c r="H286">
        <v>1559</v>
      </c>
      <c r="I286">
        <v>8687</v>
      </c>
      <c r="J286">
        <v>21</v>
      </c>
      <c r="K286">
        <v>4.78</v>
      </c>
      <c r="L286">
        <v>4.95</v>
      </c>
      <c r="M286">
        <v>326</v>
      </c>
      <c r="N286">
        <v>50</v>
      </c>
      <c r="O286">
        <v>4.76</v>
      </c>
      <c r="P286">
        <v>31.74</v>
      </c>
      <c r="Q286">
        <v>4.82</v>
      </c>
      <c r="R286">
        <v>20.46</v>
      </c>
      <c r="S286">
        <v>68.41</v>
      </c>
      <c r="T286">
        <v>6.3</v>
      </c>
      <c r="U286">
        <v>1.39</v>
      </c>
      <c r="V286">
        <v>2.0699999999999998</v>
      </c>
      <c r="W286">
        <v>3.06</v>
      </c>
      <c r="X286" s="1">
        <v>43319</v>
      </c>
    </row>
    <row r="287" spans="1:24" x14ac:dyDescent="0.25">
      <c r="A287" t="s">
        <v>264</v>
      </c>
      <c r="B287">
        <v>2018</v>
      </c>
      <c r="C287" s="8" t="s">
        <v>276</v>
      </c>
      <c r="D287">
        <v>8.1</v>
      </c>
      <c r="E287">
        <v>7.75</v>
      </c>
      <c r="F287">
        <v>41</v>
      </c>
      <c r="G287">
        <v>1608</v>
      </c>
      <c r="H287">
        <v>1578</v>
      </c>
      <c r="I287">
        <v>5268</v>
      </c>
      <c r="J287">
        <v>23</v>
      </c>
      <c r="K287">
        <v>3.6</v>
      </c>
      <c r="L287">
        <v>4.5</v>
      </c>
      <c r="M287">
        <v>307</v>
      </c>
      <c r="N287">
        <v>94</v>
      </c>
      <c r="O287">
        <v>6.33</v>
      </c>
      <c r="P287">
        <v>23.8</v>
      </c>
      <c r="Q287">
        <v>8.65</v>
      </c>
      <c r="R287">
        <v>27.61</v>
      </c>
      <c r="S287">
        <v>55.32</v>
      </c>
      <c r="T287">
        <v>8.4</v>
      </c>
      <c r="U287">
        <v>1.38</v>
      </c>
      <c r="V287">
        <v>4.75</v>
      </c>
      <c r="W287">
        <v>2.38</v>
      </c>
      <c r="X287" s="1">
        <v>43319</v>
      </c>
    </row>
    <row r="288" spans="1:24" x14ac:dyDescent="0.25">
      <c r="A288" t="s">
        <v>242</v>
      </c>
      <c r="B288">
        <v>2018</v>
      </c>
      <c r="C288" s="8" t="s">
        <v>276</v>
      </c>
      <c r="D288">
        <v>8.1</v>
      </c>
      <c r="E288">
        <v>7.8</v>
      </c>
      <c r="F288">
        <v>43</v>
      </c>
      <c r="G288">
        <v>1368</v>
      </c>
      <c r="H288">
        <v>1429</v>
      </c>
      <c r="I288">
        <v>5005</v>
      </c>
      <c r="J288">
        <v>27</v>
      </c>
      <c r="K288">
        <v>3.51</v>
      </c>
      <c r="L288">
        <v>2.9</v>
      </c>
      <c r="M288">
        <v>310</v>
      </c>
      <c r="N288">
        <v>87</v>
      </c>
      <c r="O288">
        <v>5.1100000000000003</v>
      </c>
      <c r="P288">
        <v>21.82</v>
      </c>
      <c r="Q288">
        <v>8.0299999999999994</v>
      </c>
      <c r="R288">
        <v>27.28</v>
      </c>
      <c r="S288">
        <v>57.34</v>
      </c>
      <c r="T288">
        <v>7.33</v>
      </c>
      <c r="U288">
        <v>1.1599999999999999</v>
      </c>
      <c r="V288">
        <v>3.55</v>
      </c>
      <c r="W288">
        <v>2.8</v>
      </c>
      <c r="X288" s="1">
        <v>43319</v>
      </c>
    </row>
    <row r="289" spans="1:24" x14ac:dyDescent="0.25">
      <c r="A289" t="s">
        <v>243</v>
      </c>
      <c r="B289">
        <v>2018</v>
      </c>
      <c r="C289" s="8" t="s">
        <v>276</v>
      </c>
      <c r="D289">
        <v>8.1</v>
      </c>
      <c r="E289">
        <v>7.75</v>
      </c>
      <c r="F289">
        <v>26</v>
      </c>
      <c r="G289">
        <v>1618</v>
      </c>
      <c r="H289">
        <v>1440</v>
      </c>
      <c r="I289">
        <v>5212</v>
      </c>
      <c r="J289">
        <v>23</v>
      </c>
      <c r="K289">
        <v>3.77</v>
      </c>
      <c r="L289">
        <v>2.4500000000000002</v>
      </c>
      <c r="M289">
        <v>298</v>
      </c>
      <c r="N289">
        <v>88</v>
      </c>
      <c r="O289">
        <v>5.63</v>
      </c>
      <c r="P289">
        <v>23.1</v>
      </c>
      <c r="Q289">
        <v>8.9700000000000006</v>
      </c>
      <c r="R289">
        <v>25.96</v>
      </c>
      <c r="S289">
        <v>56.39</v>
      </c>
      <c r="T289">
        <v>8.65</v>
      </c>
      <c r="U289">
        <v>1.1599999999999999</v>
      </c>
      <c r="V289">
        <v>3.67</v>
      </c>
      <c r="W289">
        <v>2.68</v>
      </c>
      <c r="X289" s="1">
        <v>43319</v>
      </c>
    </row>
    <row r="290" spans="1:24" x14ac:dyDescent="0.25">
      <c r="A290" t="s">
        <v>244</v>
      </c>
      <c r="B290">
        <v>2018</v>
      </c>
      <c r="C290" s="8" t="s">
        <v>276</v>
      </c>
      <c r="D290">
        <v>8.1999999999999993</v>
      </c>
      <c r="E290">
        <v>7.65</v>
      </c>
      <c r="F290">
        <v>22</v>
      </c>
      <c r="G290">
        <v>1453</v>
      </c>
      <c r="H290">
        <v>1368</v>
      </c>
      <c r="I290">
        <v>5220</v>
      </c>
      <c r="J290">
        <v>35</v>
      </c>
      <c r="K290">
        <v>3.61</v>
      </c>
      <c r="L290">
        <v>2.59</v>
      </c>
      <c r="M290">
        <v>256</v>
      </c>
      <c r="N290">
        <v>85</v>
      </c>
      <c r="O290">
        <v>5.2</v>
      </c>
      <c r="P290">
        <v>23.41</v>
      </c>
      <c r="Q290">
        <v>7.95</v>
      </c>
      <c r="R290">
        <v>24.34</v>
      </c>
      <c r="S290">
        <v>55.73</v>
      </c>
      <c r="T290">
        <v>11.95</v>
      </c>
      <c r="U290">
        <v>1.29</v>
      </c>
      <c r="V290">
        <v>3.5</v>
      </c>
      <c r="W290">
        <v>2.94</v>
      </c>
      <c r="X290" s="1">
        <v>43319</v>
      </c>
    </row>
    <row r="291" spans="1:24" x14ac:dyDescent="0.25">
      <c r="A291" t="s">
        <v>245</v>
      </c>
      <c r="B291">
        <v>2018</v>
      </c>
      <c r="C291" s="8" t="s">
        <v>275</v>
      </c>
      <c r="D291">
        <v>8.4</v>
      </c>
      <c r="E291">
        <v>7.7</v>
      </c>
      <c r="F291">
        <v>18</v>
      </c>
      <c r="G291">
        <v>1396</v>
      </c>
      <c r="H291">
        <v>2037</v>
      </c>
      <c r="I291">
        <v>12370</v>
      </c>
      <c r="J291">
        <v>56</v>
      </c>
      <c r="K291">
        <v>5.74</v>
      </c>
      <c r="L291">
        <v>2.36</v>
      </c>
      <c r="M291">
        <v>221</v>
      </c>
      <c r="N291">
        <v>75</v>
      </c>
      <c r="O291">
        <v>6.56</v>
      </c>
      <c r="P291">
        <v>43.6</v>
      </c>
      <c r="Q291">
        <v>4.0999999999999996</v>
      </c>
      <c r="R291">
        <v>19.46</v>
      </c>
      <c r="S291">
        <v>70.92</v>
      </c>
      <c r="T291">
        <v>5.5</v>
      </c>
      <c r="U291">
        <v>1.35</v>
      </c>
      <c r="V291">
        <v>38.28</v>
      </c>
      <c r="W291">
        <v>2.62</v>
      </c>
      <c r="X291" s="1">
        <v>43319</v>
      </c>
    </row>
    <row r="292" spans="1:24" x14ac:dyDescent="0.25">
      <c r="A292" t="s">
        <v>246</v>
      </c>
      <c r="B292">
        <v>2018</v>
      </c>
      <c r="C292" s="8" t="s">
        <v>275</v>
      </c>
      <c r="D292">
        <v>8.3000000000000007</v>
      </c>
      <c r="E292">
        <v>7.8</v>
      </c>
      <c r="F292">
        <v>23</v>
      </c>
      <c r="G292">
        <v>1488</v>
      </c>
      <c r="H292">
        <v>1737</v>
      </c>
      <c r="I292">
        <v>7147</v>
      </c>
      <c r="J292">
        <v>19</v>
      </c>
      <c r="K292">
        <v>4.8499999999999996</v>
      </c>
      <c r="L292">
        <v>2.96</v>
      </c>
      <c r="M292">
        <v>264</v>
      </c>
      <c r="N292">
        <v>87</v>
      </c>
      <c r="O292">
        <v>6.23</v>
      </c>
      <c r="P292">
        <v>28.61</v>
      </c>
      <c r="Q292">
        <v>6.66</v>
      </c>
      <c r="R292">
        <v>25.29</v>
      </c>
      <c r="S292">
        <v>62.44</v>
      </c>
      <c r="T292">
        <v>5.59</v>
      </c>
      <c r="U292">
        <v>1.38</v>
      </c>
      <c r="V292">
        <v>9.86</v>
      </c>
      <c r="W292">
        <v>2.57</v>
      </c>
      <c r="X292" s="1">
        <v>43319</v>
      </c>
    </row>
    <row r="293" spans="1:24" x14ac:dyDescent="0.25">
      <c r="A293" t="s">
        <v>247</v>
      </c>
      <c r="B293">
        <v>2018</v>
      </c>
      <c r="C293" s="8" t="s">
        <v>275</v>
      </c>
      <c r="D293">
        <v>8.5</v>
      </c>
      <c r="E293">
        <v>7.75</v>
      </c>
      <c r="F293">
        <v>34</v>
      </c>
      <c r="G293">
        <v>1562</v>
      </c>
      <c r="H293">
        <v>1771</v>
      </c>
      <c r="I293">
        <v>9541</v>
      </c>
      <c r="J293">
        <v>24</v>
      </c>
      <c r="K293">
        <v>4.75</v>
      </c>
      <c r="L293">
        <v>3.7</v>
      </c>
      <c r="M293">
        <v>287</v>
      </c>
      <c r="N293">
        <v>73</v>
      </c>
      <c r="O293">
        <v>6</v>
      </c>
      <c r="P293">
        <v>35.229999999999997</v>
      </c>
      <c r="Q293">
        <v>5.68</v>
      </c>
      <c r="R293">
        <v>20.94</v>
      </c>
      <c r="S293">
        <v>67.69</v>
      </c>
      <c r="T293">
        <v>5.67</v>
      </c>
      <c r="U293">
        <v>1.39</v>
      </c>
      <c r="V293">
        <v>10.27</v>
      </c>
      <c r="W293">
        <v>2.75</v>
      </c>
      <c r="X293" s="1">
        <v>43319</v>
      </c>
    </row>
    <row r="294" spans="1:24" x14ac:dyDescent="0.25">
      <c r="A294" t="s">
        <v>248</v>
      </c>
      <c r="B294">
        <v>2018</v>
      </c>
      <c r="C294" s="8" t="s">
        <v>275</v>
      </c>
      <c r="D294">
        <v>8.1999999999999993</v>
      </c>
      <c r="E294">
        <v>7.7</v>
      </c>
      <c r="F294">
        <v>42</v>
      </c>
      <c r="G294">
        <v>1474</v>
      </c>
      <c r="H294">
        <v>1812</v>
      </c>
      <c r="I294">
        <v>6484</v>
      </c>
      <c r="J294">
        <v>29</v>
      </c>
      <c r="K294">
        <v>5.08</v>
      </c>
      <c r="L294">
        <v>4.0199999999999996</v>
      </c>
      <c r="M294">
        <v>296</v>
      </c>
      <c r="N294">
        <v>86</v>
      </c>
      <c r="O294">
        <v>6.2</v>
      </c>
      <c r="P294">
        <v>28.04</v>
      </c>
      <c r="Q294">
        <v>6.73</v>
      </c>
      <c r="R294">
        <v>26.91</v>
      </c>
      <c r="S294">
        <v>57.79</v>
      </c>
      <c r="T294">
        <v>8.5500000000000007</v>
      </c>
      <c r="U294">
        <v>1.33</v>
      </c>
      <c r="V294">
        <v>30.8</v>
      </c>
      <c r="W294">
        <v>3.04</v>
      </c>
      <c r="X294" s="1">
        <v>43319</v>
      </c>
    </row>
    <row r="295" spans="1:24" x14ac:dyDescent="0.25">
      <c r="A295" t="s">
        <v>249</v>
      </c>
      <c r="B295">
        <v>2018</v>
      </c>
      <c r="C295" s="8" t="s">
        <v>276</v>
      </c>
      <c r="D295">
        <v>8.1</v>
      </c>
      <c r="E295">
        <v>7.75</v>
      </c>
      <c r="F295">
        <v>88</v>
      </c>
      <c r="G295">
        <v>1052</v>
      </c>
      <c r="H295">
        <v>1334</v>
      </c>
      <c r="I295">
        <v>4190</v>
      </c>
      <c r="J295">
        <v>16</v>
      </c>
      <c r="K295">
        <v>2.85</v>
      </c>
      <c r="L295">
        <v>4.4000000000000004</v>
      </c>
      <c r="M295">
        <v>405</v>
      </c>
      <c r="N295">
        <v>99</v>
      </c>
      <c r="O295">
        <v>4.8600000000000003</v>
      </c>
      <c r="P295">
        <v>19.38</v>
      </c>
      <c r="Q295">
        <v>6.95</v>
      </c>
      <c r="R295">
        <v>28.67</v>
      </c>
      <c r="S295">
        <v>54.04</v>
      </c>
      <c r="T295">
        <v>10.31</v>
      </c>
      <c r="U295">
        <v>1.07</v>
      </c>
      <c r="V295">
        <v>3.26</v>
      </c>
      <c r="W295">
        <v>2.77</v>
      </c>
      <c r="X295" s="1">
        <v>43319</v>
      </c>
    </row>
    <row r="296" spans="1:24" x14ac:dyDescent="0.25">
      <c r="A296" t="s">
        <v>265</v>
      </c>
      <c r="B296">
        <v>2018</v>
      </c>
      <c r="C296" s="8" t="s">
        <v>276</v>
      </c>
      <c r="D296">
        <v>7.8</v>
      </c>
      <c r="E296">
        <v>7.8</v>
      </c>
      <c r="F296">
        <v>100</v>
      </c>
      <c r="G296">
        <v>1014</v>
      </c>
      <c r="H296">
        <v>1418</v>
      </c>
      <c r="I296">
        <v>4143</v>
      </c>
      <c r="J296">
        <v>17</v>
      </c>
      <c r="K296">
        <v>2.94</v>
      </c>
      <c r="L296">
        <v>4.95</v>
      </c>
      <c r="M296">
        <v>417</v>
      </c>
      <c r="N296">
        <v>103</v>
      </c>
      <c r="O296">
        <v>4.79</v>
      </c>
      <c r="P296">
        <v>19.16</v>
      </c>
      <c r="Q296">
        <v>6.78</v>
      </c>
      <c r="R296">
        <v>30.82</v>
      </c>
      <c r="S296">
        <v>54.04</v>
      </c>
      <c r="T296">
        <v>8.34</v>
      </c>
      <c r="U296">
        <v>1</v>
      </c>
      <c r="V296">
        <v>2.2599999999999998</v>
      </c>
      <c r="W296">
        <v>2.54</v>
      </c>
      <c r="X296" s="1">
        <v>43319</v>
      </c>
    </row>
    <row r="297" spans="1:24" x14ac:dyDescent="0.25">
      <c r="A297" t="s">
        <v>266</v>
      </c>
      <c r="B297">
        <v>2018</v>
      </c>
      <c r="C297" s="8" t="s">
        <v>276</v>
      </c>
      <c r="D297">
        <v>8</v>
      </c>
      <c r="E297">
        <v>7.8</v>
      </c>
      <c r="F297">
        <v>72</v>
      </c>
      <c r="G297">
        <v>1068</v>
      </c>
      <c r="H297">
        <v>1390</v>
      </c>
      <c r="I297">
        <v>4138</v>
      </c>
      <c r="J297">
        <v>14</v>
      </c>
      <c r="K297">
        <v>2.89</v>
      </c>
      <c r="L297">
        <v>4.6500000000000004</v>
      </c>
      <c r="M297">
        <v>414</v>
      </c>
      <c r="N297">
        <v>101</v>
      </c>
      <c r="O297">
        <v>4.78</v>
      </c>
      <c r="P297">
        <v>19.100000000000001</v>
      </c>
      <c r="Q297">
        <v>7.16</v>
      </c>
      <c r="R297">
        <v>30.31</v>
      </c>
      <c r="S297">
        <v>54.14</v>
      </c>
      <c r="T297">
        <v>8.3699999999999992</v>
      </c>
      <c r="U297">
        <v>1.06</v>
      </c>
      <c r="V297">
        <v>2.13</v>
      </c>
      <c r="W297">
        <v>2.82</v>
      </c>
      <c r="X297" s="1">
        <v>43319</v>
      </c>
    </row>
    <row r="298" spans="1:24" x14ac:dyDescent="0.25">
      <c r="A298" t="s">
        <v>267</v>
      </c>
      <c r="B298">
        <v>2018</v>
      </c>
      <c r="C298" s="8" t="s">
        <v>276</v>
      </c>
      <c r="D298">
        <v>7.9</v>
      </c>
      <c r="E298">
        <v>7.7</v>
      </c>
      <c r="F298">
        <v>113</v>
      </c>
      <c r="G298">
        <v>1266</v>
      </c>
      <c r="H298">
        <v>1363</v>
      </c>
      <c r="I298">
        <v>4174</v>
      </c>
      <c r="J298">
        <v>15</v>
      </c>
      <c r="K298">
        <v>2.92</v>
      </c>
      <c r="L298">
        <v>5.74</v>
      </c>
      <c r="M298">
        <v>409</v>
      </c>
      <c r="N298">
        <v>104</v>
      </c>
      <c r="O298">
        <v>4.8600000000000003</v>
      </c>
      <c r="P298">
        <v>20.13</v>
      </c>
      <c r="Q298">
        <v>8.06</v>
      </c>
      <c r="R298">
        <v>28.2</v>
      </c>
      <c r="S298">
        <v>51.81</v>
      </c>
      <c r="T298">
        <v>11.91</v>
      </c>
      <c r="U298">
        <v>1.1000000000000001</v>
      </c>
      <c r="V298">
        <v>1.95</v>
      </c>
      <c r="W298">
        <v>2.5299999999999998</v>
      </c>
      <c r="X298" s="1">
        <v>43319</v>
      </c>
    </row>
    <row r="299" spans="1:24" x14ac:dyDescent="0.25">
      <c r="A299" t="s">
        <v>208</v>
      </c>
      <c r="B299">
        <v>2018</v>
      </c>
      <c r="C299" s="8" t="s">
        <v>280</v>
      </c>
      <c r="D299">
        <v>8.3000000000000007</v>
      </c>
      <c r="E299">
        <v>7.85</v>
      </c>
      <c r="F299">
        <v>150</v>
      </c>
      <c r="G299">
        <v>1084</v>
      </c>
      <c r="H299">
        <v>860</v>
      </c>
      <c r="I299">
        <v>2813</v>
      </c>
      <c r="J299">
        <v>13</v>
      </c>
      <c r="K299">
        <v>4.01</v>
      </c>
      <c r="L299">
        <v>17.22</v>
      </c>
      <c r="M299">
        <v>110</v>
      </c>
      <c r="N299">
        <v>102</v>
      </c>
      <c r="O299">
        <v>2.59</v>
      </c>
      <c r="P299">
        <v>13.2</v>
      </c>
      <c r="Q299">
        <v>10.52</v>
      </c>
      <c r="R299">
        <v>27.13</v>
      </c>
      <c r="S299">
        <v>53.25</v>
      </c>
      <c r="T299">
        <v>9.08</v>
      </c>
      <c r="U299">
        <v>0.41</v>
      </c>
      <c r="V299">
        <v>3.81</v>
      </c>
      <c r="W299">
        <v>3.46</v>
      </c>
      <c r="X299" s="1">
        <v>43315</v>
      </c>
    </row>
    <row r="300" spans="1:24" x14ac:dyDescent="0.25">
      <c r="A300" t="s">
        <v>209</v>
      </c>
      <c r="B300">
        <v>2018</v>
      </c>
      <c r="C300" s="8" t="s">
        <v>280</v>
      </c>
      <c r="D300">
        <v>8.5</v>
      </c>
      <c r="E300">
        <v>7.9</v>
      </c>
      <c r="F300">
        <v>100</v>
      </c>
      <c r="G300">
        <v>1053</v>
      </c>
      <c r="H300">
        <v>913</v>
      </c>
      <c r="I300">
        <v>6857</v>
      </c>
      <c r="J300">
        <v>15</v>
      </c>
      <c r="K300">
        <v>4.0999999999999996</v>
      </c>
      <c r="L300">
        <v>19.559999999999999</v>
      </c>
      <c r="M300">
        <v>102</v>
      </c>
      <c r="N300">
        <v>80</v>
      </c>
      <c r="O300">
        <v>3.23</v>
      </c>
      <c r="P300">
        <v>23.09</v>
      </c>
      <c r="Q300">
        <v>5.84</v>
      </c>
      <c r="R300">
        <v>16.47</v>
      </c>
      <c r="S300">
        <v>74.22</v>
      </c>
      <c r="T300">
        <v>3.46</v>
      </c>
      <c r="U300">
        <v>0.47</v>
      </c>
      <c r="V300">
        <v>4.8600000000000003</v>
      </c>
      <c r="W300">
        <v>5.39</v>
      </c>
      <c r="X300" s="1">
        <v>43315</v>
      </c>
    </row>
    <row r="301" spans="1:24" x14ac:dyDescent="0.25">
      <c r="A301" t="s">
        <v>210</v>
      </c>
      <c r="B301">
        <v>2018</v>
      </c>
      <c r="C301" s="8" t="s">
        <v>280</v>
      </c>
      <c r="D301">
        <v>8.1999999999999993</v>
      </c>
      <c r="E301">
        <v>7.9</v>
      </c>
      <c r="F301">
        <v>74</v>
      </c>
      <c r="G301">
        <v>741</v>
      </c>
      <c r="H301">
        <v>709</v>
      </c>
      <c r="I301">
        <v>2197</v>
      </c>
      <c r="J301">
        <v>11</v>
      </c>
      <c r="K301">
        <v>2.59</v>
      </c>
      <c r="L301">
        <v>9.5399999999999991</v>
      </c>
      <c r="M301">
        <v>89</v>
      </c>
      <c r="N301">
        <v>91</v>
      </c>
      <c r="O301">
        <v>2.4300000000000002</v>
      </c>
      <c r="P301">
        <v>10.19</v>
      </c>
      <c r="Q301">
        <v>9.31</v>
      </c>
      <c r="R301">
        <v>28.97</v>
      </c>
      <c r="S301">
        <v>53.86</v>
      </c>
      <c r="T301">
        <v>7.84</v>
      </c>
      <c r="U301">
        <v>0.32</v>
      </c>
      <c r="V301">
        <v>4.8499999999999996</v>
      </c>
      <c r="W301">
        <v>3.59</v>
      </c>
      <c r="X301" s="1">
        <v>43315</v>
      </c>
    </row>
    <row r="302" spans="1:24" x14ac:dyDescent="0.25">
      <c r="A302" t="s">
        <v>211</v>
      </c>
      <c r="B302">
        <v>2018</v>
      </c>
      <c r="C302" s="8" t="s">
        <v>280</v>
      </c>
      <c r="D302">
        <v>8</v>
      </c>
      <c r="E302">
        <v>7.85</v>
      </c>
      <c r="F302">
        <v>145</v>
      </c>
      <c r="G302">
        <v>840</v>
      </c>
      <c r="H302">
        <v>699</v>
      </c>
      <c r="I302">
        <v>2333</v>
      </c>
      <c r="J302">
        <v>22</v>
      </c>
      <c r="K302">
        <v>2.84</v>
      </c>
      <c r="L302">
        <v>10.45</v>
      </c>
      <c r="M302">
        <v>89</v>
      </c>
      <c r="N302">
        <v>92</v>
      </c>
      <c r="O302">
        <v>2.97</v>
      </c>
      <c r="P302">
        <v>11.02</v>
      </c>
      <c r="Q302">
        <v>9.77</v>
      </c>
      <c r="R302">
        <v>26.42</v>
      </c>
      <c r="S302">
        <v>52.91</v>
      </c>
      <c r="T302">
        <v>10.88</v>
      </c>
      <c r="U302">
        <v>0.42</v>
      </c>
      <c r="V302">
        <v>3.26</v>
      </c>
      <c r="W302">
        <v>3.98</v>
      </c>
      <c r="X302" s="1">
        <v>43315</v>
      </c>
    </row>
    <row r="303" spans="1:24" x14ac:dyDescent="0.25">
      <c r="A303" t="s">
        <v>212</v>
      </c>
      <c r="B303">
        <v>2018</v>
      </c>
      <c r="C303" s="8" t="s">
        <v>278</v>
      </c>
      <c r="D303">
        <v>7</v>
      </c>
      <c r="E303">
        <v>7.8</v>
      </c>
      <c r="F303">
        <v>70</v>
      </c>
      <c r="G303">
        <v>754</v>
      </c>
      <c r="H303">
        <v>956</v>
      </c>
      <c r="I303">
        <v>2427</v>
      </c>
      <c r="J303">
        <v>429</v>
      </c>
      <c r="K303">
        <v>3.1</v>
      </c>
      <c r="L303">
        <v>2.93</v>
      </c>
      <c r="M303">
        <v>98</v>
      </c>
      <c r="N303">
        <v>84</v>
      </c>
      <c r="O303">
        <v>1.93</v>
      </c>
      <c r="P303">
        <v>12.61</v>
      </c>
      <c r="Q303">
        <v>7.66</v>
      </c>
      <c r="R303">
        <v>31.56</v>
      </c>
      <c r="S303">
        <v>48.08</v>
      </c>
      <c r="T303">
        <v>12.68</v>
      </c>
      <c r="U303">
        <v>0.31</v>
      </c>
      <c r="V303">
        <v>3.05</v>
      </c>
      <c r="W303">
        <v>7.83</v>
      </c>
      <c r="X303" s="1">
        <v>43315</v>
      </c>
    </row>
    <row r="304" spans="1:24" x14ac:dyDescent="0.25">
      <c r="A304" t="s">
        <v>262</v>
      </c>
      <c r="B304">
        <v>2018</v>
      </c>
      <c r="C304" s="8" t="s">
        <v>278</v>
      </c>
      <c r="D304">
        <v>7.4</v>
      </c>
      <c r="E304">
        <v>7.8</v>
      </c>
      <c r="F304">
        <v>49</v>
      </c>
      <c r="G304">
        <v>690</v>
      </c>
      <c r="H304">
        <v>854</v>
      </c>
      <c r="I304">
        <v>2565</v>
      </c>
      <c r="J304">
        <v>23</v>
      </c>
      <c r="K304">
        <v>2.2400000000000002</v>
      </c>
      <c r="L304">
        <v>1.92</v>
      </c>
      <c r="M304">
        <v>135</v>
      </c>
      <c r="N304">
        <v>99</v>
      </c>
      <c r="O304">
        <v>2.27</v>
      </c>
      <c r="P304">
        <v>12.45</v>
      </c>
      <c r="Q304">
        <v>7.1</v>
      </c>
      <c r="R304">
        <v>28.56</v>
      </c>
      <c r="S304">
        <v>51.48</v>
      </c>
      <c r="T304">
        <v>12.84</v>
      </c>
      <c r="U304">
        <v>0.49</v>
      </c>
      <c r="V304">
        <v>2</v>
      </c>
      <c r="W304">
        <v>5.56</v>
      </c>
      <c r="X304" s="1">
        <v>43315</v>
      </c>
    </row>
    <row r="305" spans="1:24" x14ac:dyDescent="0.25">
      <c r="A305" t="s">
        <v>213</v>
      </c>
      <c r="B305">
        <v>2018</v>
      </c>
      <c r="C305" s="8" t="s">
        <v>278</v>
      </c>
      <c r="D305">
        <v>7.1</v>
      </c>
      <c r="E305">
        <v>7.8</v>
      </c>
      <c r="F305">
        <v>115</v>
      </c>
      <c r="G305">
        <v>609</v>
      </c>
      <c r="H305">
        <v>787</v>
      </c>
      <c r="I305">
        <v>2258</v>
      </c>
      <c r="J305">
        <v>38</v>
      </c>
      <c r="K305">
        <v>2.4300000000000002</v>
      </c>
      <c r="L305">
        <v>1.64</v>
      </c>
      <c r="M305">
        <v>115</v>
      </c>
      <c r="N305">
        <v>99</v>
      </c>
      <c r="O305">
        <v>1.98</v>
      </c>
      <c r="P305">
        <v>11.3</v>
      </c>
      <c r="Q305">
        <v>6.9</v>
      </c>
      <c r="R305">
        <v>29</v>
      </c>
      <c r="S305">
        <v>49.93</v>
      </c>
      <c r="T305">
        <v>14.15</v>
      </c>
      <c r="U305">
        <v>0.4</v>
      </c>
      <c r="V305">
        <v>1.25</v>
      </c>
      <c r="W305">
        <v>3.32</v>
      </c>
      <c r="X305" s="1">
        <v>43315</v>
      </c>
    </row>
    <row r="306" spans="1:24" x14ac:dyDescent="0.25">
      <c r="A306" t="s">
        <v>214</v>
      </c>
      <c r="B306">
        <v>2018</v>
      </c>
      <c r="C306" s="8" t="s">
        <v>278</v>
      </c>
      <c r="D306">
        <v>6</v>
      </c>
      <c r="E306">
        <v>7.75</v>
      </c>
      <c r="F306">
        <v>162</v>
      </c>
      <c r="G306">
        <v>663</v>
      </c>
      <c r="H306">
        <v>842</v>
      </c>
      <c r="I306">
        <v>2497</v>
      </c>
      <c r="J306">
        <v>411</v>
      </c>
      <c r="K306">
        <v>2.13</v>
      </c>
      <c r="L306">
        <v>3.14</v>
      </c>
      <c r="M306">
        <v>88</v>
      </c>
      <c r="N306">
        <v>88</v>
      </c>
      <c r="O306">
        <v>1.78</v>
      </c>
      <c r="P306">
        <v>12.6</v>
      </c>
      <c r="Q306">
        <v>6.74</v>
      </c>
      <c r="R306">
        <v>27.84</v>
      </c>
      <c r="S306">
        <v>49.54</v>
      </c>
      <c r="T306">
        <v>15.87</v>
      </c>
      <c r="U306">
        <v>0.41</v>
      </c>
      <c r="V306">
        <v>18.43</v>
      </c>
      <c r="W306">
        <v>6.71</v>
      </c>
      <c r="X306" s="1">
        <v>43315</v>
      </c>
    </row>
    <row r="307" spans="1:24" x14ac:dyDescent="0.25">
      <c r="A307" t="s">
        <v>215</v>
      </c>
      <c r="B307">
        <v>2018</v>
      </c>
      <c r="C307" s="8" t="s">
        <v>278</v>
      </c>
      <c r="D307">
        <v>8.1</v>
      </c>
      <c r="E307">
        <v>7.85</v>
      </c>
      <c r="F307">
        <v>63</v>
      </c>
      <c r="G307">
        <v>532</v>
      </c>
      <c r="H307">
        <v>317</v>
      </c>
      <c r="I307">
        <v>3281</v>
      </c>
      <c r="J307">
        <v>28</v>
      </c>
      <c r="K307">
        <v>1.26</v>
      </c>
      <c r="L307">
        <v>1.03</v>
      </c>
      <c r="M307">
        <v>78</v>
      </c>
      <c r="N307">
        <v>92</v>
      </c>
      <c r="O307">
        <v>1.69</v>
      </c>
      <c r="P307">
        <v>11.4</v>
      </c>
      <c r="Q307">
        <v>5.98</v>
      </c>
      <c r="R307">
        <v>11.58</v>
      </c>
      <c r="S307">
        <v>71.91</v>
      </c>
      <c r="T307">
        <v>10.52</v>
      </c>
      <c r="U307">
        <v>0.28999999999999998</v>
      </c>
      <c r="V307">
        <v>9.4700000000000006</v>
      </c>
      <c r="W307">
        <v>4.96</v>
      </c>
      <c r="X307" s="1">
        <v>43315</v>
      </c>
    </row>
    <row r="308" spans="1:24" x14ac:dyDescent="0.25">
      <c r="A308" t="s">
        <v>216</v>
      </c>
      <c r="B308">
        <v>2018</v>
      </c>
      <c r="C308" s="8" t="s">
        <v>278</v>
      </c>
      <c r="D308">
        <v>8.1</v>
      </c>
      <c r="E308">
        <v>7.85</v>
      </c>
      <c r="F308">
        <v>69</v>
      </c>
      <c r="G308">
        <v>614</v>
      </c>
      <c r="H308">
        <v>341</v>
      </c>
      <c r="I308">
        <v>3869</v>
      </c>
      <c r="J308">
        <v>10</v>
      </c>
      <c r="K308">
        <v>1.28</v>
      </c>
      <c r="L308">
        <v>0.88</v>
      </c>
      <c r="M308">
        <v>88</v>
      </c>
      <c r="N308">
        <v>96</v>
      </c>
      <c r="O308">
        <v>1.9</v>
      </c>
      <c r="P308">
        <v>13.08</v>
      </c>
      <c r="Q308">
        <v>6.01</v>
      </c>
      <c r="R308">
        <v>10.86</v>
      </c>
      <c r="S308">
        <v>73.94</v>
      </c>
      <c r="T308">
        <v>9.17</v>
      </c>
      <c r="U308">
        <v>0.28999999999999998</v>
      </c>
      <c r="V308">
        <v>4.53</v>
      </c>
      <c r="W308">
        <v>3.68</v>
      </c>
      <c r="X308" s="1">
        <v>43315</v>
      </c>
    </row>
    <row r="309" spans="1:24" x14ac:dyDescent="0.25">
      <c r="A309" t="s">
        <v>217</v>
      </c>
      <c r="B309">
        <v>2018</v>
      </c>
      <c r="C309" s="8" t="s">
        <v>278</v>
      </c>
      <c r="D309">
        <v>7.9</v>
      </c>
      <c r="E309">
        <v>7.85</v>
      </c>
      <c r="F309">
        <v>48</v>
      </c>
      <c r="G309">
        <v>544</v>
      </c>
      <c r="H309">
        <v>310</v>
      </c>
      <c r="I309">
        <v>3158</v>
      </c>
      <c r="J309">
        <v>15</v>
      </c>
      <c r="K309">
        <v>1.1399999999999999</v>
      </c>
      <c r="L309">
        <v>0.76</v>
      </c>
      <c r="M309">
        <v>82</v>
      </c>
      <c r="N309">
        <v>88</v>
      </c>
      <c r="O309">
        <v>1.6</v>
      </c>
      <c r="P309">
        <v>11.08</v>
      </c>
      <c r="Q309">
        <v>6.29</v>
      </c>
      <c r="R309">
        <v>11.65</v>
      </c>
      <c r="S309">
        <v>71.22</v>
      </c>
      <c r="T309">
        <v>10.82</v>
      </c>
      <c r="U309">
        <v>0.25</v>
      </c>
      <c r="V309">
        <v>4.5599999999999996</v>
      </c>
      <c r="W309">
        <v>2.16</v>
      </c>
      <c r="X309" s="1">
        <v>43315</v>
      </c>
    </row>
    <row r="310" spans="1:24" x14ac:dyDescent="0.25">
      <c r="A310" t="s">
        <v>263</v>
      </c>
      <c r="B310">
        <v>2018</v>
      </c>
      <c r="C310" s="8" t="s">
        <v>278</v>
      </c>
      <c r="D310">
        <v>8.1</v>
      </c>
      <c r="E310">
        <v>7.8</v>
      </c>
      <c r="F310">
        <v>62</v>
      </c>
      <c r="G310">
        <v>580</v>
      </c>
      <c r="H310">
        <v>337</v>
      </c>
      <c r="I310">
        <v>3651</v>
      </c>
      <c r="J310">
        <v>17</v>
      </c>
      <c r="K310">
        <v>1.3</v>
      </c>
      <c r="L310">
        <v>0.96</v>
      </c>
      <c r="M310">
        <v>75</v>
      </c>
      <c r="N310">
        <v>95</v>
      </c>
      <c r="O310">
        <v>1.93</v>
      </c>
      <c r="P310">
        <v>12.87</v>
      </c>
      <c r="Q310">
        <v>5.77</v>
      </c>
      <c r="R310">
        <v>10.9</v>
      </c>
      <c r="S310">
        <v>70.89</v>
      </c>
      <c r="T310">
        <v>12.42</v>
      </c>
      <c r="U310">
        <v>0.3</v>
      </c>
      <c r="V310">
        <v>5.54</v>
      </c>
      <c r="W310">
        <v>4.3499999999999996</v>
      </c>
      <c r="X310" s="1">
        <v>43315</v>
      </c>
    </row>
    <row r="311" spans="1:24" x14ac:dyDescent="0.25">
      <c r="A311" t="s">
        <v>196</v>
      </c>
      <c r="B311">
        <v>2018</v>
      </c>
      <c r="C311" s="8" t="s">
        <v>279</v>
      </c>
      <c r="D311">
        <v>7.2</v>
      </c>
      <c r="E311">
        <v>7.7</v>
      </c>
      <c r="F311">
        <v>113</v>
      </c>
      <c r="G311">
        <v>854</v>
      </c>
      <c r="H311">
        <v>1139</v>
      </c>
      <c r="I311">
        <v>2704</v>
      </c>
      <c r="J311">
        <v>25</v>
      </c>
      <c r="K311">
        <v>2.71</v>
      </c>
      <c r="L311">
        <v>23.71</v>
      </c>
      <c r="M311">
        <v>138</v>
      </c>
      <c r="N311">
        <v>88</v>
      </c>
      <c r="O311">
        <v>2.48</v>
      </c>
      <c r="P311">
        <v>15</v>
      </c>
      <c r="Q311">
        <v>7.29</v>
      </c>
      <c r="R311">
        <v>31.63</v>
      </c>
      <c r="S311">
        <v>45.06</v>
      </c>
      <c r="T311">
        <v>15.99</v>
      </c>
      <c r="U311">
        <v>1.05</v>
      </c>
      <c r="V311">
        <v>3.5</v>
      </c>
      <c r="W311">
        <v>2.5</v>
      </c>
      <c r="X311" s="1">
        <v>43314</v>
      </c>
    </row>
    <row r="312" spans="1:24" x14ac:dyDescent="0.25">
      <c r="A312" t="s">
        <v>197</v>
      </c>
      <c r="B312">
        <v>2018</v>
      </c>
      <c r="C312" s="8" t="s">
        <v>279</v>
      </c>
      <c r="D312">
        <v>7.6</v>
      </c>
      <c r="E312">
        <v>7.85</v>
      </c>
      <c r="F312">
        <v>86</v>
      </c>
      <c r="G312">
        <v>1029</v>
      </c>
      <c r="H312">
        <v>1057</v>
      </c>
      <c r="I312">
        <v>2574</v>
      </c>
      <c r="J312">
        <v>25</v>
      </c>
      <c r="K312">
        <v>3.12</v>
      </c>
      <c r="L312">
        <v>24.56</v>
      </c>
      <c r="M312">
        <v>138</v>
      </c>
      <c r="N312">
        <v>87</v>
      </c>
      <c r="O312">
        <v>2.57</v>
      </c>
      <c r="P312">
        <v>13.35</v>
      </c>
      <c r="Q312">
        <v>9.8699999999999992</v>
      </c>
      <c r="R312">
        <v>32.96</v>
      </c>
      <c r="S312">
        <v>48.17</v>
      </c>
      <c r="T312">
        <v>8.98</v>
      </c>
      <c r="U312">
        <v>0.99</v>
      </c>
      <c r="V312">
        <v>3.49</v>
      </c>
      <c r="W312">
        <v>2.7</v>
      </c>
      <c r="X312" s="1">
        <v>43314</v>
      </c>
    </row>
    <row r="313" spans="1:24" x14ac:dyDescent="0.25">
      <c r="A313" t="s">
        <v>198</v>
      </c>
      <c r="B313">
        <v>2018</v>
      </c>
      <c r="C313" s="8" t="s">
        <v>279</v>
      </c>
      <c r="D313">
        <v>7.6</v>
      </c>
      <c r="E313">
        <v>7.8</v>
      </c>
      <c r="F313">
        <v>133</v>
      </c>
      <c r="G313">
        <v>1041</v>
      </c>
      <c r="H313">
        <v>1182</v>
      </c>
      <c r="I313">
        <v>2810</v>
      </c>
      <c r="J313">
        <v>31</v>
      </c>
      <c r="K313">
        <v>3.12</v>
      </c>
      <c r="L313">
        <v>30.38</v>
      </c>
      <c r="M313">
        <v>140</v>
      </c>
      <c r="N313">
        <v>89</v>
      </c>
      <c r="O313">
        <v>2.4500000000000002</v>
      </c>
      <c r="P313">
        <v>14.88</v>
      </c>
      <c r="Q313">
        <v>8.9600000000000009</v>
      </c>
      <c r="R313">
        <v>33.08</v>
      </c>
      <c r="S313">
        <v>47.19</v>
      </c>
      <c r="T313">
        <v>10.74</v>
      </c>
      <c r="U313">
        <v>1.2</v>
      </c>
      <c r="V313">
        <v>3.54</v>
      </c>
      <c r="W313">
        <v>2.69</v>
      </c>
      <c r="X313" s="1">
        <v>43314</v>
      </c>
    </row>
    <row r="314" spans="1:24" x14ac:dyDescent="0.25">
      <c r="A314" t="s">
        <v>199</v>
      </c>
      <c r="B314">
        <v>2018</v>
      </c>
      <c r="C314" s="8" t="s">
        <v>279</v>
      </c>
      <c r="D314">
        <v>6.9</v>
      </c>
      <c r="E314">
        <v>7.7</v>
      </c>
      <c r="F314">
        <v>145</v>
      </c>
      <c r="G314">
        <v>1028</v>
      </c>
      <c r="H314">
        <v>996</v>
      </c>
      <c r="I314">
        <v>2362</v>
      </c>
      <c r="J314">
        <v>29</v>
      </c>
      <c r="K314">
        <v>2.2999999999999998</v>
      </c>
      <c r="L314">
        <v>22.26</v>
      </c>
      <c r="M314">
        <v>141</v>
      </c>
      <c r="N314">
        <v>90</v>
      </c>
      <c r="O314">
        <v>2.2200000000000002</v>
      </c>
      <c r="P314">
        <v>13.77</v>
      </c>
      <c r="Q314">
        <v>9.56</v>
      </c>
      <c r="R314">
        <v>30.13</v>
      </c>
      <c r="S314">
        <v>42.87</v>
      </c>
      <c r="T314">
        <v>17.420000000000002</v>
      </c>
      <c r="U314">
        <v>0.92</v>
      </c>
      <c r="V314">
        <v>4.7300000000000004</v>
      </c>
      <c r="W314">
        <v>3.38</v>
      </c>
      <c r="X314" s="1">
        <v>43314</v>
      </c>
    </row>
    <row r="315" spans="1:24" x14ac:dyDescent="0.25">
      <c r="A315" t="s">
        <v>200</v>
      </c>
      <c r="B315">
        <v>2018</v>
      </c>
      <c r="C315" s="8" t="s">
        <v>279</v>
      </c>
      <c r="D315">
        <v>7.1</v>
      </c>
      <c r="E315">
        <v>7.8</v>
      </c>
      <c r="F315">
        <v>238</v>
      </c>
      <c r="G315">
        <v>1061</v>
      </c>
      <c r="H315">
        <v>777</v>
      </c>
      <c r="I315">
        <v>2365</v>
      </c>
      <c r="J315">
        <v>28</v>
      </c>
      <c r="K315">
        <v>1.73</v>
      </c>
      <c r="L315">
        <v>27.52</v>
      </c>
      <c r="M315">
        <v>146</v>
      </c>
      <c r="N315">
        <v>115</v>
      </c>
      <c r="O315">
        <v>2.63</v>
      </c>
      <c r="P315">
        <v>12.11</v>
      </c>
      <c r="Q315">
        <v>11.23</v>
      </c>
      <c r="R315">
        <v>26.73</v>
      </c>
      <c r="S315">
        <v>48.82</v>
      </c>
      <c r="T315">
        <v>13.21</v>
      </c>
      <c r="U315">
        <v>0.85</v>
      </c>
      <c r="V315">
        <v>6.89</v>
      </c>
      <c r="W315">
        <v>1.92</v>
      </c>
      <c r="X315" s="1">
        <v>43314</v>
      </c>
    </row>
    <row r="316" spans="1:24" x14ac:dyDescent="0.25">
      <c r="A316" t="s">
        <v>201</v>
      </c>
      <c r="B316">
        <v>2018</v>
      </c>
      <c r="C316" s="8" t="s">
        <v>279</v>
      </c>
      <c r="D316">
        <v>7.1</v>
      </c>
      <c r="E316">
        <v>7.8</v>
      </c>
      <c r="F316">
        <v>243</v>
      </c>
      <c r="G316">
        <v>1373</v>
      </c>
      <c r="H316">
        <v>1010</v>
      </c>
      <c r="I316">
        <v>2942</v>
      </c>
      <c r="J316">
        <v>28</v>
      </c>
      <c r="K316">
        <v>2.2400000000000002</v>
      </c>
      <c r="L316">
        <v>31.03</v>
      </c>
      <c r="M316">
        <v>167</v>
      </c>
      <c r="N316">
        <v>92</v>
      </c>
      <c r="O316">
        <v>3.5</v>
      </c>
      <c r="P316">
        <v>14.92</v>
      </c>
      <c r="Q316">
        <v>11.79</v>
      </c>
      <c r="R316">
        <v>28.19</v>
      </c>
      <c r="S316">
        <v>49.28</v>
      </c>
      <c r="T316">
        <v>10.72</v>
      </c>
      <c r="U316">
        <v>1.24</v>
      </c>
      <c r="V316">
        <v>7.76</v>
      </c>
      <c r="W316">
        <v>3.19</v>
      </c>
      <c r="X316" s="1">
        <v>43314</v>
      </c>
    </row>
    <row r="317" spans="1:24" x14ac:dyDescent="0.25">
      <c r="A317" t="s">
        <v>202</v>
      </c>
      <c r="B317">
        <v>2018</v>
      </c>
      <c r="C317" s="8" t="s">
        <v>279</v>
      </c>
      <c r="D317">
        <v>7.4</v>
      </c>
      <c r="E317">
        <v>7.8</v>
      </c>
      <c r="F317">
        <v>128</v>
      </c>
      <c r="G317">
        <v>1055</v>
      </c>
      <c r="H317">
        <v>947</v>
      </c>
      <c r="I317">
        <v>3031</v>
      </c>
      <c r="J317">
        <v>29</v>
      </c>
      <c r="K317">
        <v>1.88</v>
      </c>
      <c r="L317">
        <v>16.52</v>
      </c>
      <c r="M317">
        <v>154</v>
      </c>
      <c r="N317">
        <v>84</v>
      </c>
      <c r="O317">
        <v>2.74</v>
      </c>
      <c r="P317">
        <v>14.47</v>
      </c>
      <c r="Q317">
        <v>9.34</v>
      </c>
      <c r="R317">
        <v>27.25</v>
      </c>
      <c r="S317">
        <v>52.34</v>
      </c>
      <c r="T317">
        <v>11.05</v>
      </c>
      <c r="U317">
        <v>0.83</v>
      </c>
      <c r="V317">
        <v>2.92</v>
      </c>
      <c r="W317">
        <v>2.9</v>
      </c>
      <c r="X317" s="1">
        <v>43314</v>
      </c>
    </row>
    <row r="318" spans="1:24" x14ac:dyDescent="0.25">
      <c r="A318" t="s">
        <v>203</v>
      </c>
      <c r="B318">
        <v>2018</v>
      </c>
      <c r="C318" s="8" t="s">
        <v>279</v>
      </c>
      <c r="D318">
        <v>6.8</v>
      </c>
      <c r="E318">
        <v>7.75</v>
      </c>
      <c r="F318">
        <v>207</v>
      </c>
      <c r="G318">
        <v>1044</v>
      </c>
      <c r="H318">
        <v>807</v>
      </c>
      <c r="I318">
        <v>2283</v>
      </c>
      <c r="J318">
        <v>29</v>
      </c>
      <c r="K318">
        <v>1.63</v>
      </c>
      <c r="L318">
        <v>23.01</v>
      </c>
      <c r="M318">
        <v>152</v>
      </c>
      <c r="N318">
        <v>95</v>
      </c>
      <c r="O318">
        <v>2.59</v>
      </c>
      <c r="P318">
        <v>12.4</v>
      </c>
      <c r="Q318">
        <v>10.78</v>
      </c>
      <c r="R318">
        <v>27.09</v>
      </c>
      <c r="S318">
        <v>45.99</v>
      </c>
      <c r="T318">
        <v>16.11</v>
      </c>
      <c r="U318">
        <v>0.87</v>
      </c>
      <c r="V318">
        <v>5.03</v>
      </c>
      <c r="W318">
        <v>2.41</v>
      </c>
      <c r="X318" s="1">
        <v>43314</v>
      </c>
    </row>
    <row r="319" spans="1:24" x14ac:dyDescent="0.25">
      <c r="A319" t="s">
        <v>204</v>
      </c>
      <c r="B319">
        <v>2018</v>
      </c>
      <c r="C319" s="8" t="s">
        <v>279</v>
      </c>
      <c r="D319">
        <v>8.3000000000000007</v>
      </c>
      <c r="E319">
        <v>7.85</v>
      </c>
      <c r="F319">
        <v>206</v>
      </c>
      <c r="G319">
        <v>1428</v>
      </c>
      <c r="H319">
        <v>1102</v>
      </c>
      <c r="I319">
        <v>3730</v>
      </c>
      <c r="J319">
        <v>23</v>
      </c>
      <c r="K319">
        <v>3.01</v>
      </c>
      <c r="L319">
        <v>18.91</v>
      </c>
      <c r="M319">
        <v>235</v>
      </c>
      <c r="N319">
        <v>85</v>
      </c>
      <c r="O319">
        <v>3.22</v>
      </c>
      <c r="P319">
        <v>16.940000000000001</v>
      </c>
      <c r="Q319">
        <v>10.8</v>
      </c>
      <c r="R319">
        <v>27.09</v>
      </c>
      <c r="S319">
        <v>55.02</v>
      </c>
      <c r="T319">
        <v>7.08</v>
      </c>
      <c r="U319">
        <v>0.99</v>
      </c>
      <c r="V319">
        <v>2.19</v>
      </c>
      <c r="W319">
        <v>2.48</v>
      </c>
      <c r="X319" s="1">
        <v>43314</v>
      </c>
    </row>
    <row r="320" spans="1:24" x14ac:dyDescent="0.25">
      <c r="A320" t="s">
        <v>205</v>
      </c>
      <c r="B320">
        <v>2018</v>
      </c>
      <c r="C320" s="8" t="s">
        <v>279</v>
      </c>
      <c r="D320">
        <v>8.1</v>
      </c>
      <c r="E320">
        <v>7.9</v>
      </c>
      <c r="F320">
        <v>184</v>
      </c>
      <c r="G320">
        <v>1280</v>
      </c>
      <c r="H320">
        <v>1042</v>
      </c>
      <c r="I320">
        <v>3268</v>
      </c>
      <c r="J320">
        <v>20</v>
      </c>
      <c r="K320">
        <v>2.87</v>
      </c>
      <c r="L320">
        <v>18</v>
      </c>
      <c r="M320">
        <v>227</v>
      </c>
      <c r="N320">
        <v>86</v>
      </c>
      <c r="O320">
        <v>3.1</v>
      </c>
      <c r="P320">
        <v>14.95</v>
      </c>
      <c r="Q320">
        <v>10.97</v>
      </c>
      <c r="R320">
        <v>29.03</v>
      </c>
      <c r="S320">
        <v>54.63</v>
      </c>
      <c r="T320">
        <v>5.35</v>
      </c>
      <c r="U320">
        <v>0.9</v>
      </c>
      <c r="V320">
        <v>2.39</v>
      </c>
      <c r="W320">
        <v>2.14</v>
      </c>
      <c r="X320" s="1">
        <v>43314</v>
      </c>
    </row>
    <row r="321" spans="1:24" x14ac:dyDescent="0.25">
      <c r="A321" t="s">
        <v>206</v>
      </c>
      <c r="B321">
        <v>2018</v>
      </c>
      <c r="C321" s="8" t="s">
        <v>279</v>
      </c>
      <c r="D321">
        <v>8.1999999999999993</v>
      </c>
      <c r="E321">
        <v>7.85</v>
      </c>
      <c r="F321">
        <v>217</v>
      </c>
      <c r="G321">
        <v>1522</v>
      </c>
      <c r="H321">
        <v>1058</v>
      </c>
      <c r="I321">
        <v>3218</v>
      </c>
      <c r="J321">
        <v>27</v>
      </c>
      <c r="K321">
        <v>3.07</v>
      </c>
      <c r="L321">
        <v>17.399999999999999</v>
      </c>
      <c r="M321">
        <v>230</v>
      </c>
      <c r="N321">
        <v>91</v>
      </c>
      <c r="O321">
        <v>3.25</v>
      </c>
      <c r="P321">
        <v>15.6</v>
      </c>
      <c r="Q321">
        <v>12.5</v>
      </c>
      <c r="R321">
        <v>28.25</v>
      </c>
      <c r="S321">
        <v>51.55</v>
      </c>
      <c r="T321">
        <v>7.69</v>
      </c>
      <c r="U321">
        <v>0.92</v>
      </c>
      <c r="V321">
        <v>2.8</v>
      </c>
      <c r="W321">
        <v>2.88</v>
      </c>
      <c r="X321" s="1">
        <v>43314</v>
      </c>
    </row>
    <row r="322" spans="1:24" x14ac:dyDescent="0.25">
      <c r="A322" t="s">
        <v>207</v>
      </c>
      <c r="B322">
        <v>2018</v>
      </c>
      <c r="C322" s="8" t="s">
        <v>279</v>
      </c>
      <c r="D322">
        <v>8.1999999999999993</v>
      </c>
      <c r="E322">
        <v>7.8</v>
      </c>
      <c r="F322">
        <v>393</v>
      </c>
      <c r="G322">
        <v>1809</v>
      </c>
      <c r="H322">
        <v>1211</v>
      </c>
      <c r="I322">
        <v>3909</v>
      </c>
      <c r="J322">
        <v>27</v>
      </c>
      <c r="K322">
        <v>3.19</v>
      </c>
      <c r="L322">
        <v>24.38</v>
      </c>
      <c r="M322">
        <v>230</v>
      </c>
      <c r="N322">
        <v>100</v>
      </c>
      <c r="O322">
        <v>3.25</v>
      </c>
      <c r="P322">
        <v>18.73</v>
      </c>
      <c r="Q322">
        <v>12.37</v>
      </c>
      <c r="R322">
        <v>26.92</v>
      </c>
      <c r="S322">
        <v>52.15</v>
      </c>
      <c r="T322">
        <v>8.5299999999999994</v>
      </c>
      <c r="U322">
        <v>1.1000000000000001</v>
      </c>
      <c r="V322">
        <v>1.56</v>
      </c>
      <c r="W322">
        <v>2.4900000000000002</v>
      </c>
      <c r="X322" s="1">
        <v>43314</v>
      </c>
    </row>
    <row r="323" spans="1:24" x14ac:dyDescent="0.25">
      <c r="A323" t="s">
        <v>218</v>
      </c>
      <c r="B323">
        <v>2018</v>
      </c>
      <c r="C323" s="8" t="s">
        <v>276</v>
      </c>
      <c r="D323">
        <v>7.9</v>
      </c>
      <c r="E323">
        <v>7.8</v>
      </c>
      <c r="F323">
        <v>70</v>
      </c>
      <c r="G323">
        <v>1174</v>
      </c>
      <c r="H323">
        <v>1434</v>
      </c>
      <c r="I323">
        <v>3297</v>
      </c>
      <c r="J323">
        <v>52</v>
      </c>
      <c r="K323">
        <v>4.72</v>
      </c>
      <c r="L323">
        <v>1.93</v>
      </c>
      <c r="M323">
        <v>255</v>
      </c>
      <c r="N323">
        <v>89</v>
      </c>
      <c r="O323">
        <v>4.3</v>
      </c>
      <c r="P323">
        <v>17.32</v>
      </c>
      <c r="Q323">
        <v>8.68</v>
      </c>
      <c r="R323">
        <v>34.49</v>
      </c>
      <c r="S323">
        <v>47.58</v>
      </c>
      <c r="T323">
        <v>9.23</v>
      </c>
      <c r="U323">
        <v>0.7</v>
      </c>
      <c r="V323">
        <v>65.760000000000005</v>
      </c>
      <c r="W323">
        <v>3.2</v>
      </c>
      <c r="X323" s="1">
        <v>43318</v>
      </c>
    </row>
    <row r="324" spans="1:24" x14ac:dyDescent="0.25">
      <c r="A324" t="s">
        <v>219</v>
      </c>
      <c r="B324">
        <v>2018</v>
      </c>
      <c r="C324" s="8" t="s">
        <v>276</v>
      </c>
      <c r="D324">
        <v>7.4</v>
      </c>
      <c r="E324">
        <v>7.8</v>
      </c>
      <c r="F324">
        <v>81</v>
      </c>
      <c r="G324">
        <v>1054</v>
      </c>
      <c r="H324">
        <v>1822</v>
      </c>
      <c r="I324">
        <v>4192</v>
      </c>
      <c r="J324">
        <v>226</v>
      </c>
      <c r="K324">
        <v>4.4000000000000004</v>
      </c>
      <c r="L324">
        <v>1.84</v>
      </c>
      <c r="M324">
        <v>279</v>
      </c>
      <c r="N324">
        <v>87</v>
      </c>
      <c r="O324">
        <v>4.47</v>
      </c>
      <c r="P324">
        <v>21.02</v>
      </c>
      <c r="Q324">
        <v>6.42</v>
      </c>
      <c r="R324">
        <v>36.11</v>
      </c>
      <c r="S324">
        <v>49.85</v>
      </c>
      <c r="T324">
        <v>7.61</v>
      </c>
      <c r="U324">
        <v>0.79</v>
      </c>
      <c r="V324">
        <v>306.14</v>
      </c>
      <c r="W324">
        <v>3.03</v>
      </c>
      <c r="X324" s="1">
        <v>43318</v>
      </c>
    </row>
    <row r="325" spans="1:24" x14ac:dyDescent="0.25">
      <c r="A325" t="s">
        <v>220</v>
      </c>
      <c r="B325">
        <v>2018</v>
      </c>
      <c r="C325" s="8" t="s">
        <v>276</v>
      </c>
      <c r="D325">
        <v>7.5</v>
      </c>
      <c r="E325">
        <v>7.8</v>
      </c>
      <c r="F325">
        <v>49</v>
      </c>
      <c r="G325">
        <v>992</v>
      </c>
      <c r="H325">
        <v>1637</v>
      </c>
      <c r="I325">
        <v>3846</v>
      </c>
      <c r="J325">
        <v>119</v>
      </c>
      <c r="K325">
        <v>4.49</v>
      </c>
      <c r="L325">
        <v>1.38</v>
      </c>
      <c r="M325">
        <v>286</v>
      </c>
      <c r="N325">
        <v>80</v>
      </c>
      <c r="O325">
        <v>4.4400000000000004</v>
      </c>
      <c r="P325">
        <v>19.3</v>
      </c>
      <c r="Q325">
        <v>6.58</v>
      </c>
      <c r="R325">
        <v>35.32</v>
      </c>
      <c r="S325">
        <v>49.79</v>
      </c>
      <c r="T325">
        <v>8.2799999999999994</v>
      </c>
      <c r="U325">
        <v>0.74</v>
      </c>
      <c r="V325">
        <v>145.59</v>
      </c>
      <c r="W325">
        <v>3.07</v>
      </c>
      <c r="X325" s="1">
        <v>43318</v>
      </c>
    </row>
    <row r="326" spans="1:24" x14ac:dyDescent="0.25">
      <c r="A326" t="s">
        <v>221</v>
      </c>
      <c r="B326">
        <v>2018</v>
      </c>
      <c r="C326" s="8" t="s">
        <v>276</v>
      </c>
      <c r="D326">
        <v>7.6</v>
      </c>
      <c r="E326">
        <v>7.75</v>
      </c>
      <c r="F326">
        <v>49</v>
      </c>
      <c r="G326">
        <v>990</v>
      </c>
      <c r="H326">
        <v>1640</v>
      </c>
      <c r="I326">
        <v>3758</v>
      </c>
      <c r="J326">
        <v>96</v>
      </c>
      <c r="K326">
        <v>4.42</v>
      </c>
      <c r="L326">
        <v>1.49</v>
      </c>
      <c r="M326">
        <v>290</v>
      </c>
      <c r="N326">
        <v>81</v>
      </c>
      <c r="O326">
        <v>4.71</v>
      </c>
      <c r="P326">
        <v>19.489999999999998</v>
      </c>
      <c r="Q326">
        <v>6.5</v>
      </c>
      <c r="R326">
        <v>35.04</v>
      </c>
      <c r="S326">
        <v>48.18</v>
      </c>
      <c r="T326">
        <v>10.25</v>
      </c>
      <c r="U326">
        <v>0.79</v>
      </c>
      <c r="V326">
        <v>137.81</v>
      </c>
      <c r="W326">
        <v>3.11</v>
      </c>
      <c r="X326" s="1">
        <v>43318</v>
      </c>
    </row>
    <row r="327" spans="1:24" x14ac:dyDescent="0.25">
      <c r="A327" t="s">
        <v>222</v>
      </c>
      <c r="B327">
        <v>2018</v>
      </c>
      <c r="C327" s="8" t="s">
        <v>279</v>
      </c>
      <c r="D327">
        <v>7.4</v>
      </c>
      <c r="E327">
        <v>7.8</v>
      </c>
      <c r="F327">
        <v>60</v>
      </c>
      <c r="G327">
        <v>1011</v>
      </c>
      <c r="H327">
        <v>1028</v>
      </c>
      <c r="I327">
        <v>2742</v>
      </c>
      <c r="J327">
        <v>30</v>
      </c>
      <c r="K327">
        <v>2.64</v>
      </c>
      <c r="L327">
        <v>1.38</v>
      </c>
      <c r="M327">
        <v>191</v>
      </c>
      <c r="N327">
        <v>83</v>
      </c>
      <c r="O327">
        <v>3.19</v>
      </c>
      <c r="P327">
        <v>14.03</v>
      </c>
      <c r="Q327">
        <v>9.23</v>
      </c>
      <c r="R327">
        <v>30.52</v>
      </c>
      <c r="S327">
        <v>48.84</v>
      </c>
      <c r="T327">
        <v>11.4</v>
      </c>
      <c r="U327">
        <v>0.57999999999999996</v>
      </c>
      <c r="V327">
        <v>28.07</v>
      </c>
      <c r="W327">
        <v>3.39</v>
      </c>
      <c r="X327" s="1">
        <v>43318</v>
      </c>
    </row>
    <row r="328" spans="1:24" x14ac:dyDescent="0.25">
      <c r="A328" t="s">
        <v>223</v>
      </c>
      <c r="B328">
        <v>2018</v>
      </c>
      <c r="C328" s="8" t="s">
        <v>279</v>
      </c>
      <c r="D328">
        <v>7.4</v>
      </c>
      <c r="E328">
        <v>7.85</v>
      </c>
      <c r="F328">
        <v>62</v>
      </c>
      <c r="G328">
        <v>861</v>
      </c>
      <c r="H328">
        <v>1003</v>
      </c>
      <c r="I328">
        <v>2603</v>
      </c>
      <c r="J328">
        <v>20</v>
      </c>
      <c r="K328">
        <v>2.34</v>
      </c>
      <c r="L328">
        <v>1.42</v>
      </c>
      <c r="M328">
        <v>193</v>
      </c>
      <c r="N328">
        <v>85</v>
      </c>
      <c r="O328">
        <v>3.09</v>
      </c>
      <c r="P328">
        <v>12.99</v>
      </c>
      <c r="Q328">
        <v>8.49</v>
      </c>
      <c r="R328">
        <v>32.17</v>
      </c>
      <c r="S328">
        <v>50.09</v>
      </c>
      <c r="T328">
        <v>9.23</v>
      </c>
      <c r="U328">
        <v>0.57999999999999996</v>
      </c>
      <c r="V328">
        <v>12.58</v>
      </c>
      <c r="W328">
        <v>3.11</v>
      </c>
      <c r="X328" s="1">
        <v>43318</v>
      </c>
    </row>
    <row r="329" spans="1:24" x14ac:dyDescent="0.25">
      <c r="A329" t="s">
        <v>224</v>
      </c>
      <c r="B329">
        <v>2018</v>
      </c>
      <c r="C329" s="8" t="s">
        <v>279</v>
      </c>
      <c r="D329">
        <v>7.7</v>
      </c>
      <c r="E329">
        <v>7.8</v>
      </c>
      <c r="F329">
        <v>50</v>
      </c>
      <c r="G329">
        <v>761</v>
      </c>
      <c r="H329">
        <v>940</v>
      </c>
      <c r="I329">
        <v>2517</v>
      </c>
      <c r="J329">
        <v>20</v>
      </c>
      <c r="K329">
        <v>2.2200000000000002</v>
      </c>
      <c r="L329">
        <v>1.1499999999999999</v>
      </c>
      <c r="M329">
        <v>197</v>
      </c>
      <c r="N329">
        <v>88</v>
      </c>
      <c r="O329">
        <v>3.16</v>
      </c>
      <c r="P329">
        <v>12.78</v>
      </c>
      <c r="Q329">
        <v>7.63</v>
      </c>
      <c r="R329">
        <v>30.63</v>
      </c>
      <c r="S329">
        <v>49.21</v>
      </c>
      <c r="T329">
        <v>12.51</v>
      </c>
      <c r="U329">
        <v>0.52</v>
      </c>
      <c r="V329">
        <v>10.63</v>
      </c>
      <c r="W329">
        <v>3.27</v>
      </c>
      <c r="X329" s="1">
        <v>43318</v>
      </c>
    </row>
    <row r="330" spans="1:24" x14ac:dyDescent="0.25">
      <c r="A330" t="s">
        <v>225</v>
      </c>
      <c r="B330">
        <v>2018</v>
      </c>
      <c r="C330" s="8" t="s">
        <v>279</v>
      </c>
      <c r="D330">
        <v>7.4</v>
      </c>
      <c r="E330">
        <v>7.8</v>
      </c>
      <c r="F330">
        <v>52</v>
      </c>
      <c r="G330">
        <v>830</v>
      </c>
      <c r="H330">
        <v>932</v>
      </c>
      <c r="I330">
        <v>2442</v>
      </c>
      <c r="J330">
        <v>29</v>
      </c>
      <c r="K330">
        <v>2.27</v>
      </c>
      <c r="L330">
        <v>1.19</v>
      </c>
      <c r="M330">
        <v>194</v>
      </c>
      <c r="N330">
        <v>81</v>
      </c>
      <c r="O330">
        <v>2.96</v>
      </c>
      <c r="P330">
        <v>12.65</v>
      </c>
      <c r="Q330">
        <v>8.41</v>
      </c>
      <c r="R330">
        <v>30.69</v>
      </c>
      <c r="S330">
        <v>48.25</v>
      </c>
      <c r="T330">
        <v>12.64</v>
      </c>
      <c r="U330">
        <v>0.55000000000000004</v>
      </c>
      <c r="V330">
        <v>20.09</v>
      </c>
      <c r="W330">
        <v>3.31</v>
      </c>
      <c r="X330" s="1">
        <v>43318</v>
      </c>
    </row>
    <row r="331" spans="1:24" x14ac:dyDescent="0.25">
      <c r="A331" t="s">
        <v>227</v>
      </c>
      <c r="B331">
        <v>2018</v>
      </c>
      <c r="C331" s="8" t="s">
        <v>276</v>
      </c>
      <c r="D331">
        <v>7.5</v>
      </c>
      <c r="E331">
        <v>7.75</v>
      </c>
      <c r="F331">
        <v>25</v>
      </c>
      <c r="G331">
        <v>962</v>
      </c>
      <c r="H331">
        <v>757</v>
      </c>
      <c r="I331">
        <v>4307</v>
      </c>
      <c r="J331">
        <v>27</v>
      </c>
      <c r="K331">
        <v>2.06</v>
      </c>
      <c r="L331">
        <v>1.26</v>
      </c>
      <c r="M331">
        <v>283</v>
      </c>
      <c r="N331">
        <v>89</v>
      </c>
      <c r="O331">
        <v>3.76</v>
      </c>
      <c r="P331">
        <v>17.149999999999999</v>
      </c>
      <c r="Q331">
        <v>7.18</v>
      </c>
      <c r="R331">
        <v>18.38</v>
      </c>
      <c r="S331">
        <v>62.76</v>
      </c>
      <c r="T331">
        <v>11.65</v>
      </c>
      <c r="U331">
        <v>1.1100000000000001</v>
      </c>
      <c r="V331">
        <v>11.75</v>
      </c>
      <c r="W331">
        <v>5.4</v>
      </c>
      <c r="X331" s="1">
        <v>43318</v>
      </c>
    </row>
    <row r="332" spans="1:24" x14ac:dyDescent="0.25">
      <c r="A332" t="s">
        <v>228</v>
      </c>
      <c r="B332">
        <v>2018</v>
      </c>
      <c r="C332" s="8" t="s">
        <v>276</v>
      </c>
      <c r="D332">
        <v>7.4</v>
      </c>
      <c r="E332">
        <v>7.8</v>
      </c>
      <c r="F332">
        <v>23</v>
      </c>
      <c r="G332">
        <v>908</v>
      </c>
      <c r="H332">
        <v>747</v>
      </c>
      <c r="I332">
        <v>4685</v>
      </c>
      <c r="J332">
        <v>19</v>
      </c>
      <c r="K332">
        <v>1.94</v>
      </c>
      <c r="L332">
        <v>1.27</v>
      </c>
      <c r="M332">
        <v>285</v>
      </c>
      <c r="N332">
        <v>91</v>
      </c>
      <c r="O332">
        <v>3.86</v>
      </c>
      <c r="P332">
        <v>17.579999999999998</v>
      </c>
      <c r="Q332">
        <v>6.61</v>
      </c>
      <c r="R332">
        <v>17.690000000000001</v>
      </c>
      <c r="S332">
        <v>66.58</v>
      </c>
      <c r="T332">
        <v>9.09</v>
      </c>
      <c r="U332">
        <v>1.1100000000000001</v>
      </c>
      <c r="V332">
        <v>10.42</v>
      </c>
      <c r="W332">
        <v>6.84</v>
      </c>
      <c r="X332" s="1">
        <v>43318</v>
      </c>
    </row>
    <row r="333" spans="1:24" x14ac:dyDescent="0.25">
      <c r="A333" t="s">
        <v>229</v>
      </c>
      <c r="B333">
        <v>2018</v>
      </c>
      <c r="C333" s="8" t="s">
        <v>276</v>
      </c>
      <c r="D333">
        <v>7.5</v>
      </c>
      <c r="E333">
        <v>7.75</v>
      </c>
      <c r="F333">
        <v>40</v>
      </c>
      <c r="G333">
        <v>948</v>
      </c>
      <c r="H333">
        <v>705</v>
      </c>
      <c r="I333">
        <v>4456</v>
      </c>
      <c r="J333">
        <v>22</v>
      </c>
      <c r="K333">
        <v>1.79</v>
      </c>
      <c r="L333">
        <v>1.28</v>
      </c>
      <c r="M333">
        <v>299</v>
      </c>
      <c r="N333">
        <v>90</v>
      </c>
      <c r="O333">
        <v>3.94</v>
      </c>
      <c r="P333">
        <v>17.29</v>
      </c>
      <c r="Q333">
        <v>7.02</v>
      </c>
      <c r="R333">
        <v>16.98</v>
      </c>
      <c r="S333">
        <v>64.41</v>
      </c>
      <c r="T333">
        <v>11.56</v>
      </c>
      <c r="U333">
        <v>1.02</v>
      </c>
      <c r="V333">
        <v>18.79</v>
      </c>
      <c r="W333">
        <v>6.44</v>
      </c>
      <c r="X333" s="1">
        <v>43318</v>
      </c>
    </row>
    <row r="334" spans="1:24" x14ac:dyDescent="0.25">
      <c r="A334" t="s">
        <v>226</v>
      </c>
      <c r="B334">
        <v>2018</v>
      </c>
      <c r="C334" s="8" t="s">
        <v>276</v>
      </c>
      <c r="D334">
        <v>7.5</v>
      </c>
      <c r="E334">
        <v>7.7</v>
      </c>
      <c r="F334">
        <v>23</v>
      </c>
      <c r="G334">
        <v>879</v>
      </c>
      <c r="H334">
        <v>753</v>
      </c>
      <c r="I334">
        <v>4954</v>
      </c>
      <c r="J334">
        <v>21</v>
      </c>
      <c r="K334">
        <v>2.0099999999999998</v>
      </c>
      <c r="L334">
        <v>1.19</v>
      </c>
      <c r="M334">
        <v>292</v>
      </c>
      <c r="N334">
        <v>82</v>
      </c>
      <c r="O334">
        <v>4.05</v>
      </c>
      <c r="P334">
        <v>19.04</v>
      </c>
      <c r="Q334">
        <v>5.91</v>
      </c>
      <c r="R334">
        <v>16.47</v>
      </c>
      <c r="S334">
        <v>65.010000000000005</v>
      </c>
      <c r="T334">
        <v>12.59</v>
      </c>
      <c r="U334">
        <v>1.17</v>
      </c>
      <c r="V334">
        <v>19.88</v>
      </c>
      <c r="W334">
        <v>4.2300000000000004</v>
      </c>
      <c r="X334" s="1">
        <v>43318</v>
      </c>
    </row>
    <row r="335" spans="1:24" x14ac:dyDescent="0.25">
      <c r="A335" t="s">
        <v>145</v>
      </c>
      <c r="B335">
        <v>2018</v>
      </c>
      <c r="C335" t="s">
        <v>275</v>
      </c>
      <c r="D335">
        <v>8.1</v>
      </c>
      <c r="E335">
        <v>7.75</v>
      </c>
      <c r="F335">
        <v>76</v>
      </c>
      <c r="G335">
        <v>1767</v>
      </c>
      <c r="H335">
        <v>2389</v>
      </c>
      <c r="I335">
        <v>4997</v>
      </c>
      <c r="J335">
        <v>38</v>
      </c>
      <c r="K335">
        <v>7.78</v>
      </c>
      <c r="L335">
        <v>5.29</v>
      </c>
      <c r="M335">
        <v>356</v>
      </c>
      <c r="N335">
        <v>79</v>
      </c>
      <c r="O335">
        <v>5.22</v>
      </c>
      <c r="P335">
        <v>26.71</v>
      </c>
      <c r="Q335">
        <v>8.48</v>
      </c>
      <c r="R335">
        <v>37.26</v>
      </c>
      <c r="S335">
        <v>46.76</v>
      </c>
      <c r="T335">
        <v>7.48</v>
      </c>
      <c r="U335">
        <v>1.69</v>
      </c>
      <c r="V335">
        <v>31</v>
      </c>
      <c r="W335">
        <v>3.03</v>
      </c>
      <c r="X335" s="1">
        <v>43311</v>
      </c>
    </row>
    <row r="336" spans="1:24" x14ac:dyDescent="0.25">
      <c r="A336" t="s">
        <v>146</v>
      </c>
      <c r="B336">
        <v>2018</v>
      </c>
      <c r="C336" t="s">
        <v>275</v>
      </c>
      <c r="D336">
        <v>8.1999999999999993</v>
      </c>
      <c r="E336">
        <v>7.55</v>
      </c>
      <c r="F336">
        <v>58</v>
      </c>
      <c r="G336">
        <v>1959</v>
      </c>
      <c r="H336">
        <v>2211</v>
      </c>
      <c r="I336">
        <v>4948</v>
      </c>
      <c r="J336">
        <v>31</v>
      </c>
      <c r="K336">
        <v>7.97</v>
      </c>
      <c r="L336">
        <v>4.96</v>
      </c>
      <c r="M336">
        <v>332</v>
      </c>
      <c r="N336">
        <v>70</v>
      </c>
      <c r="O336">
        <v>5.09</v>
      </c>
      <c r="P336">
        <v>27.69</v>
      </c>
      <c r="Q336">
        <v>9.06</v>
      </c>
      <c r="R336">
        <v>33.26</v>
      </c>
      <c r="S336">
        <v>44.66</v>
      </c>
      <c r="T336">
        <v>12.99</v>
      </c>
      <c r="U336">
        <v>1.72</v>
      </c>
      <c r="V336">
        <v>15.3</v>
      </c>
      <c r="W336">
        <v>2.71</v>
      </c>
      <c r="X336" s="1">
        <v>43311</v>
      </c>
    </row>
    <row r="337" spans="1:24" x14ac:dyDescent="0.25">
      <c r="A337" t="s">
        <v>147</v>
      </c>
      <c r="B337">
        <v>2018</v>
      </c>
      <c r="C337" t="s">
        <v>277</v>
      </c>
      <c r="D337">
        <v>8.1</v>
      </c>
      <c r="E337">
        <v>7.8</v>
      </c>
      <c r="F337">
        <v>58</v>
      </c>
      <c r="G337">
        <v>1536</v>
      </c>
      <c r="H337">
        <v>1755</v>
      </c>
      <c r="I337">
        <v>4509</v>
      </c>
      <c r="J337">
        <v>33</v>
      </c>
      <c r="K337">
        <v>6.05</v>
      </c>
      <c r="L337">
        <v>7.43</v>
      </c>
      <c r="M337">
        <v>344</v>
      </c>
      <c r="N337">
        <v>73</v>
      </c>
      <c r="O337">
        <v>4.88</v>
      </c>
      <c r="P337">
        <v>22.15</v>
      </c>
      <c r="Q337">
        <v>8.8800000000000008</v>
      </c>
      <c r="R337">
        <v>33</v>
      </c>
      <c r="S337">
        <v>50.88</v>
      </c>
      <c r="T337">
        <v>7.22</v>
      </c>
      <c r="U337">
        <v>1.49</v>
      </c>
      <c r="V337">
        <v>32</v>
      </c>
      <c r="W337">
        <v>2.2999999999999998</v>
      </c>
      <c r="X337" s="1">
        <v>43311</v>
      </c>
    </row>
    <row r="338" spans="1:24" x14ac:dyDescent="0.25">
      <c r="A338" t="s">
        <v>148</v>
      </c>
      <c r="B338">
        <v>2018</v>
      </c>
      <c r="C338" t="s">
        <v>277</v>
      </c>
      <c r="D338">
        <v>7.9</v>
      </c>
      <c r="E338">
        <v>7.55</v>
      </c>
      <c r="F338">
        <v>39</v>
      </c>
      <c r="G338">
        <v>1605</v>
      </c>
      <c r="H338">
        <v>1765</v>
      </c>
      <c r="I338">
        <v>4093</v>
      </c>
      <c r="J338">
        <v>32</v>
      </c>
      <c r="K338">
        <v>5.19</v>
      </c>
      <c r="L338">
        <v>6.57</v>
      </c>
      <c r="M338">
        <v>403</v>
      </c>
      <c r="N338">
        <v>71</v>
      </c>
      <c r="O338">
        <v>5.13</v>
      </c>
      <c r="P338">
        <v>23.24</v>
      </c>
      <c r="Q338">
        <v>8.85</v>
      </c>
      <c r="R338">
        <v>31.63</v>
      </c>
      <c r="S338">
        <v>44.02</v>
      </c>
      <c r="T338">
        <v>15.48</v>
      </c>
      <c r="U338">
        <v>1.3</v>
      </c>
      <c r="V338">
        <v>26</v>
      </c>
      <c r="W338">
        <v>3.33</v>
      </c>
      <c r="X338" s="1">
        <v>43311</v>
      </c>
    </row>
    <row r="339" spans="1:24" x14ac:dyDescent="0.25">
      <c r="A339" t="s">
        <v>149</v>
      </c>
      <c r="B339">
        <v>2018</v>
      </c>
      <c r="C339" t="s">
        <v>277</v>
      </c>
      <c r="D339">
        <v>8</v>
      </c>
      <c r="E339">
        <v>7.75</v>
      </c>
      <c r="F339">
        <v>52</v>
      </c>
      <c r="G339">
        <v>1541</v>
      </c>
      <c r="H339">
        <v>1653</v>
      </c>
      <c r="I339">
        <v>4228</v>
      </c>
      <c r="J339">
        <v>34</v>
      </c>
      <c r="K339">
        <v>5.16</v>
      </c>
      <c r="L339">
        <v>6.83</v>
      </c>
      <c r="M339">
        <v>395</v>
      </c>
      <c r="N339">
        <v>69</v>
      </c>
      <c r="O339">
        <v>4.83</v>
      </c>
      <c r="P339">
        <v>21.43</v>
      </c>
      <c r="Q339">
        <v>9.2100000000000009</v>
      </c>
      <c r="R339">
        <v>32.130000000000003</v>
      </c>
      <c r="S339">
        <v>49.31</v>
      </c>
      <c r="T339">
        <v>9.33</v>
      </c>
      <c r="U339">
        <v>1.43</v>
      </c>
      <c r="V339">
        <v>31.2</v>
      </c>
      <c r="W339">
        <v>2.87</v>
      </c>
      <c r="X339" s="1">
        <v>43311</v>
      </c>
    </row>
    <row r="340" spans="1:24" x14ac:dyDescent="0.25">
      <c r="A340" t="s">
        <v>150</v>
      </c>
      <c r="B340">
        <v>2018</v>
      </c>
      <c r="C340" t="s">
        <v>277</v>
      </c>
      <c r="D340">
        <v>7.8</v>
      </c>
      <c r="E340">
        <v>7.65</v>
      </c>
      <c r="F340">
        <v>49</v>
      </c>
      <c r="G340">
        <v>1405</v>
      </c>
      <c r="H340">
        <v>1672</v>
      </c>
      <c r="I340">
        <v>4153</v>
      </c>
      <c r="J340">
        <v>34</v>
      </c>
      <c r="K340">
        <v>5.17</v>
      </c>
      <c r="L340">
        <v>12.27</v>
      </c>
      <c r="M340">
        <v>357</v>
      </c>
      <c r="N340">
        <v>72</v>
      </c>
      <c r="O340">
        <v>4.7699999999999996</v>
      </c>
      <c r="P340">
        <v>21.95</v>
      </c>
      <c r="Q340">
        <v>8.1999999999999993</v>
      </c>
      <c r="R340">
        <v>31.73</v>
      </c>
      <c r="S340">
        <v>47.29</v>
      </c>
      <c r="T340">
        <v>12.75</v>
      </c>
      <c r="U340">
        <v>1.62</v>
      </c>
      <c r="V340">
        <v>30.3</v>
      </c>
      <c r="W340">
        <v>2.69</v>
      </c>
      <c r="X340" s="1">
        <v>43311</v>
      </c>
    </row>
    <row r="341" spans="1:24" x14ac:dyDescent="0.25">
      <c r="A341" t="s">
        <v>151</v>
      </c>
      <c r="B341">
        <v>2018</v>
      </c>
      <c r="C341" t="s">
        <v>276</v>
      </c>
      <c r="D341">
        <v>8.1</v>
      </c>
      <c r="E341">
        <v>7.6</v>
      </c>
      <c r="F341">
        <v>131</v>
      </c>
      <c r="G341">
        <v>1174</v>
      </c>
      <c r="H341">
        <v>1953</v>
      </c>
      <c r="I341">
        <v>4882</v>
      </c>
      <c r="J341">
        <v>119</v>
      </c>
      <c r="K341">
        <v>7.19</v>
      </c>
      <c r="L341">
        <v>2.4300000000000002</v>
      </c>
      <c r="M341">
        <v>348</v>
      </c>
      <c r="N341">
        <v>86</v>
      </c>
      <c r="O341">
        <v>5.75</v>
      </c>
      <c r="P341">
        <v>25.04</v>
      </c>
      <c r="Q341">
        <v>6</v>
      </c>
      <c r="R341">
        <v>32.479999999999997</v>
      </c>
      <c r="S341">
        <v>48.72</v>
      </c>
      <c r="T341">
        <v>12.77</v>
      </c>
      <c r="U341">
        <v>1.26</v>
      </c>
      <c r="V341">
        <v>17</v>
      </c>
      <c r="W341">
        <v>2.93</v>
      </c>
      <c r="X341" s="1">
        <v>43311</v>
      </c>
    </row>
    <row r="342" spans="1:24" x14ac:dyDescent="0.25">
      <c r="A342" t="s">
        <v>152</v>
      </c>
      <c r="B342">
        <v>2018</v>
      </c>
      <c r="C342" t="s">
        <v>276</v>
      </c>
      <c r="D342">
        <v>8.1</v>
      </c>
      <c r="E342">
        <v>7.75</v>
      </c>
      <c r="F342">
        <v>105</v>
      </c>
      <c r="G342">
        <v>1082</v>
      </c>
      <c r="H342">
        <v>1951</v>
      </c>
      <c r="I342">
        <v>4802</v>
      </c>
      <c r="J342">
        <v>65</v>
      </c>
      <c r="K342">
        <v>6.8</v>
      </c>
      <c r="L342">
        <v>2.54</v>
      </c>
      <c r="M342">
        <v>310</v>
      </c>
      <c r="N342">
        <v>95</v>
      </c>
      <c r="O342">
        <v>5.75</v>
      </c>
      <c r="P342">
        <v>23.52</v>
      </c>
      <c r="Q342">
        <v>5.89</v>
      </c>
      <c r="R342">
        <v>34.56</v>
      </c>
      <c r="S342">
        <v>51.03</v>
      </c>
      <c r="T342">
        <v>8.5</v>
      </c>
      <c r="U342">
        <v>1.27</v>
      </c>
      <c r="V342">
        <v>15</v>
      </c>
      <c r="W342">
        <v>5.5</v>
      </c>
      <c r="X342" s="1">
        <v>43311</v>
      </c>
    </row>
    <row r="343" spans="1:24" x14ac:dyDescent="0.25">
      <c r="A343" t="s">
        <v>153</v>
      </c>
      <c r="B343">
        <v>2018</v>
      </c>
      <c r="C343" t="s">
        <v>276</v>
      </c>
      <c r="D343">
        <v>7.9</v>
      </c>
      <c r="E343">
        <v>7.8</v>
      </c>
      <c r="F343">
        <v>220</v>
      </c>
      <c r="G343">
        <v>1177</v>
      </c>
      <c r="H343">
        <v>1823</v>
      </c>
      <c r="I343">
        <v>4462</v>
      </c>
      <c r="J343">
        <v>74</v>
      </c>
      <c r="K343">
        <v>5.9</v>
      </c>
      <c r="L343">
        <v>3.6</v>
      </c>
      <c r="M343">
        <v>325</v>
      </c>
      <c r="N343">
        <v>98</v>
      </c>
      <c r="O343">
        <v>5.28</v>
      </c>
      <c r="P343">
        <v>21.85</v>
      </c>
      <c r="Q343">
        <v>6.9</v>
      </c>
      <c r="R343">
        <v>34.74</v>
      </c>
      <c r="S343">
        <v>51.02</v>
      </c>
      <c r="T343">
        <v>7.31</v>
      </c>
      <c r="U343">
        <v>1.1499999999999999</v>
      </c>
      <c r="V343">
        <v>20</v>
      </c>
      <c r="W343">
        <v>5.4</v>
      </c>
      <c r="X343" s="1">
        <v>43311</v>
      </c>
    </row>
    <row r="344" spans="1:24" x14ac:dyDescent="0.25">
      <c r="A344" t="s">
        <v>154</v>
      </c>
      <c r="B344">
        <v>2018</v>
      </c>
      <c r="C344" t="s">
        <v>276</v>
      </c>
      <c r="D344">
        <v>8</v>
      </c>
      <c r="E344">
        <v>7.6</v>
      </c>
      <c r="F344">
        <v>169</v>
      </c>
      <c r="G344">
        <v>1292</v>
      </c>
      <c r="H344">
        <v>1851</v>
      </c>
      <c r="I344">
        <v>4866</v>
      </c>
      <c r="J344">
        <v>30</v>
      </c>
      <c r="K344">
        <v>5.55</v>
      </c>
      <c r="L344">
        <v>3.75</v>
      </c>
      <c r="M344">
        <v>342</v>
      </c>
      <c r="N344">
        <v>94</v>
      </c>
      <c r="O344">
        <v>5.28</v>
      </c>
      <c r="P344">
        <v>24.73</v>
      </c>
      <c r="Q344">
        <v>6.69</v>
      </c>
      <c r="R344">
        <v>31.18</v>
      </c>
      <c r="S344">
        <v>49.18</v>
      </c>
      <c r="T344">
        <v>12.93</v>
      </c>
      <c r="U344">
        <v>1.21</v>
      </c>
      <c r="V344">
        <v>5.8</v>
      </c>
      <c r="W344">
        <v>3.82</v>
      </c>
      <c r="X344" s="1">
        <v>43311</v>
      </c>
    </row>
    <row r="345" spans="1:24" x14ac:dyDescent="0.25">
      <c r="A345" t="s">
        <v>135</v>
      </c>
      <c r="B345">
        <v>2018</v>
      </c>
      <c r="C345" t="s">
        <v>275</v>
      </c>
      <c r="D345">
        <v>8.6999999999999993</v>
      </c>
      <c r="E345">
        <v>7.8</v>
      </c>
      <c r="F345">
        <v>122</v>
      </c>
      <c r="G345">
        <v>1487</v>
      </c>
      <c r="H345">
        <v>2031</v>
      </c>
      <c r="I345">
        <v>4832</v>
      </c>
      <c r="J345">
        <v>33</v>
      </c>
      <c r="K345">
        <v>7.27</v>
      </c>
      <c r="L345">
        <v>4.33</v>
      </c>
      <c r="M345">
        <v>345</v>
      </c>
      <c r="N345">
        <v>87</v>
      </c>
      <c r="O345">
        <v>4.59</v>
      </c>
      <c r="P345">
        <v>24.04</v>
      </c>
      <c r="Q345">
        <v>7.92</v>
      </c>
      <c r="R345">
        <v>35.18</v>
      </c>
      <c r="S345">
        <v>50.23</v>
      </c>
      <c r="T345">
        <v>6.65</v>
      </c>
      <c r="U345">
        <v>1.32</v>
      </c>
      <c r="V345">
        <v>2.1</v>
      </c>
      <c r="W345">
        <v>2.83</v>
      </c>
      <c r="X345" s="1">
        <v>43311</v>
      </c>
    </row>
    <row r="346" spans="1:24" x14ac:dyDescent="0.25">
      <c r="A346" t="s">
        <v>136</v>
      </c>
      <c r="B346">
        <v>2018</v>
      </c>
      <c r="C346" t="s">
        <v>275</v>
      </c>
      <c r="D346">
        <v>8.5</v>
      </c>
      <c r="E346">
        <v>7.8</v>
      </c>
      <c r="F346">
        <v>132</v>
      </c>
      <c r="G346">
        <v>1353</v>
      </c>
      <c r="H346">
        <v>1932</v>
      </c>
      <c r="I346">
        <v>4446</v>
      </c>
      <c r="J346">
        <v>30</v>
      </c>
      <c r="K346">
        <v>6.7</v>
      </c>
      <c r="L346">
        <v>5.39</v>
      </c>
      <c r="M346">
        <v>371</v>
      </c>
      <c r="N346">
        <v>80</v>
      </c>
      <c r="O346">
        <v>4.5</v>
      </c>
      <c r="P346">
        <v>22.49</v>
      </c>
      <c r="Q346">
        <v>7.7</v>
      </c>
      <c r="R346">
        <v>35.770000000000003</v>
      </c>
      <c r="S346">
        <v>49.4</v>
      </c>
      <c r="T346">
        <v>7.11</v>
      </c>
      <c r="U346">
        <v>1.23</v>
      </c>
      <c r="V346">
        <v>5.0999999999999996</v>
      </c>
      <c r="W346">
        <v>2.59</v>
      </c>
      <c r="X346" s="1">
        <v>43311</v>
      </c>
    </row>
    <row r="347" spans="1:24" x14ac:dyDescent="0.25">
      <c r="A347" t="s">
        <v>137</v>
      </c>
      <c r="B347">
        <v>2018</v>
      </c>
      <c r="C347" t="s">
        <v>275</v>
      </c>
      <c r="D347">
        <v>8.5</v>
      </c>
      <c r="E347">
        <v>7.8</v>
      </c>
      <c r="F347">
        <v>100</v>
      </c>
      <c r="G347">
        <v>1423</v>
      </c>
      <c r="H347">
        <v>2059</v>
      </c>
      <c r="I347">
        <v>4478</v>
      </c>
      <c r="J347">
        <v>28</v>
      </c>
      <c r="K347">
        <v>6.23</v>
      </c>
      <c r="L347">
        <v>4.46</v>
      </c>
      <c r="M347">
        <v>345</v>
      </c>
      <c r="N347">
        <v>82</v>
      </c>
      <c r="O347">
        <v>4.5199999999999996</v>
      </c>
      <c r="P347">
        <v>23.19</v>
      </c>
      <c r="Q347">
        <v>7.86</v>
      </c>
      <c r="R347">
        <v>36.979999999999997</v>
      </c>
      <c r="S347">
        <v>48.25</v>
      </c>
      <c r="T347">
        <v>6.89</v>
      </c>
      <c r="U347">
        <v>1.34</v>
      </c>
      <c r="V347">
        <v>4.5</v>
      </c>
      <c r="W347">
        <v>2.4500000000000002</v>
      </c>
      <c r="X347" s="1">
        <v>43311</v>
      </c>
    </row>
    <row r="348" spans="1:24" x14ac:dyDescent="0.25">
      <c r="A348" t="s">
        <v>138</v>
      </c>
      <c r="B348">
        <v>2018</v>
      </c>
      <c r="C348" t="s">
        <v>275</v>
      </c>
      <c r="D348">
        <v>8.5</v>
      </c>
      <c r="E348">
        <v>7.75</v>
      </c>
      <c r="F348">
        <v>81</v>
      </c>
      <c r="G348">
        <v>1578</v>
      </c>
      <c r="H348">
        <v>1879</v>
      </c>
      <c r="I348">
        <v>4726</v>
      </c>
      <c r="J348">
        <v>48</v>
      </c>
      <c r="K348">
        <v>6.36</v>
      </c>
      <c r="L348">
        <v>4.12</v>
      </c>
      <c r="M348">
        <v>332</v>
      </c>
      <c r="N348">
        <v>80</v>
      </c>
      <c r="O348">
        <v>4.5199999999999996</v>
      </c>
      <c r="P348">
        <v>23.66</v>
      </c>
      <c r="Q348">
        <v>8.5399999999999991</v>
      </c>
      <c r="R348">
        <v>33.08</v>
      </c>
      <c r="S348">
        <v>49.92</v>
      </c>
      <c r="T348">
        <v>8.4499999999999993</v>
      </c>
      <c r="U348">
        <v>1.52</v>
      </c>
      <c r="V348">
        <v>10.1</v>
      </c>
      <c r="W348">
        <v>2.64</v>
      </c>
      <c r="X348" s="1">
        <v>43311</v>
      </c>
    </row>
    <row r="349" spans="1:24" x14ac:dyDescent="0.25">
      <c r="A349" t="s">
        <v>139</v>
      </c>
      <c r="B349">
        <v>2018</v>
      </c>
      <c r="C349" t="s">
        <v>276</v>
      </c>
      <c r="D349">
        <v>8.1</v>
      </c>
      <c r="E349">
        <v>7.75</v>
      </c>
      <c r="F349">
        <v>61</v>
      </c>
      <c r="G349">
        <v>1501</v>
      </c>
      <c r="H349">
        <v>1990</v>
      </c>
      <c r="I349">
        <v>4783</v>
      </c>
      <c r="J349">
        <v>66</v>
      </c>
      <c r="K349">
        <v>7.41</v>
      </c>
      <c r="L349">
        <v>4.91</v>
      </c>
      <c r="M349">
        <v>358</v>
      </c>
      <c r="N349">
        <v>79</v>
      </c>
      <c r="O349">
        <v>4.74</v>
      </c>
      <c r="P349">
        <v>24.17</v>
      </c>
      <c r="Q349">
        <v>7.96</v>
      </c>
      <c r="R349">
        <v>34.299999999999997</v>
      </c>
      <c r="S349">
        <v>49.46</v>
      </c>
      <c r="T349">
        <v>8.27</v>
      </c>
      <c r="U349">
        <v>1.64</v>
      </c>
      <c r="V349">
        <v>67.8</v>
      </c>
      <c r="W349">
        <v>2.88</v>
      </c>
      <c r="X349" s="1">
        <v>43311</v>
      </c>
    </row>
    <row r="350" spans="1:24" x14ac:dyDescent="0.25">
      <c r="A350" t="s">
        <v>140</v>
      </c>
      <c r="B350">
        <v>2018</v>
      </c>
      <c r="C350" t="s">
        <v>276</v>
      </c>
      <c r="D350">
        <v>8.3000000000000007</v>
      </c>
      <c r="E350">
        <v>7.75</v>
      </c>
      <c r="F350">
        <v>118</v>
      </c>
      <c r="G350">
        <v>1535</v>
      </c>
      <c r="H350">
        <v>1973</v>
      </c>
      <c r="I350">
        <v>4456</v>
      </c>
      <c r="J350">
        <v>47</v>
      </c>
      <c r="K350">
        <v>7.44</v>
      </c>
      <c r="L350">
        <v>5.58</v>
      </c>
      <c r="M350">
        <v>366</v>
      </c>
      <c r="N350">
        <v>85</v>
      </c>
      <c r="O350">
        <v>4.47</v>
      </c>
      <c r="P350">
        <v>23.32</v>
      </c>
      <c r="Q350">
        <v>8.43</v>
      </c>
      <c r="R350">
        <v>35.229999999999997</v>
      </c>
      <c r="S350">
        <v>47.75</v>
      </c>
      <c r="T350">
        <v>8.57</v>
      </c>
      <c r="U350">
        <v>1.44</v>
      </c>
      <c r="V350">
        <v>30.8</v>
      </c>
      <c r="W350">
        <v>2.59</v>
      </c>
      <c r="X350" s="1">
        <v>43311</v>
      </c>
    </row>
    <row r="351" spans="1:24" x14ac:dyDescent="0.25">
      <c r="A351" t="s">
        <v>141</v>
      </c>
      <c r="B351">
        <v>2018</v>
      </c>
      <c r="C351" t="s">
        <v>276</v>
      </c>
      <c r="D351">
        <v>8.1999999999999993</v>
      </c>
      <c r="E351">
        <v>7.75</v>
      </c>
      <c r="F351">
        <v>173</v>
      </c>
      <c r="G351">
        <v>1549</v>
      </c>
      <c r="H351">
        <v>2076</v>
      </c>
      <c r="I351">
        <v>4449</v>
      </c>
      <c r="J351">
        <v>51</v>
      </c>
      <c r="K351">
        <v>6.89</v>
      </c>
      <c r="L351">
        <v>7.75</v>
      </c>
      <c r="M351">
        <v>400</v>
      </c>
      <c r="N351">
        <v>84</v>
      </c>
      <c r="O351">
        <v>4.95</v>
      </c>
      <c r="P351">
        <v>23.75</v>
      </c>
      <c r="Q351">
        <v>8.35</v>
      </c>
      <c r="R351">
        <v>36.4</v>
      </c>
      <c r="S351">
        <v>46.81</v>
      </c>
      <c r="T351">
        <v>8.41</v>
      </c>
      <c r="U351">
        <v>1.55</v>
      </c>
      <c r="V351">
        <v>11.7</v>
      </c>
      <c r="W351">
        <v>3.39</v>
      </c>
      <c r="X351" s="1">
        <v>43311</v>
      </c>
    </row>
    <row r="352" spans="1:24" x14ac:dyDescent="0.25">
      <c r="A352" t="s">
        <v>142</v>
      </c>
      <c r="B352">
        <v>2018</v>
      </c>
      <c r="C352" t="s">
        <v>276</v>
      </c>
      <c r="D352">
        <v>8.3000000000000007</v>
      </c>
      <c r="E352">
        <v>7.7</v>
      </c>
      <c r="F352">
        <v>137</v>
      </c>
      <c r="G352">
        <v>1373</v>
      </c>
      <c r="H352">
        <v>1824</v>
      </c>
      <c r="I352">
        <v>4256</v>
      </c>
      <c r="J352">
        <v>38</v>
      </c>
      <c r="K352">
        <v>6.63</v>
      </c>
      <c r="L352">
        <v>6.24</v>
      </c>
      <c r="M352">
        <v>370</v>
      </c>
      <c r="N352">
        <v>83</v>
      </c>
      <c r="O352">
        <v>4.17</v>
      </c>
      <c r="P352">
        <v>22.4</v>
      </c>
      <c r="Q352">
        <v>7.85</v>
      </c>
      <c r="R352">
        <v>33.92</v>
      </c>
      <c r="S352">
        <v>47.49</v>
      </c>
      <c r="T352">
        <v>10.71</v>
      </c>
      <c r="U352">
        <v>1.38</v>
      </c>
      <c r="V352">
        <v>8.9</v>
      </c>
      <c r="W352">
        <v>3.74</v>
      </c>
      <c r="X352" s="1">
        <v>43311</v>
      </c>
    </row>
    <row r="353" spans="1:24" x14ac:dyDescent="0.25">
      <c r="A353" t="s">
        <v>143</v>
      </c>
      <c r="B353">
        <v>2018</v>
      </c>
      <c r="C353" t="s">
        <v>275</v>
      </c>
      <c r="D353">
        <v>8.3000000000000007</v>
      </c>
      <c r="E353">
        <v>7.8</v>
      </c>
      <c r="F353">
        <v>78</v>
      </c>
      <c r="G353">
        <v>1903</v>
      </c>
      <c r="H353">
        <v>2161</v>
      </c>
      <c r="I353">
        <v>4874</v>
      </c>
      <c r="J353">
        <v>35</v>
      </c>
      <c r="K353">
        <v>7.9</v>
      </c>
      <c r="L353">
        <v>6.77</v>
      </c>
      <c r="M353">
        <v>318</v>
      </c>
      <c r="N353">
        <v>76</v>
      </c>
      <c r="O353">
        <v>4.6399999999999997</v>
      </c>
      <c r="P353">
        <v>25.22</v>
      </c>
      <c r="Q353">
        <v>9.67</v>
      </c>
      <c r="R353">
        <v>35.68</v>
      </c>
      <c r="S353">
        <v>48.29</v>
      </c>
      <c r="T353">
        <v>6.34</v>
      </c>
      <c r="U353">
        <v>1.68</v>
      </c>
      <c r="V353">
        <v>19</v>
      </c>
      <c r="W353">
        <v>2.98</v>
      </c>
      <c r="X353" s="1">
        <v>43311</v>
      </c>
    </row>
    <row r="354" spans="1:24" x14ac:dyDescent="0.25">
      <c r="A354" t="s">
        <v>144</v>
      </c>
      <c r="B354">
        <v>2018</v>
      </c>
      <c r="C354" t="s">
        <v>275</v>
      </c>
      <c r="D354">
        <v>8.4</v>
      </c>
      <c r="E354">
        <v>7.75</v>
      </c>
      <c r="F354">
        <v>71</v>
      </c>
      <c r="G354">
        <v>1751</v>
      </c>
      <c r="H354">
        <v>2257</v>
      </c>
      <c r="I354">
        <v>4940</v>
      </c>
      <c r="J354">
        <v>30</v>
      </c>
      <c r="K354">
        <v>9.14</v>
      </c>
      <c r="L354">
        <v>6.07</v>
      </c>
      <c r="M354">
        <v>345</v>
      </c>
      <c r="N354">
        <v>75</v>
      </c>
      <c r="O354">
        <v>4.6399999999999997</v>
      </c>
      <c r="P354">
        <v>25.99</v>
      </c>
      <c r="Q354">
        <v>8.6300000000000008</v>
      </c>
      <c r="R354">
        <v>36.17</v>
      </c>
      <c r="S354">
        <v>47.5</v>
      </c>
      <c r="T354">
        <v>7.69</v>
      </c>
      <c r="U354">
        <v>1.58</v>
      </c>
      <c r="V354">
        <v>7.7</v>
      </c>
      <c r="W354">
        <v>2.42</v>
      </c>
      <c r="X354" s="1">
        <v>43311</v>
      </c>
    </row>
    <row r="355" spans="1:24" x14ac:dyDescent="0.25">
      <c r="A355" t="s">
        <v>155</v>
      </c>
      <c r="B355">
        <v>2018</v>
      </c>
      <c r="C355" t="s">
        <v>275</v>
      </c>
      <c r="D355">
        <v>8.1</v>
      </c>
      <c r="E355">
        <v>7.7</v>
      </c>
      <c r="F355">
        <v>160</v>
      </c>
      <c r="G355">
        <v>1838</v>
      </c>
      <c r="H355">
        <v>2383</v>
      </c>
      <c r="I355">
        <v>5502</v>
      </c>
      <c r="J355">
        <v>30</v>
      </c>
      <c r="K355">
        <v>6.22</v>
      </c>
      <c r="L355">
        <v>16.760000000000002</v>
      </c>
      <c r="M355">
        <v>315</v>
      </c>
      <c r="N355">
        <v>74</v>
      </c>
      <c r="O355">
        <v>4.83</v>
      </c>
      <c r="P355">
        <v>28.44</v>
      </c>
      <c r="Q355">
        <v>8.2799999999999994</v>
      </c>
      <c r="R355">
        <v>34.909999999999997</v>
      </c>
      <c r="S355">
        <v>48.36</v>
      </c>
      <c r="T355">
        <v>8.43</v>
      </c>
      <c r="U355">
        <v>2.3199999999999998</v>
      </c>
      <c r="V355">
        <v>19.5</v>
      </c>
      <c r="W355">
        <v>3.61</v>
      </c>
      <c r="X355" s="1">
        <v>43311</v>
      </c>
    </row>
    <row r="356" spans="1:24" x14ac:dyDescent="0.25">
      <c r="A356" t="s">
        <v>156</v>
      </c>
      <c r="B356">
        <v>2018</v>
      </c>
      <c r="C356" t="s">
        <v>275</v>
      </c>
      <c r="D356">
        <v>8.1</v>
      </c>
      <c r="E356">
        <v>7.55</v>
      </c>
      <c r="F356">
        <v>48</v>
      </c>
      <c r="G356">
        <v>1561</v>
      </c>
      <c r="H356">
        <v>2369</v>
      </c>
      <c r="I356">
        <v>5105</v>
      </c>
      <c r="J356">
        <v>25</v>
      </c>
      <c r="K356">
        <v>5.68</v>
      </c>
      <c r="L356">
        <v>9.19</v>
      </c>
      <c r="M356">
        <v>340</v>
      </c>
      <c r="N356">
        <v>80</v>
      </c>
      <c r="O356">
        <v>5.19</v>
      </c>
      <c r="P356">
        <v>28.23</v>
      </c>
      <c r="Q356">
        <v>7.08</v>
      </c>
      <c r="R356">
        <v>34.96</v>
      </c>
      <c r="S356">
        <v>45.2</v>
      </c>
      <c r="T356">
        <v>12.75</v>
      </c>
      <c r="U356">
        <v>1.81</v>
      </c>
      <c r="V356">
        <v>4.72</v>
      </c>
      <c r="W356">
        <v>3.28</v>
      </c>
      <c r="X356" s="1">
        <v>43311</v>
      </c>
    </row>
    <row r="357" spans="1:24" x14ac:dyDescent="0.25">
      <c r="A357" t="s">
        <v>157</v>
      </c>
      <c r="B357">
        <v>2018</v>
      </c>
      <c r="C357" t="s">
        <v>275</v>
      </c>
      <c r="D357">
        <v>8.1999999999999993</v>
      </c>
      <c r="E357">
        <v>7.75</v>
      </c>
      <c r="F357">
        <v>97</v>
      </c>
      <c r="G357">
        <v>1641</v>
      </c>
      <c r="H357">
        <v>2321</v>
      </c>
      <c r="I357">
        <v>5421</v>
      </c>
      <c r="J357">
        <v>25</v>
      </c>
      <c r="K357">
        <v>5.91</v>
      </c>
      <c r="L357">
        <v>11.28</v>
      </c>
      <c r="M357">
        <v>322</v>
      </c>
      <c r="N357">
        <v>74</v>
      </c>
      <c r="O357">
        <v>4.79</v>
      </c>
      <c r="P357">
        <v>27.32</v>
      </c>
      <c r="Q357">
        <v>7.69</v>
      </c>
      <c r="R357">
        <v>35.380000000000003</v>
      </c>
      <c r="S357">
        <v>49.59</v>
      </c>
      <c r="T357">
        <v>7.31</v>
      </c>
      <c r="U357">
        <v>2.0099999999999998</v>
      </c>
      <c r="V357">
        <v>13.2</v>
      </c>
      <c r="W357">
        <v>2.97</v>
      </c>
      <c r="X357" s="1">
        <v>43311</v>
      </c>
    </row>
    <row r="358" spans="1:24" x14ac:dyDescent="0.25">
      <c r="A358" t="s">
        <v>158</v>
      </c>
      <c r="B358">
        <v>2018</v>
      </c>
      <c r="C358" t="s">
        <v>275</v>
      </c>
      <c r="D358">
        <v>8.1</v>
      </c>
      <c r="E358">
        <v>7.7</v>
      </c>
      <c r="F358">
        <v>82</v>
      </c>
      <c r="G358">
        <v>1559</v>
      </c>
      <c r="H358">
        <v>2286</v>
      </c>
      <c r="I358">
        <v>5109</v>
      </c>
      <c r="J358">
        <v>30</v>
      </c>
      <c r="K358">
        <v>5.91</v>
      </c>
      <c r="L358">
        <v>13.57</v>
      </c>
      <c r="M358">
        <v>305</v>
      </c>
      <c r="N358">
        <v>77</v>
      </c>
      <c r="O358">
        <v>4.72</v>
      </c>
      <c r="P358">
        <v>26.69</v>
      </c>
      <c r="Q358">
        <v>7.48</v>
      </c>
      <c r="R358">
        <v>35.67</v>
      </c>
      <c r="S358">
        <v>47.84</v>
      </c>
      <c r="T358">
        <v>8.99</v>
      </c>
      <c r="U358">
        <v>2.0099999999999998</v>
      </c>
      <c r="V358">
        <v>13.8</v>
      </c>
      <c r="W358">
        <v>3.09</v>
      </c>
      <c r="X358" s="1">
        <v>43311</v>
      </c>
    </row>
    <row r="359" spans="1:24" x14ac:dyDescent="0.25">
      <c r="A359" t="s">
        <v>250</v>
      </c>
      <c r="B359">
        <v>2018</v>
      </c>
      <c r="C359" t="s">
        <v>276</v>
      </c>
      <c r="D359">
        <v>7.8</v>
      </c>
      <c r="E359">
        <v>7.75</v>
      </c>
      <c r="F359">
        <v>135</v>
      </c>
      <c r="G359">
        <v>1642</v>
      </c>
      <c r="H359">
        <v>1701</v>
      </c>
      <c r="I359">
        <v>6524</v>
      </c>
      <c r="J359">
        <v>41</v>
      </c>
      <c r="K359">
        <v>5.45</v>
      </c>
      <c r="L359">
        <v>6.77</v>
      </c>
      <c r="M359">
        <v>246</v>
      </c>
      <c r="N359">
        <v>94</v>
      </c>
      <c r="O359">
        <v>4.6100000000000003</v>
      </c>
      <c r="P359">
        <v>27.5</v>
      </c>
      <c r="Q359">
        <v>7.65</v>
      </c>
      <c r="R359">
        <v>25.77</v>
      </c>
      <c r="S359">
        <v>59.3</v>
      </c>
      <c r="T359">
        <v>7.27</v>
      </c>
      <c r="U359">
        <v>1.26</v>
      </c>
      <c r="V359">
        <v>59.98</v>
      </c>
      <c r="W359">
        <v>2.99</v>
      </c>
      <c r="X359" s="1">
        <v>43320</v>
      </c>
    </row>
    <row r="360" spans="1:24" x14ac:dyDescent="0.25">
      <c r="A360" t="s">
        <v>251</v>
      </c>
      <c r="B360">
        <v>2018</v>
      </c>
      <c r="C360" t="s">
        <v>276</v>
      </c>
      <c r="D360">
        <v>7.7</v>
      </c>
      <c r="E360">
        <v>7.8</v>
      </c>
      <c r="F360">
        <v>164</v>
      </c>
      <c r="G360">
        <v>1657</v>
      </c>
      <c r="H360">
        <v>1607</v>
      </c>
      <c r="I360">
        <v>7027</v>
      </c>
      <c r="J360">
        <v>37</v>
      </c>
      <c r="K360">
        <v>5.13</v>
      </c>
      <c r="L360">
        <v>7.6</v>
      </c>
      <c r="M360">
        <v>235</v>
      </c>
      <c r="N360">
        <v>88</v>
      </c>
      <c r="O360">
        <v>4.6399999999999997</v>
      </c>
      <c r="P360">
        <v>27.98</v>
      </c>
      <c r="Q360">
        <v>7.59</v>
      </c>
      <c r="R360">
        <v>23.92</v>
      </c>
      <c r="S360">
        <v>62.76</v>
      </c>
      <c r="T360">
        <v>5.71</v>
      </c>
      <c r="U360">
        <v>1.27</v>
      </c>
      <c r="V360">
        <v>52.07</v>
      </c>
      <c r="W360">
        <v>2.59</v>
      </c>
      <c r="X360" s="1">
        <v>43320</v>
      </c>
    </row>
    <row r="361" spans="1:24" x14ac:dyDescent="0.25">
      <c r="A361" t="s">
        <v>252</v>
      </c>
      <c r="B361">
        <v>2018</v>
      </c>
      <c r="C361" t="s">
        <v>276</v>
      </c>
      <c r="D361">
        <v>7.8</v>
      </c>
      <c r="E361">
        <v>7.75</v>
      </c>
      <c r="F361">
        <v>178</v>
      </c>
      <c r="G361">
        <v>1716</v>
      </c>
      <c r="H361">
        <v>1753</v>
      </c>
      <c r="I361">
        <v>6366</v>
      </c>
      <c r="J361">
        <v>42</v>
      </c>
      <c r="K361">
        <v>5.89</v>
      </c>
      <c r="L361">
        <v>8.94</v>
      </c>
      <c r="M361">
        <v>229</v>
      </c>
      <c r="N361">
        <v>99</v>
      </c>
      <c r="O361">
        <v>4.99</v>
      </c>
      <c r="P361">
        <v>27.41</v>
      </c>
      <c r="Q361">
        <v>8.02</v>
      </c>
      <c r="R361">
        <v>26.63</v>
      </c>
      <c r="S361">
        <v>58.04</v>
      </c>
      <c r="T361">
        <v>7.29</v>
      </c>
      <c r="U361">
        <v>1.37</v>
      </c>
      <c r="V361">
        <v>47.32</v>
      </c>
      <c r="W361">
        <v>2.82</v>
      </c>
      <c r="X361" s="1">
        <v>43320</v>
      </c>
    </row>
    <row r="362" spans="1:24" x14ac:dyDescent="0.25">
      <c r="A362" t="s">
        <v>253</v>
      </c>
      <c r="B362">
        <v>2018</v>
      </c>
      <c r="C362" t="s">
        <v>276</v>
      </c>
      <c r="D362">
        <v>7.7</v>
      </c>
      <c r="E362">
        <v>7.7</v>
      </c>
      <c r="F362">
        <v>154</v>
      </c>
      <c r="G362">
        <v>1650</v>
      </c>
      <c r="H362">
        <v>1708</v>
      </c>
      <c r="I362">
        <v>5095</v>
      </c>
      <c r="J362">
        <v>73</v>
      </c>
      <c r="K362">
        <v>6.1</v>
      </c>
      <c r="L362">
        <v>10.18</v>
      </c>
      <c r="M362">
        <v>226</v>
      </c>
      <c r="N362">
        <v>97</v>
      </c>
      <c r="O362">
        <v>4.79</v>
      </c>
      <c r="P362">
        <v>24.36</v>
      </c>
      <c r="Q362">
        <v>8.68</v>
      </c>
      <c r="R362">
        <v>29.2</v>
      </c>
      <c r="S362">
        <v>52.26</v>
      </c>
      <c r="T362">
        <v>9.84</v>
      </c>
      <c r="U362">
        <v>1.51</v>
      </c>
      <c r="V362">
        <v>41.41</v>
      </c>
      <c r="W362">
        <v>2.4300000000000002</v>
      </c>
      <c r="X362" s="1">
        <v>43320</v>
      </c>
    </row>
    <row r="363" spans="1:24" x14ac:dyDescent="0.25">
      <c r="A363" t="s">
        <v>258</v>
      </c>
      <c r="B363">
        <v>2018</v>
      </c>
      <c r="C363" t="s">
        <v>279</v>
      </c>
      <c r="D363">
        <v>8.4</v>
      </c>
      <c r="E363">
        <v>7.9</v>
      </c>
      <c r="F363">
        <v>171</v>
      </c>
      <c r="G363">
        <v>726</v>
      </c>
      <c r="H363">
        <v>1585</v>
      </c>
      <c r="I363">
        <v>2444</v>
      </c>
      <c r="J363">
        <v>62</v>
      </c>
      <c r="K363">
        <v>6.26</v>
      </c>
      <c r="L363">
        <v>7.21</v>
      </c>
      <c r="M363">
        <v>219</v>
      </c>
      <c r="N363">
        <v>84</v>
      </c>
      <c r="O363">
        <v>3.3</v>
      </c>
      <c r="P363">
        <v>14.44</v>
      </c>
      <c r="Q363">
        <v>6.44</v>
      </c>
      <c r="R363">
        <v>45.71</v>
      </c>
      <c r="S363">
        <v>42.29</v>
      </c>
      <c r="T363">
        <v>5.53</v>
      </c>
      <c r="U363">
        <v>0.66</v>
      </c>
      <c r="V363">
        <v>4.47</v>
      </c>
      <c r="W363">
        <v>2.13</v>
      </c>
      <c r="X363" s="1">
        <v>43320</v>
      </c>
    </row>
    <row r="364" spans="1:24" x14ac:dyDescent="0.25">
      <c r="A364" t="s">
        <v>259</v>
      </c>
      <c r="B364">
        <v>2018</v>
      </c>
      <c r="C364" t="s">
        <v>279</v>
      </c>
      <c r="D364">
        <v>8.3000000000000007</v>
      </c>
      <c r="E364">
        <v>7.9</v>
      </c>
      <c r="F364">
        <v>181</v>
      </c>
      <c r="G364">
        <v>667</v>
      </c>
      <c r="H364">
        <v>1479</v>
      </c>
      <c r="I364">
        <v>2312</v>
      </c>
      <c r="J364">
        <v>65</v>
      </c>
      <c r="K364">
        <v>5.82</v>
      </c>
      <c r="L364">
        <v>8.81</v>
      </c>
      <c r="M364">
        <v>193</v>
      </c>
      <c r="N364">
        <v>79</v>
      </c>
      <c r="O364">
        <v>3.12</v>
      </c>
      <c r="P364">
        <v>13.59</v>
      </c>
      <c r="Q364">
        <v>6.28</v>
      </c>
      <c r="R364">
        <v>45.32</v>
      </c>
      <c r="S364">
        <v>42.5</v>
      </c>
      <c r="T364">
        <v>5.88</v>
      </c>
      <c r="U364">
        <v>0.6</v>
      </c>
      <c r="V364">
        <v>4.1100000000000003</v>
      </c>
      <c r="W364">
        <v>2.09</v>
      </c>
      <c r="X364" s="1">
        <v>43320</v>
      </c>
    </row>
    <row r="365" spans="1:24" x14ac:dyDescent="0.25">
      <c r="A365" t="s">
        <v>260</v>
      </c>
      <c r="B365">
        <v>2018</v>
      </c>
      <c r="C365" t="s">
        <v>279</v>
      </c>
      <c r="D365">
        <v>8.1999999999999993</v>
      </c>
      <c r="E365">
        <v>7.85</v>
      </c>
      <c r="F365">
        <v>257</v>
      </c>
      <c r="G365">
        <v>824</v>
      </c>
      <c r="H365">
        <v>1726</v>
      </c>
      <c r="I365">
        <v>2894</v>
      </c>
      <c r="J365">
        <v>71</v>
      </c>
      <c r="K365">
        <v>7.29</v>
      </c>
      <c r="L365">
        <v>14.17</v>
      </c>
      <c r="M365">
        <v>194</v>
      </c>
      <c r="N365">
        <v>89</v>
      </c>
      <c r="O365">
        <v>3.23</v>
      </c>
      <c r="P365">
        <v>16.68</v>
      </c>
      <c r="Q365">
        <v>6.33</v>
      </c>
      <c r="R365">
        <v>43.1</v>
      </c>
      <c r="S365">
        <v>43.36</v>
      </c>
      <c r="T365">
        <v>7.19</v>
      </c>
      <c r="U365">
        <v>0.72</v>
      </c>
      <c r="V365">
        <v>4.62</v>
      </c>
      <c r="W365">
        <v>4.76</v>
      </c>
      <c r="X365" s="1">
        <v>43320</v>
      </c>
    </row>
    <row r="366" spans="1:24" x14ac:dyDescent="0.25">
      <c r="A366" t="s">
        <v>261</v>
      </c>
      <c r="B366">
        <v>2018</v>
      </c>
      <c r="C366" t="s">
        <v>279</v>
      </c>
      <c r="D366">
        <v>8.3000000000000007</v>
      </c>
      <c r="E366">
        <v>7.9</v>
      </c>
      <c r="F366">
        <v>226</v>
      </c>
      <c r="G366">
        <v>879</v>
      </c>
      <c r="H366">
        <v>1658</v>
      </c>
      <c r="I366">
        <v>2776</v>
      </c>
      <c r="J366">
        <v>78</v>
      </c>
      <c r="K366">
        <v>7.73</v>
      </c>
      <c r="L366">
        <v>12.46</v>
      </c>
      <c r="M366">
        <v>200</v>
      </c>
      <c r="N366">
        <v>83</v>
      </c>
      <c r="O366">
        <v>3.19</v>
      </c>
      <c r="P366">
        <v>15.77</v>
      </c>
      <c r="Q366">
        <v>7.14</v>
      </c>
      <c r="R366">
        <v>43.79</v>
      </c>
      <c r="S366">
        <v>43.99</v>
      </c>
      <c r="T366">
        <v>5.07</v>
      </c>
      <c r="U366">
        <v>0.8</v>
      </c>
      <c r="V366">
        <v>5.99</v>
      </c>
      <c r="W366">
        <v>2.4300000000000002</v>
      </c>
      <c r="X366" s="1">
        <v>43320</v>
      </c>
    </row>
    <row r="367" spans="1:24" x14ac:dyDescent="0.25">
      <c r="A367" t="s">
        <v>254</v>
      </c>
      <c r="B367">
        <v>2018</v>
      </c>
      <c r="C367" t="s">
        <v>279</v>
      </c>
      <c r="D367">
        <v>7.1</v>
      </c>
      <c r="E367">
        <v>7.8</v>
      </c>
      <c r="F367">
        <v>303</v>
      </c>
      <c r="G367">
        <v>1316</v>
      </c>
      <c r="H367">
        <v>756</v>
      </c>
      <c r="I367">
        <v>3421</v>
      </c>
      <c r="J367">
        <v>118</v>
      </c>
      <c r="K367">
        <v>3.02</v>
      </c>
      <c r="L367">
        <v>10.47</v>
      </c>
      <c r="M367">
        <v>186</v>
      </c>
      <c r="N367">
        <v>118</v>
      </c>
      <c r="O367">
        <v>3.03</v>
      </c>
      <c r="P367">
        <v>14.98</v>
      </c>
      <c r="Q367">
        <v>11.25</v>
      </c>
      <c r="R367">
        <v>21.01</v>
      </c>
      <c r="S367">
        <v>57.05</v>
      </c>
      <c r="T367">
        <v>10.67</v>
      </c>
      <c r="U367">
        <v>0.9</v>
      </c>
      <c r="V367">
        <v>66.53</v>
      </c>
      <c r="W367">
        <v>2.94</v>
      </c>
      <c r="X367" s="1">
        <v>43320</v>
      </c>
    </row>
    <row r="368" spans="1:24" x14ac:dyDescent="0.25">
      <c r="A368" t="s">
        <v>255</v>
      </c>
      <c r="B368">
        <v>2018</v>
      </c>
      <c r="C368" t="s">
        <v>279</v>
      </c>
      <c r="D368">
        <v>7.2</v>
      </c>
      <c r="E368">
        <v>7.85</v>
      </c>
      <c r="F368">
        <v>341</v>
      </c>
      <c r="G368">
        <v>1441</v>
      </c>
      <c r="H368">
        <v>657</v>
      </c>
      <c r="I368">
        <v>3225</v>
      </c>
      <c r="J368">
        <v>116</v>
      </c>
      <c r="K368">
        <v>2.61</v>
      </c>
      <c r="L368">
        <v>12.46</v>
      </c>
      <c r="M368">
        <v>168</v>
      </c>
      <c r="N368">
        <v>134</v>
      </c>
      <c r="O368">
        <v>2.62</v>
      </c>
      <c r="P368">
        <v>13.84</v>
      </c>
      <c r="Q368">
        <v>13.34</v>
      </c>
      <c r="R368">
        <v>19.760000000000002</v>
      </c>
      <c r="S368">
        <v>58.22</v>
      </c>
      <c r="T368">
        <v>8.66</v>
      </c>
      <c r="U368">
        <v>0.89</v>
      </c>
      <c r="V368">
        <v>93.47</v>
      </c>
      <c r="W368">
        <v>2.75</v>
      </c>
      <c r="X368" s="1">
        <v>43320</v>
      </c>
    </row>
    <row r="369" spans="1:24" x14ac:dyDescent="0.25">
      <c r="A369" t="s">
        <v>256</v>
      </c>
      <c r="B369">
        <v>2018</v>
      </c>
      <c r="C369" t="s">
        <v>279</v>
      </c>
      <c r="D369">
        <v>7.1</v>
      </c>
      <c r="E369">
        <v>7.8</v>
      </c>
      <c r="F369">
        <v>352</v>
      </c>
      <c r="G369">
        <v>1755</v>
      </c>
      <c r="H369">
        <v>703</v>
      </c>
      <c r="I369">
        <v>3295</v>
      </c>
      <c r="J369">
        <v>159</v>
      </c>
      <c r="K369">
        <v>2.96</v>
      </c>
      <c r="L369">
        <v>12.48</v>
      </c>
      <c r="M369">
        <v>167</v>
      </c>
      <c r="N369">
        <v>130</v>
      </c>
      <c r="O369">
        <v>2.74</v>
      </c>
      <c r="P369">
        <v>15.01</v>
      </c>
      <c r="Q369">
        <v>14.98</v>
      </c>
      <c r="R369">
        <v>19.5</v>
      </c>
      <c r="S369">
        <v>54.85</v>
      </c>
      <c r="T369">
        <v>10.65</v>
      </c>
      <c r="U369">
        <v>0.84</v>
      </c>
      <c r="V369">
        <v>74.849999999999994</v>
      </c>
      <c r="W369">
        <v>4.05</v>
      </c>
      <c r="X369" s="1">
        <v>43320</v>
      </c>
    </row>
    <row r="370" spans="1:24" x14ac:dyDescent="0.25">
      <c r="A370" t="s">
        <v>257</v>
      </c>
      <c r="B370">
        <v>2018</v>
      </c>
      <c r="C370" t="s">
        <v>279</v>
      </c>
      <c r="D370">
        <v>7.6</v>
      </c>
      <c r="E370">
        <v>7.85</v>
      </c>
      <c r="F370">
        <v>231</v>
      </c>
      <c r="G370">
        <v>1097</v>
      </c>
      <c r="H370">
        <v>678</v>
      </c>
      <c r="I370">
        <v>2995</v>
      </c>
      <c r="J370">
        <v>67</v>
      </c>
      <c r="K370">
        <v>2.59</v>
      </c>
      <c r="L370">
        <v>10.199999999999999</v>
      </c>
      <c r="M370">
        <v>184</v>
      </c>
      <c r="N370">
        <v>112</v>
      </c>
      <c r="O370">
        <v>2.92</v>
      </c>
      <c r="P370">
        <v>12.91</v>
      </c>
      <c r="Q370">
        <v>10.88</v>
      </c>
      <c r="R370">
        <v>21.86</v>
      </c>
      <c r="S370">
        <v>57.95</v>
      </c>
      <c r="T370">
        <v>9.2799999999999994</v>
      </c>
      <c r="U370">
        <v>0.76</v>
      </c>
      <c r="V370">
        <v>32.25</v>
      </c>
      <c r="W370">
        <v>2.86</v>
      </c>
      <c r="X370" s="1">
        <v>43320</v>
      </c>
    </row>
    <row r="371" spans="1:24" x14ac:dyDescent="0.25">
      <c r="A371" t="s">
        <v>160</v>
      </c>
      <c r="B371">
        <v>2018</v>
      </c>
      <c r="C371" t="s">
        <v>278</v>
      </c>
      <c r="D371">
        <v>8</v>
      </c>
      <c r="E371">
        <v>7.85</v>
      </c>
      <c r="F371">
        <v>83</v>
      </c>
      <c r="G371">
        <v>629</v>
      </c>
      <c r="H371">
        <v>1347</v>
      </c>
      <c r="I371">
        <v>1908</v>
      </c>
      <c r="J371">
        <v>41</v>
      </c>
      <c r="K371">
        <v>3.07</v>
      </c>
      <c r="L371">
        <v>1.26</v>
      </c>
      <c r="M371">
        <v>107</v>
      </c>
      <c r="N371">
        <v>61</v>
      </c>
      <c r="O371">
        <v>0.4</v>
      </c>
      <c r="P371">
        <v>12.38</v>
      </c>
      <c r="Q371">
        <v>6.5</v>
      </c>
      <c r="R371">
        <v>45.3</v>
      </c>
      <c r="S371">
        <v>38.5</v>
      </c>
      <c r="T371">
        <v>9.68</v>
      </c>
      <c r="U371">
        <v>0.42</v>
      </c>
      <c r="V371">
        <v>9.01</v>
      </c>
      <c r="W371">
        <v>2.31</v>
      </c>
      <c r="X371" s="1">
        <v>43371</v>
      </c>
    </row>
    <row r="372" spans="1:24" x14ac:dyDescent="0.25">
      <c r="A372" t="s">
        <v>161</v>
      </c>
      <c r="B372">
        <v>2018</v>
      </c>
      <c r="C372" t="s">
        <v>278</v>
      </c>
      <c r="D372">
        <v>8.1999999999999993</v>
      </c>
      <c r="E372">
        <v>7.85</v>
      </c>
      <c r="F372">
        <v>50</v>
      </c>
      <c r="G372">
        <v>564</v>
      </c>
      <c r="H372">
        <v>1466</v>
      </c>
      <c r="I372">
        <v>1727</v>
      </c>
      <c r="J372">
        <v>11</v>
      </c>
      <c r="K372">
        <v>3.23</v>
      </c>
      <c r="L372">
        <v>2.1800000000000002</v>
      </c>
      <c r="M372">
        <v>95</v>
      </c>
      <c r="N372">
        <v>56</v>
      </c>
      <c r="O372">
        <v>0.2</v>
      </c>
      <c r="P372">
        <v>12.34</v>
      </c>
      <c r="Q372">
        <v>5.85</v>
      </c>
      <c r="R372">
        <v>49.46</v>
      </c>
      <c r="S372">
        <v>34.96</v>
      </c>
      <c r="T372">
        <v>9.7100000000000009</v>
      </c>
      <c r="U372">
        <v>0.56999999999999995</v>
      </c>
      <c r="V372">
        <v>3.84</v>
      </c>
      <c r="W372">
        <v>1.79</v>
      </c>
      <c r="X372" s="1">
        <v>43371</v>
      </c>
    </row>
    <row r="373" spans="1:24" x14ac:dyDescent="0.25">
      <c r="A373" t="s">
        <v>162</v>
      </c>
      <c r="B373">
        <v>2018</v>
      </c>
      <c r="C373" t="s">
        <v>278</v>
      </c>
      <c r="D373">
        <v>8.1999999999999993</v>
      </c>
      <c r="E373">
        <v>7.85</v>
      </c>
      <c r="F373">
        <v>17</v>
      </c>
      <c r="G373">
        <v>542</v>
      </c>
      <c r="H373">
        <v>1431</v>
      </c>
      <c r="I373">
        <v>1749</v>
      </c>
      <c r="J373">
        <v>18</v>
      </c>
      <c r="K373">
        <v>3</v>
      </c>
      <c r="L373">
        <v>0.68</v>
      </c>
      <c r="M373">
        <v>116</v>
      </c>
      <c r="N373">
        <v>55</v>
      </c>
      <c r="O373">
        <v>0.41</v>
      </c>
      <c r="P373">
        <v>12.22</v>
      </c>
      <c r="Q373">
        <v>5.68</v>
      </c>
      <c r="R373">
        <v>48.75</v>
      </c>
      <c r="S373">
        <v>35.75</v>
      </c>
      <c r="T373">
        <v>9.81</v>
      </c>
      <c r="U373">
        <v>0.44</v>
      </c>
      <c r="V373">
        <v>5.33</v>
      </c>
      <c r="W373">
        <v>2.2000000000000002</v>
      </c>
      <c r="X373" s="1">
        <v>43371</v>
      </c>
    </row>
    <row r="374" spans="1:24" x14ac:dyDescent="0.25">
      <c r="A374" t="s">
        <v>163</v>
      </c>
      <c r="B374">
        <v>2018</v>
      </c>
      <c r="C374" t="s">
        <v>278</v>
      </c>
      <c r="D374">
        <v>8</v>
      </c>
      <c r="E374">
        <v>7.8</v>
      </c>
      <c r="F374">
        <v>32</v>
      </c>
      <c r="G374">
        <v>664</v>
      </c>
      <c r="H374">
        <v>1515</v>
      </c>
      <c r="I374">
        <v>1875</v>
      </c>
      <c r="J374">
        <v>36</v>
      </c>
      <c r="K374">
        <v>3.7</v>
      </c>
      <c r="L374">
        <v>3.58</v>
      </c>
      <c r="M374">
        <v>124</v>
      </c>
      <c r="N374">
        <v>57</v>
      </c>
      <c r="O374">
        <v>0.63</v>
      </c>
      <c r="P374">
        <v>13.45</v>
      </c>
      <c r="Q374">
        <v>6.32</v>
      </c>
      <c r="R374">
        <v>46.92</v>
      </c>
      <c r="S374">
        <v>34.840000000000003</v>
      </c>
      <c r="T374">
        <v>11.89</v>
      </c>
      <c r="U374">
        <v>0.49</v>
      </c>
      <c r="V374">
        <v>3.44</v>
      </c>
      <c r="W374">
        <v>1.61</v>
      </c>
      <c r="X374" s="1">
        <v>43371</v>
      </c>
    </row>
    <row r="375" spans="1:24" x14ac:dyDescent="0.25">
      <c r="A375" t="s">
        <v>164</v>
      </c>
      <c r="B375">
        <v>2018</v>
      </c>
      <c r="C375" t="s">
        <v>278</v>
      </c>
      <c r="D375">
        <v>7</v>
      </c>
      <c r="E375">
        <v>7.8</v>
      </c>
      <c r="F375">
        <v>83</v>
      </c>
      <c r="G375">
        <v>481</v>
      </c>
      <c r="H375">
        <v>389</v>
      </c>
      <c r="I375">
        <v>2406</v>
      </c>
      <c r="J375">
        <v>8</v>
      </c>
      <c r="K375">
        <v>0.92</v>
      </c>
      <c r="L375">
        <v>1.2</v>
      </c>
      <c r="M375">
        <v>116</v>
      </c>
      <c r="N375">
        <v>75</v>
      </c>
      <c r="O375">
        <v>0.43</v>
      </c>
      <c r="P375">
        <v>9.85</v>
      </c>
      <c r="Q375">
        <v>6.25</v>
      </c>
      <c r="R375">
        <v>16.45</v>
      </c>
      <c r="S375">
        <v>61.05</v>
      </c>
      <c r="T375">
        <v>16.23</v>
      </c>
      <c r="U375">
        <v>0.4</v>
      </c>
      <c r="V375">
        <v>2.75</v>
      </c>
      <c r="W375">
        <v>2.1</v>
      </c>
      <c r="X375" s="1">
        <v>43371</v>
      </c>
    </row>
    <row r="376" spans="1:24" x14ac:dyDescent="0.25">
      <c r="A376" t="s">
        <v>165</v>
      </c>
      <c r="B376">
        <v>2018</v>
      </c>
      <c r="C376" t="s">
        <v>278</v>
      </c>
      <c r="D376">
        <v>7.4</v>
      </c>
      <c r="E376">
        <v>7.8</v>
      </c>
      <c r="F376">
        <v>8</v>
      </c>
      <c r="G376">
        <v>480</v>
      </c>
      <c r="H376">
        <v>407</v>
      </c>
      <c r="I376">
        <v>2541</v>
      </c>
      <c r="J376">
        <v>4</v>
      </c>
      <c r="K376">
        <v>0.87</v>
      </c>
      <c r="L376">
        <v>1.2</v>
      </c>
      <c r="M376">
        <v>122</v>
      </c>
      <c r="N376">
        <v>64</v>
      </c>
      <c r="O376">
        <v>0.49</v>
      </c>
      <c r="P376">
        <v>10.26</v>
      </c>
      <c r="Q376">
        <v>5.99</v>
      </c>
      <c r="R376">
        <v>16.52</v>
      </c>
      <c r="S376">
        <v>61.89</v>
      </c>
      <c r="T376">
        <v>15.58</v>
      </c>
      <c r="U376">
        <v>0.35</v>
      </c>
      <c r="V376">
        <v>1.36</v>
      </c>
      <c r="W376">
        <v>1.77</v>
      </c>
      <c r="X376" s="1">
        <v>43371</v>
      </c>
    </row>
    <row r="377" spans="1:24" x14ac:dyDescent="0.25">
      <c r="A377" t="s">
        <v>166</v>
      </c>
      <c r="B377">
        <v>2018</v>
      </c>
      <c r="C377" t="s">
        <v>278</v>
      </c>
      <c r="D377">
        <v>6.9</v>
      </c>
      <c r="E377">
        <v>7.8</v>
      </c>
      <c r="F377">
        <v>18</v>
      </c>
      <c r="G377">
        <v>522</v>
      </c>
      <c r="H377">
        <v>375</v>
      </c>
      <c r="I377">
        <v>2165</v>
      </c>
      <c r="J377">
        <v>4</v>
      </c>
      <c r="K377">
        <v>0.8</v>
      </c>
      <c r="L377">
        <v>1.2</v>
      </c>
      <c r="M377">
        <v>119</v>
      </c>
      <c r="N377">
        <v>65</v>
      </c>
      <c r="O377">
        <v>0.28999999999999998</v>
      </c>
      <c r="P377">
        <v>9.24</v>
      </c>
      <c r="Q377">
        <v>7.23</v>
      </c>
      <c r="R377">
        <v>16.899999999999999</v>
      </c>
      <c r="S377">
        <v>58.55</v>
      </c>
      <c r="T377">
        <v>17.3</v>
      </c>
      <c r="U377">
        <v>0.31</v>
      </c>
      <c r="V377">
        <v>1.56</v>
      </c>
      <c r="W377">
        <v>2.27</v>
      </c>
      <c r="X377" s="1">
        <v>43371</v>
      </c>
    </row>
    <row r="378" spans="1:24" x14ac:dyDescent="0.25">
      <c r="A378" t="s">
        <v>167</v>
      </c>
      <c r="B378">
        <v>2018</v>
      </c>
      <c r="C378" t="s">
        <v>278</v>
      </c>
      <c r="D378">
        <v>7.2</v>
      </c>
      <c r="E378">
        <v>7.8</v>
      </c>
      <c r="F378">
        <v>12</v>
      </c>
      <c r="G378">
        <v>474</v>
      </c>
      <c r="H378">
        <v>369</v>
      </c>
      <c r="I378">
        <v>2163</v>
      </c>
      <c r="J378">
        <v>3</v>
      </c>
      <c r="K378">
        <v>0.83</v>
      </c>
      <c r="L378">
        <v>1.2</v>
      </c>
      <c r="M378">
        <v>118</v>
      </c>
      <c r="N378">
        <v>77</v>
      </c>
      <c r="O378">
        <v>0.33</v>
      </c>
      <c r="P378">
        <v>9.15</v>
      </c>
      <c r="Q378">
        <v>6.63</v>
      </c>
      <c r="R378">
        <v>16.79</v>
      </c>
      <c r="S378">
        <v>59.08</v>
      </c>
      <c r="T378">
        <v>17.48</v>
      </c>
      <c r="U378">
        <v>0.33</v>
      </c>
      <c r="V378">
        <v>2.0699999999999998</v>
      </c>
      <c r="W378">
        <v>1.67</v>
      </c>
      <c r="X378" s="1">
        <v>43371</v>
      </c>
    </row>
    <row r="379" spans="1:24" x14ac:dyDescent="0.25">
      <c r="A379" t="s">
        <v>168</v>
      </c>
      <c r="B379">
        <v>2018</v>
      </c>
      <c r="C379" t="s">
        <v>278</v>
      </c>
      <c r="D379">
        <v>7.8</v>
      </c>
      <c r="E379">
        <v>7.8</v>
      </c>
      <c r="F379">
        <v>73</v>
      </c>
      <c r="G379">
        <v>683</v>
      </c>
      <c r="H379">
        <v>1741</v>
      </c>
      <c r="I379">
        <v>1900</v>
      </c>
      <c r="J379">
        <v>42</v>
      </c>
      <c r="K379">
        <v>3.28</v>
      </c>
      <c r="L379">
        <v>1.28</v>
      </c>
      <c r="M379">
        <v>129</v>
      </c>
      <c r="N379">
        <v>55</v>
      </c>
      <c r="O379">
        <v>0.82</v>
      </c>
      <c r="P379">
        <v>14.47</v>
      </c>
      <c r="Q379">
        <v>6.04</v>
      </c>
      <c r="R379">
        <v>50.09</v>
      </c>
      <c r="S379">
        <v>32.799999999999997</v>
      </c>
      <c r="T379">
        <v>11.04</v>
      </c>
      <c r="U379">
        <v>0.71</v>
      </c>
      <c r="V379">
        <v>4.79</v>
      </c>
      <c r="W379">
        <v>1.54</v>
      </c>
      <c r="X379" s="1">
        <v>43371</v>
      </c>
    </row>
    <row r="380" spans="1:24" x14ac:dyDescent="0.25">
      <c r="A380" t="s">
        <v>169</v>
      </c>
      <c r="B380">
        <v>2018</v>
      </c>
      <c r="C380" t="s">
        <v>278</v>
      </c>
      <c r="D380">
        <v>8.3000000000000007</v>
      </c>
      <c r="E380">
        <v>7.85</v>
      </c>
      <c r="F380">
        <v>69</v>
      </c>
      <c r="G380">
        <v>957</v>
      </c>
      <c r="H380">
        <v>1688</v>
      </c>
      <c r="I380">
        <v>2291</v>
      </c>
      <c r="J380">
        <v>37</v>
      </c>
      <c r="K380">
        <v>4.6500000000000004</v>
      </c>
      <c r="L380">
        <v>1.25</v>
      </c>
      <c r="M380">
        <v>133</v>
      </c>
      <c r="N380">
        <v>56</v>
      </c>
      <c r="O380">
        <v>1.07</v>
      </c>
      <c r="P380">
        <v>15.18</v>
      </c>
      <c r="Q380">
        <v>8.07</v>
      </c>
      <c r="R380">
        <v>46.3</v>
      </c>
      <c r="S380">
        <v>37.71</v>
      </c>
      <c r="T380">
        <v>7.9</v>
      </c>
      <c r="U380">
        <v>0.7</v>
      </c>
      <c r="V380">
        <v>6.75</v>
      </c>
      <c r="W380">
        <v>0.94</v>
      </c>
      <c r="X380" s="1">
        <v>43371</v>
      </c>
    </row>
    <row r="381" spans="1:24" x14ac:dyDescent="0.25">
      <c r="A381" t="s">
        <v>170</v>
      </c>
      <c r="B381">
        <v>2018</v>
      </c>
      <c r="C381" t="s">
        <v>278</v>
      </c>
      <c r="D381">
        <v>7.8</v>
      </c>
      <c r="E381">
        <v>7.8</v>
      </c>
      <c r="F381">
        <v>98</v>
      </c>
      <c r="G381">
        <v>765</v>
      </c>
      <c r="H381">
        <v>1503</v>
      </c>
      <c r="I381">
        <v>1678</v>
      </c>
      <c r="J381">
        <v>18</v>
      </c>
      <c r="K381">
        <v>3.33</v>
      </c>
      <c r="L381">
        <v>1.52</v>
      </c>
      <c r="M381">
        <v>125</v>
      </c>
      <c r="N381">
        <v>58</v>
      </c>
      <c r="O381">
        <v>0.74</v>
      </c>
      <c r="P381">
        <v>13.03</v>
      </c>
      <c r="Q381">
        <v>7.52</v>
      </c>
      <c r="R381">
        <v>48.03</v>
      </c>
      <c r="S381">
        <v>32.17</v>
      </c>
      <c r="T381">
        <v>12.27</v>
      </c>
      <c r="U381">
        <v>0.61</v>
      </c>
      <c r="V381">
        <v>4.97</v>
      </c>
      <c r="W381">
        <v>1.87</v>
      </c>
      <c r="X381" s="1">
        <v>43371</v>
      </c>
    </row>
    <row r="382" spans="1:24" x14ac:dyDescent="0.25">
      <c r="A382" t="s">
        <v>171</v>
      </c>
      <c r="B382">
        <v>2018</v>
      </c>
      <c r="C382" t="s">
        <v>278</v>
      </c>
      <c r="D382">
        <v>7.5</v>
      </c>
      <c r="E382">
        <v>7.75</v>
      </c>
      <c r="F382">
        <v>101</v>
      </c>
      <c r="G382">
        <v>707</v>
      </c>
      <c r="H382">
        <v>1482</v>
      </c>
      <c r="I382">
        <v>1745</v>
      </c>
      <c r="J382">
        <v>24</v>
      </c>
      <c r="K382">
        <v>2.4900000000000002</v>
      </c>
      <c r="L382">
        <v>1.2</v>
      </c>
      <c r="M382">
        <v>139</v>
      </c>
      <c r="N382">
        <v>56</v>
      </c>
      <c r="O382">
        <v>0.82</v>
      </c>
      <c r="P382">
        <v>13.44</v>
      </c>
      <c r="Q382">
        <v>6.74</v>
      </c>
      <c r="R382">
        <v>45.93</v>
      </c>
      <c r="S382">
        <v>32.44</v>
      </c>
      <c r="T382">
        <v>14.87</v>
      </c>
      <c r="U382">
        <v>0.66</v>
      </c>
      <c r="V382">
        <v>4.38</v>
      </c>
      <c r="W382">
        <v>1.48</v>
      </c>
      <c r="X382" s="1">
        <v>43371</v>
      </c>
    </row>
    <row r="383" spans="1:24" x14ac:dyDescent="0.25">
      <c r="A383" t="s">
        <v>172</v>
      </c>
      <c r="B383">
        <v>2018</v>
      </c>
      <c r="C383" t="s">
        <v>276</v>
      </c>
      <c r="D383">
        <v>7.4</v>
      </c>
      <c r="E383">
        <v>7.8</v>
      </c>
      <c r="F383">
        <v>105</v>
      </c>
      <c r="G383">
        <v>854</v>
      </c>
      <c r="H383">
        <v>710</v>
      </c>
      <c r="I383">
        <v>3236</v>
      </c>
      <c r="J383">
        <v>6</v>
      </c>
      <c r="K383">
        <v>1.34</v>
      </c>
      <c r="L383">
        <v>1.2</v>
      </c>
      <c r="M383">
        <v>208</v>
      </c>
      <c r="N383">
        <v>83</v>
      </c>
      <c r="O383">
        <v>1.63</v>
      </c>
      <c r="P383">
        <v>13.74</v>
      </c>
      <c r="Q383">
        <v>7.96</v>
      </c>
      <c r="R383">
        <v>21.52</v>
      </c>
      <c r="S383">
        <v>58.86</v>
      </c>
      <c r="T383">
        <v>11.64</v>
      </c>
      <c r="U383">
        <v>0.66</v>
      </c>
      <c r="V383">
        <v>5.03</v>
      </c>
      <c r="W383">
        <v>1.44</v>
      </c>
      <c r="X383" s="1">
        <v>43371</v>
      </c>
    </row>
    <row r="384" spans="1:24" x14ac:dyDescent="0.25">
      <c r="A384" t="s">
        <v>173</v>
      </c>
      <c r="B384">
        <v>2018</v>
      </c>
      <c r="C384" t="s">
        <v>276</v>
      </c>
      <c r="D384">
        <v>7.5</v>
      </c>
      <c r="E384">
        <v>7.75</v>
      </c>
      <c r="F384">
        <v>120</v>
      </c>
      <c r="G384">
        <v>941</v>
      </c>
      <c r="H384">
        <v>736</v>
      </c>
      <c r="I384">
        <v>3519</v>
      </c>
      <c r="J384">
        <v>5</v>
      </c>
      <c r="K384">
        <v>1.35</v>
      </c>
      <c r="L384">
        <v>1.2</v>
      </c>
      <c r="M384">
        <v>226</v>
      </c>
      <c r="N384">
        <v>86</v>
      </c>
      <c r="O384">
        <v>1.91</v>
      </c>
      <c r="P384">
        <v>15.07</v>
      </c>
      <c r="Q384">
        <v>8</v>
      </c>
      <c r="R384">
        <v>20.34</v>
      </c>
      <c r="S384">
        <v>58.37</v>
      </c>
      <c r="T384">
        <v>13.27</v>
      </c>
      <c r="U384">
        <v>0.77</v>
      </c>
      <c r="V384">
        <v>3.07</v>
      </c>
      <c r="W384">
        <v>0.88</v>
      </c>
      <c r="X384" s="1">
        <v>43371</v>
      </c>
    </row>
    <row r="385" spans="1:24" x14ac:dyDescent="0.25">
      <c r="A385" t="s">
        <v>174</v>
      </c>
      <c r="B385">
        <v>2018</v>
      </c>
      <c r="C385" t="s">
        <v>276</v>
      </c>
      <c r="D385">
        <v>7.4</v>
      </c>
      <c r="E385">
        <v>7.75</v>
      </c>
      <c r="F385">
        <v>95</v>
      </c>
      <c r="G385">
        <v>800</v>
      </c>
      <c r="H385">
        <v>698</v>
      </c>
      <c r="I385">
        <v>3049</v>
      </c>
      <c r="J385">
        <v>9</v>
      </c>
      <c r="K385">
        <v>1.24</v>
      </c>
      <c r="L385">
        <v>1.2</v>
      </c>
      <c r="M385">
        <v>202</v>
      </c>
      <c r="N385">
        <v>80</v>
      </c>
      <c r="O385">
        <v>1.46</v>
      </c>
      <c r="P385">
        <v>13.55</v>
      </c>
      <c r="Q385">
        <v>7.56</v>
      </c>
      <c r="R385">
        <v>21.45</v>
      </c>
      <c r="S385">
        <v>56.22</v>
      </c>
      <c r="T385">
        <v>14.75</v>
      </c>
      <c r="U385">
        <v>0.77</v>
      </c>
      <c r="V385">
        <v>3.5</v>
      </c>
      <c r="W385">
        <v>1.1000000000000001</v>
      </c>
      <c r="X385" s="1">
        <v>43371</v>
      </c>
    </row>
    <row r="386" spans="1:24" x14ac:dyDescent="0.25">
      <c r="A386" t="s">
        <v>175</v>
      </c>
      <c r="B386">
        <v>2018</v>
      </c>
      <c r="C386" t="s">
        <v>276</v>
      </c>
      <c r="D386">
        <v>7.3</v>
      </c>
      <c r="E386">
        <v>7.75</v>
      </c>
      <c r="F386">
        <v>109</v>
      </c>
      <c r="G386">
        <v>911</v>
      </c>
      <c r="H386">
        <v>725</v>
      </c>
      <c r="I386">
        <v>3466</v>
      </c>
      <c r="J386">
        <v>9</v>
      </c>
      <c r="K386">
        <v>1.35</v>
      </c>
      <c r="L386">
        <v>1.2</v>
      </c>
      <c r="M386">
        <v>219</v>
      </c>
      <c r="N386">
        <v>79</v>
      </c>
      <c r="O386">
        <v>1.75</v>
      </c>
      <c r="P386">
        <v>14.85</v>
      </c>
      <c r="Q386">
        <v>7.86</v>
      </c>
      <c r="R386">
        <v>20.329999999999998</v>
      </c>
      <c r="S386">
        <v>58.33</v>
      </c>
      <c r="T386">
        <v>13.46</v>
      </c>
      <c r="U386">
        <v>0.38</v>
      </c>
      <c r="V386">
        <v>11.03</v>
      </c>
      <c r="W386">
        <v>1.79</v>
      </c>
      <c r="X386" s="1">
        <v>43371</v>
      </c>
    </row>
    <row r="387" spans="1:24" x14ac:dyDescent="0.25">
      <c r="A387" t="s">
        <v>176</v>
      </c>
      <c r="B387">
        <v>2018</v>
      </c>
      <c r="C387" t="s">
        <v>279</v>
      </c>
      <c r="D387">
        <v>7.5</v>
      </c>
      <c r="E387">
        <v>7.8</v>
      </c>
      <c r="F387">
        <v>92</v>
      </c>
      <c r="G387">
        <v>969</v>
      </c>
      <c r="H387">
        <v>545</v>
      </c>
      <c r="I387">
        <v>2745</v>
      </c>
      <c r="J387">
        <v>13</v>
      </c>
      <c r="K387">
        <v>1.27</v>
      </c>
      <c r="L387">
        <v>10.52</v>
      </c>
      <c r="M387">
        <v>136</v>
      </c>
      <c r="N387">
        <v>86</v>
      </c>
      <c r="O387">
        <v>0.77</v>
      </c>
      <c r="P387">
        <v>11.97</v>
      </c>
      <c r="Q387">
        <v>10.37</v>
      </c>
      <c r="R387">
        <v>18.96</v>
      </c>
      <c r="S387">
        <v>57.3</v>
      </c>
      <c r="T387">
        <v>13.36</v>
      </c>
      <c r="U387">
        <v>0.48</v>
      </c>
      <c r="V387">
        <v>11.2</v>
      </c>
      <c r="W387">
        <v>1.34</v>
      </c>
      <c r="X387" s="1">
        <v>43371</v>
      </c>
    </row>
    <row r="388" spans="1:24" x14ac:dyDescent="0.25">
      <c r="A388" t="s">
        <v>177</v>
      </c>
      <c r="B388">
        <v>2018</v>
      </c>
      <c r="C388" t="s">
        <v>279</v>
      </c>
      <c r="D388">
        <v>7.2</v>
      </c>
      <c r="E388">
        <v>7.75</v>
      </c>
      <c r="F388">
        <v>93</v>
      </c>
      <c r="G388">
        <v>1156</v>
      </c>
      <c r="H388">
        <v>663</v>
      </c>
      <c r="I388">
        <v>3100</v>
      </c>
      <c r="J388">
        <v>18</v>
      </c>
      <c r="K388">
        <v>1.46</v>
      </c>
      <c r="L388">
        <v>1.62</v>
      </c>
      <c r="M388">
        <v>166</v>
      </c>
      <c r="N388">
        <v>97</v>
      </c>
      <c r="O388">
        <v>1.2</v>
      </c>
      <c r="P388">
        <v>13.99</v>
      </c>
      <c r="Q388">
        <v>10.59</v>
      </c>
      <c r="R388">
        <v>19.73</v>
      </c>
      <c r="S388">
        <v>55.37</v>
      </c>
      <c r="T388">
        <v>14.29</v>
      </c>
      <c r="U388">
        <v>0.56000000000000005</v>
      </c>
      <c r="V388">
        <v>9.61</v>
      </c>
      <c r="W388">
        <v>1.65</v>
      </c>
      <c r="X388" s="1">
        <v>43371</v>
      </c>
    </row>
    <row r="389" spans="1:24" x14ac:dyDescent="0.25">
      <c r="A389" t="s">
        <v>178</v>
      </c>
      <c r="B389">
        <v>2018</v>
      </c>
      <c r="C389" t="s">
        <v>279</v>
      </c>
      <c r="D389">
        <v>7.5</v>
      </c>
      <c r="E389">
        <v>7.8</v>
      </c>
      <c r="F389">
        <v>114</v>
      </c>
      <c r="G389">
        <v>1208</v>
      </c>
      <c r="H389">
        <v>634</v>
      </c>
      <c r="I389">
        <v>3025</v>
      </c>
      <c r="J389">
        <v>15</v>
      </c>
      <c r="K389">
        <v>1.52</v>
      </c>
      <c r="L389">
        <v>1.06</v>
      </c>
      <c r="M389">
        <v>160</v>
      </c>
      <c r="N389">
        <v>98</v>
      </c>
      <c r="O389">
        <v>1.1299999999999999</v>
      </c>
      <c r="P389">
        <v>13.35</v>
      </c>
      <c r="Q389">
        <v>11.59</v>
      </c>
      <c r="R389">
        <v>19.78</v>
      </c>
      <c r="S389">
        <v>56.63</v>
      </c>
      <c r="T389">
        <v>11.98</v>
      </c>
      <c r="U389">
        <v>0.62</v>
      </c>
      <c r="V389">
        <v>8.11</v>
      </c>
      <c r="W389">
        <v>1.24</v>
      </c>
      <c r="X389" s="1">
        <v>43371</v>
      </c>
    </row>
    <row r="390" spans="1:24" x14ac:dyDescent="0.25">
      <c r="A390" t="s">
        <v>179</v>
      </c>
      <c r="B390">
        <v>2018</v>
      </c>
      <c r="C390" t="s">
        <v>279</v>
      </c>
      <c r="D390">
        <v>7.2</v>
      </c>
      <c r="E390">
        <v>7.75</v>
      </c>
      <c r="F390">
        <v>122</v>
      </c>
      <c r="G390">
        <v>1573</v>
      </c>
      <c r="H390">
        <v>624</v>
      </c>
      <c r="I390">
        <v>2946</v>
      </c>
      <c r="J390">
        <v>22</v>
      </c>
      <c r="K390">
        <v>1.52</v>
      </c>
      <c r="L390">
        <v>1.51</v>
      </c>
      <c r="M390">
        <v>157</v>
      </c>
      <c r="N390">
        <v>99</v>
      </c>
      <c r="O390">
        <v>1.41</v>
      </c>
      <c r="P390">
        <v>13.98</v>
      </c>
      <c r="Q390">
        <v>14.42</v>
      </c>
      <c r="R390">
        <v>18.59</v>
      </c>
      <c r="S390">
        <v>52.67</v>
      </c>
      <c r="T390">
        <v>14.3</v>
      </c>
      <c r="U390">
        <v>0.68</v>
      </c>
      <c r="V390">
        <v>21.58</v>
      </c>
      <c r="W390">
        <v>1.64</v>
      </c>
      <c r="X390" s="1">
        <v>43371</v>
      </c>
    </row>
    <row r="391" spans="1:24" x14ac:dyDescent="0.25">
      <c r="A391" t="s">
        <v>180</v>
      </c>
      <c r="B391">
        <v>2018</v>
      </c>
      <c r="C391" t="s">
        <v>278</v>
      </c>
      <c r="D391">
        <v>6.8</v>
      </c>
      <c r="E391">
        <v>7.8</v>
      </c>
      <c r="F391">
        <v>28</v>
      </c>
      <c r="G391">
        <v>856</v>
      </c>
      <c r="H391">
        <v>331</v>
      </c>
      <c r="I391">
        <v>2039</v>
      </c>
      <c r="J391">
        <v>13</v>
      </c>
      <c r="K391">
        <v>0.82</v>
      </c>
      <c r="L391">
        <v>1.2</v>
      </c>
      <c r="M391">
        <v>153</v>
      </c>
      <c r="N391">
        <v>93</v>
      </c>
      <c r="O391">
        <v>0.74</v>
      </c>
      <c r="P391">
        <v>9.17</v>
      </c>
      <c r="Q391">
        <v>11.96</v>
      </c>
      <c r="R391">
        <v>15.03</v>
      </c>
      <c r="S391">
        <v>55.56</v>
      </c>
      <c r="T391">
        <v>17.440000000000001</v>
      </c>
      <c r="U391">
        <v>0.39</v>
      </c>
      <c r="V391">
        <v>4.08</v>
      </c>
      <c r="W391">
        <v>1.37</v>
      </c>
      <c r="X391" s="1">
        <v>43371</v>
      </c>
    </row>
    <row r="392" spans="1:24" x14ac:dyDescent="0.25">
      <c r="A392" t="s">
        <v>181</v>
      </c>
      <c r="B392">
        <v>2018</v>
      </c>
      <c r="C392" t="s">
        <v>278</v>
      </c>
      <c r="D392">
        <v>6.7</v>
      </c>
      <c r="E392">
        <v>7.75</v>
      </c>
      <c r="F392">
        <v>10</v>
      </c>
      <c r="G392">
        <v>835</v>
      </c>
      <c r="H392">
        <v>392</v>
      </c>
      <c r="I392">
        <v>2588</v>
      </c>
      <c r="J392">
        <v>11</v>
      </c>
      <c r="K392">
        <v>0.75</v>
      </c>
      <c r="L392">
        <v>1.2</v>
      </c>
      <c r="M392">
        <v>167</v>
      </c>
      <c r="N392">
        <v>92</v>
      </c>
      <c r="O392">
        <v>0.97</v>
      </c>
      <c r="P392">
        <v>11.17</v>
      </c>
      <c r="Q392">
        <v>9.58</v>
      </c>
      <c r="R392">
        <v>14.61</v>
      </c>
      <c r="S392">
        <v>57.9</v>
      </c>
      <c r="T392">
        <v>17.89</v>
      </c>
      <c r="U392">
        <v>0.46</v>
      </c>
      <c r="V392">
        <v>3.93</v>
      </c>
      <c r="W392">
        <v>1.06</v>
      </c>
      <c r="X392" s="1">
        <v>43371</v>
      </c>
    </row>
    <row r="393" spans="1:24" x14ac:dyDescent="0.25">
      <c r="A393" t="s">
        <v>182</v>
      </c>
      <c r="B393">
        <v>2018</v>
      </c>
      <c r="C393" t="s">
        <v>278</v>
      </c>
      <c r="D393">
        <v>6.4</v>
      </c>
      <c r="E393">
        <v>7.75</v>
      </c>
      <c r="F393">
        <v>23</v>
      </c>
      <c r="G393">
        <v>845</v>
      </c>
      <c r="H393">
        <v>325</v>
      </c>
      <c r="I393">
        <v>1916</v>
      </c>
      <c r="J393">
        <v>15</v>
      </c>
      <c r="K393">
        <v>0.65</v>
      </c>
      <c r="L393">
        <v>1.2</v>
      </c>
      <c r="M393">
        <v>148</v>
      </c>
      <c r="N393">
        <v>94</v>
      </c>
      <c r="O393">
        <v>0.64</v>
      </c>
      <c r="P393">
        <v>9.2200000000000006</v>
      </c>
      <c r="Q393">
        <v>11.74</v>
      </c>
      <c r="R393">
        <v>14.67</v>
      </c>
      <c r="S393">
        <v>51.91</v>
      </c>
      <c r="T393">
        <v>21.67</v>
      </c>
      <c r="U393">
        <v>0.37</v>
      </c>
      <c r="V393">
        <v>7.38</v>
      </c>
      <c r="W393">
        <v>1.25</v>
      </c>
      <c r="X393" s="1">
        <v>43371</v>
      </c>
    </row>
    <row r="394" spans="1:24" x14ac:dyDescent="0.25">
      <c r="A394" t="s">
        <v>183</v>
      </c>
      <c r="B394">
        <v>2018</v>
      </c>
      <c r="C394" t="s">
        <v>278</v>
      </c>
      <c r="D394">
        <v>6.2</v>
      </c>
      <c r="E394">
        <v>7.75</v>
      </c>
      <c r="F394">
        <v>25</v>
      </c>
      <c r="G394">
        <v>842</v>
      </c>
      <c r="H394">
        <v>345</v>
      </c>
      <c r="I394">
        <v>1910</v>
      </c>
      <c r="J394">
        <v>25</v>
      </c>
      <c r="K394">
        <v>0.8</v>
      </c>
      <c r="L394">
        <v>1.2</v>
      </c>
      <c r="M394">
        <v>129</v>
      </c>
      <c r="N394">
        <v>89</v>
      </c>
      <c r="O394">
        <v>0.51</v>
      </c>
      <c r="P394">
        <v>9.2899999999999991</v>
      </c>
      <c r="Q394">
        <v>11.61</v>
      </c>
      <c r="R394">
        <v>15.47</v>
      </c>
      <c r="S394">
        <v>51.38</v>
      </c>
      <c r="T394">
        <v>21.52</v>
      </c>
      <c r="U394">
        <v>0.36</v>
      </c>
      <c r="V394">
        <v>28.76</v>
      </c>
      <c r="W394">
        <v>1.64</v>
      </c>
      <c r="X394" s="1">
        <v>43371</v>
      </c>
    </row>
    <row r="395" spans="1:24" x14ac:dyDescent="0.25">
      <c r="A395" t="s">
        <v>206</v>
      </c>
      <c r="B395">
        <v>2018</v>
      </c>
      <c r="C395" t="s">
        <v>279</v>
      </c>
      <c r="D395">
        <v>8</v>
      </c>
      <c r="E395">
        <v>7.85</v>
      </c>
      <c r="F395">
        <v>135</v>
      </c>
      <c r="G395">
        <v>1234</v>
      </c>
      <c r="H395">
        <v>855</v>
      </c>
      <c r="I395">
        <v>2726</v>
      </c>
      <c r="J395">
        <v>19</v>
      </c>
      <c r="K395">
        <v>2.33</v>
      </c>
      <c r="L395">
        <v>14.48</v>
      </c>
      <c r="M395">
        <v>222</v>
      </c>
      <c r="N395">
        <v>70</v>
      </c>
      <c r="O395">
        <v>1.29</v>
      </c>
      <c r="P395">
        <v>13.15</v>
      </c>
      <c r="Q395">
        <v>12.02</v>
      </c>
      <c r="R395">
        <v>27.07</v>
      </c>
      <c r="S395">
        <v>51.78</v>
      </c>
      <c r="T395">
        <v>9.11</v>
      </c>
      <c r="U395">
        <v>0.8</v>
      </c>
      <c r="V395">
        <v>7.2</v>
      </c>
      <c r="W395">
        <v>2.0299999999999998</v>
      </c>
      <c r="X395" s="1">
        <v>43384</v>
      </c>
    </row>
    <row r="396" spans="1:24" x14ac:dyDescent="0.25">
      <c r="A396" t="s">
        <v>207</v>
      </c>
      <c r="B396">
        <v>2018</v>
      </c>
      <c r="C396" t="s">
        <v>279</v>
      </c>
      <c r="D396">
        <v>8</v>
      </c>
      <c r="E396">
        <v>7.8</v>
      </c>
      <c r="F396">
        <v>188</v>
      </c>
      <c r="G396">
        <v>1186</v>
      </c>
      <c r="H396">
        <v>1013</v>
      </c>
      <c r="I396">
        <v>3238</v>
      </c>
      <c r="J396">
        <v>17</v>
      </c>
      <c r="K396">
        <v>2.31</v>
      </c>
      <c r="L396">
        <v>16.45</v>
      </c>
      <c r="M396">
        <v>239</v>
      </c>
      <c r="N396">
        <v>74</v>
      </c>
      <c r="O396">
        <v>1.47</v>
      </c>
      <c r="P396">
        <v>15.43</v>
      </c>
      <c r="Q396">
        <v>9.85</v>
      </c>
      <c r="R396">
        <v>27.34</v>
      </c>
      <c r="S396">
        <v>52.44</v>
      </c>
      <c r="T396">
        <v>10.36</v>
      </c>
      <c r="U396">
        <v>0.88</v>
      </c>
      <c r="V396">
        <v>6.2</v>
      </c>
      <c r="W396">
        <v>2.68</v>
      </c>
      <c r="X396" s="1">
        <v>43384</v>
      </c>
    </row>
    <row r="397" spans="1:24" x14ac:dyDescent="0.25">
      <c r="A397" t="s">
        <v>196</v>
      </c>
      <c r="B397">
        <v>2018</v>
      </c>
      <c r="C397" t="s">
        <v>279</v>
      </c>
      <c r="D397">
        <v>7.5</v>
      </c>
      <c r="E397">
        <v>7.8</v>
      </c>
      <c r="F397">
        <v>121</v>
      </c>
      <c r="G397">
        <v>783</v>
      </c>
      <c r="H397">
        <v>1019</v>
      </c>
      <c r="I397">
        <v>2433</v>
      </c>
      <c r="J397">
        <v>17</v>
      </c>
      <c r="K397">
        <v>2.34</v>
      </c>
      <c r="L397">
        <v>19.3</v>
      </c>
      <c r="M397">
        <v>132</v>
      </c>
      <c r="N397">
        <v>68</v>
      </c>
      <c r="O397">
        <v>0.92</v>
      </c>
      <c r="P397">
        <v>12.93</v>
      </c>
      <c r="Q397">
        <v>7.76</v>
      </c>
      <c r="R397">
        <v>32.83</v>
      </c>
      <c r="S397">
        <v>47.03</v>
      </c>
      <c r="T397">
        <v>12.37</v>
      </c>
      <c r="U397">
        <v>1.03</v>
      </c>
      <c r="V397">
        <v>6.72</v>
      </c>
      <c r="W397">
        <v>3.57</v>
      </c>
      <c r="X397" s="1">
        <v>43384</v>
      </c>
    </row>
    <row r="398" spans="1:24" x14ac:dyDescent="0.25">
      <c r="A398" t="s">
        <v>197</v>
      </c>
      <c r="B398">
        <v>2018</v>
      </c>
      <c r="C398" t="s">
        <v>279</v>
      </c>
      <c r="D398">
        <v>7.4</v>
      </c>
      <c r="E398">
        <v>7.75</v>
      </c>
      <c r="F398">
        <v>104</v>
      </c>
      <c r="G398">
        <v>706</v>
      </c>
      <c r="H398">
        <v>1069</v>
      </c>
      <c r="I398">
        <v>2499</v>
      </c>
      <c r="J398">
        <v>21</v>
      </c>
      <c r="K398">
        <v>2.48</v>
      </c>
      <c r="L398">
        <v>22.16</v>
      </c>
      <c r="M398">
        <v>136</v>
      </c>
      <c r="N398">
        <v>81</v>
      </c>
      <c r="O398">
        <v>0.92</v>
      </c>
      <c r="P398">
        <v>13.6</v>
      </c>
      <c r="Q398">
        <v>6.65</v>
      </c>
      <c r="R398">
        <v>32.729999999999997</v>
      </c>
      <c r="S398">
        <v>45.91</v>
      </c>
      <c r="T398">
        <v>14.69</v>
      </c>
      <c r="U398">
        <v>0.94</v>
      </c>
      <c r="V398">
        <v>6.92</v>
      </c>
      <c r="W398">
        <v>2.2799999999999998</v>
      </c>
      <c r="X398" s="1">
        <v>43384</v>
      </c>
    </row>
    <row r="399" spans="1:24" x14ac:dyDescent="0.25">
      <c r="A399" t="s">
        <v>198</v>
      </c>
      <c r="B399">
        <v>2018</v>
      </c>
      <c r="C399" t="s">
        <v>279</v>
      </c>
      <c r="D399">
        <v>7.7</v>
      </c>
      <c r="E399">
        <v>7.8</v>
      </c>
      <c r="F399">
        <v>50</v>
      </c>
      <c r="G399">
        <v>990</v>
      </c>
      <c r="H399">
        <v>989</v>
      </c>
      <c r="I399">
        <v>2291</v>
      </c>
      <c r="J399">
        <v>18</v>
      </c>
      <c r="K399">
        <v>2.36</v>
      </c>
      <c r="L399">
        <v>20.309999999999999</v>
      </c>
      <c r="M399">
        <v>112</v>
      </c>
      <c r="N399">
        <v>69</v>
      </c>
      <c r="O399">
        <v>0.98</v>
      </c>
      <c r="P399">
        <v>12.71</v>
      </c>
      <c r="Q399">
        <v>9.98</v>
      </c>
      <c r="R399">
        <v>32.4</v>
      </c>
      <c r="S399">
        <v>45.03</v>
      </c>
      <c r="T399">
        <v>12.58</v>
      </c>
      <c r="U399">
        <v>1</v>
      </c>
      <c r="V399">
        <v>5.94</v>
      </c>
      <c r="W399">
        <v>2.09</v>
      </c>
      <c r="X399" s="1">
        <v>43384</v>
      </c>
    </row>
    <row r="400" spans="1:24" x14ac:dyDescent="0.25">
      <c r="A400" t="s">
        <v>199</v>
      </c>
      <c r="B400">
        <v>2018</v>
      </c>
      <c r="C400" t="s">
        <v>279</v>
      </c>
      <c r="D400">
        <v>7.1</v>
      </c>
      <c r="E400">
        <v>7.75</v>
      </c>
      <c r="F400">
        <v>87</v>
      </c>
      <c r="G400">
        <v>835</v>
      </c>
      <c r="H400">
        <v>925</v>
      </c>
      <c r="I400">
        <v>2159</v>
      </c>
      <c r="J400">
        <v>18</v>
      </c>
      <c r="K400">
        <v>2.1</v>
      </c>
      <c r="L400">
        <v>23.11</v>
      </c>
      <c r="M400">
        <v>134</v>
      </c>
      <c r="N400">
        <v>76</v>
      </c>
      <c r="O400">
        <v>0.83</v>
      </c>
      <c r="P400">
        <v>12.32</v>
      </c>
      <c r="Q400">
        <v>8.68</v>
      </c>
      <c r="R400">
        <v>31.27</v>
      </c>
      <c r="S400">
        <v>43.8</v>
      </c>
      <c r="T400">
        <v>16.23</v>
      </c>
      <c r="U400">
        <v>0.87</v>
      </c>
      <c r="V400">
        <v>4.7699999999999996</v>
      </c>
      <c r="W400">
        <v>2.16</v>
      </c>
      <c r="X400" s="1">
        <v>43384</v>
      </c>
    </row>
    <row r="401" spans="1:24" x14ac:dyDescent="0.25">
      <c r="A401" t="s">
        <v>200</v>
      </c>
      <c r="B401">
        <v>2018</v>
      </c>
      <c r="C401" t="s">
        <v>279</v>
      </c>
      <c r="D401">
        <v>6.8</v>
      </c>
      <c r="E401">
        <v>7.75</v>
      </c>
      <c r="F401">
        <v>180</v>
      </c>
      <c r="G401">
        <v>788</v>
      </c>
      <c r="H401">
        <v>706</v>
      </c>
      <c r="I401">
        <v>2075</v>
      </c>
      <c r="J401">
        <v>14</v>
      </c>
      <c r="K401">
        <v>1.34</v>
      </c>
      <c r="L401">
        <v>23.7</v>
      </c>
      <c r="M401">
        <v>157</v>
      </c>
      <c r="N401">
        <v>117</v>
      </c>
      <c r="O401">
        <v>1.23</v>
      </c>
      <c r="P401">
        <v>11.13</v>
      </c>
      <c r="Q401">
        <v>9.06</v>
      </c>
      <c r="R401">
        <v>26.4</v>
      </c>
      <c r="S401">
        <v>46.56</v>
      </c>
      <c r="T401">
        <v>17.95</v>
      </c>
      <c r="U401">
        <v>0.72</v>
      </c>
      <c r="V401">
        <v>4.2300000000000004</v>
      </c>
      <c r="W401">
        <v>1.59</v>
      </c>
      <c r="X401" s="1">
        <v>43384</v>
      </c>
    </row>
    <row r="402" spans="1:24" x14ac:dyDescent="0.25">
      <c r="A402" t="s">
        <v>201</v>
      </c>
      <c r="B402">
        <v>2018</v>
      </c>
      <c r="C402" t="s">
        <v>279</v>
      </c>
      <c r="D402">
        <v>7.3</v>
      </c>
      <c r="E402">
        <v>7.7</v>
      </c>
      <c r="F402">
        <v>185</v>
      </c>
      <c r="G402">
        <v>1082</v>
      </c>
      <c r="H402">
        <v>893</v>
      </c>
      <c r="I402">
        <v>2800</v>
      </c>
      <c r="J402">
        <v>19</v>
      </c>
      <c r="K402">
        <v>2.62</v>
      </c>
      <c r="L402">
        <v>25.06</v>
      </c>
      <c r="M402">
        <v>181</v>
      </c>
      <c r="N402">
        <v>81</v>
      </c>
      <c r="O402">
        <v>1.63</v>
      </c>
      <c r="P402">
        <v>14.5</v>
      </c>
      <c r="Q402">
        <v>9.56</v>
      </c>
      <c r="R402">
        <v>25.64</v>
      </c>
      <c r="S402">
        <v>48.24</v>
      </c>
      <c r="T402">
        <v>16.54</v>
      </c>
      <c r="U402">
        <v>1.01</v>
      </c>
      <c r="V402">
        <v>6.38</v>
      </c>
      <c r="W402">
        <v>1.2</v>
      </c>
      <c r="X402" s="1">
        <v>43384</v>
      </c>
    </row>
    <row r="403" spans="1:24" x14ac:dyDescent="0.25">
      <c r="A403" t="s">
        <v>202</v>
      </c>
      <c r="B403">
        <v>2018</v>
      </c>
      <c r="C403" t="s">
        <v>279</v>
      </c>
      <c r="D403">
        <v>7.2</v>
      </c>
      <c r="E403">
        <v>7.8</v>
      </c>
      <c r="F403">
        <v>114</v>
      </c>
      <c r="G403">
        <v>967</v>
      </c>
      <c r="H403">
        <v>887</v>
      </c>
      <c r="I403">
        <v>2330</v>
      </c>
      <c r="J403">
        <v>18</v>
      </c>
      <c r="K403">
        <v>1.87</v>
      </c>
      <c r="L403">
        <v>14.07</v>
      </c>
      <c r="M403">
        <v>162</v>
      </c>
      <c r="N403">
        <v>68</v>
      </c>
      <c r="O403">
        <v>1.38</v>
      </c>
      <c r="P403">
        <v>12.36</v>
      </c>
      <c r="Q403">
        <v>10.02</v>
      </c>
      <c r="R403">
        <v>29.9</v>
      </c>
      <c r="S403">
        <v>47.12</v>
      </c>
      <c r="T403">
        <v>12.94</v>
      </c>
      <c r="U403">
        <v>0.77</v>
      </c>
      <c r="V403">
        <v>5.35</v>
      </c>
      <c r="W403">
        <v>1.59</v>
      </c>
      <c r="X403" s="1">
        <v>43384</v>
      </c>
    </row>
    <row r="404" spans="1:24" x14ac:dyDescent="0.25">
      <c r="A404" t="s">
        <v>203</v>
      </c>
      <c r="B404">
        <v>2018</v>
      </c>
      <c r="C404" t="s">
        <v>279</v>
      </c>
      <c r="D404">
        <v>7.1</v>
      </c>
      <c r="E404">
        <v>7.8</v>
      </c>
      <c r="F404">
        <v>211</v>
      </c>
      <c r="G404">
        <v>1273</v>
      </c>
      <c r="H404">
        <v>747</v>
      </c>
      <c r="I404">
        <v>2229</v>
      </c>
      <c r="J404">
        <v>18</v>
      </c>
      <c r="K404">
        <v>1.8</v>
      </c>
      <c r="L404">
        <v>22.88</v>
      </c>
      <c r="M404">
        <v>153</v>
      </c>
      <c r="N404">
        <v>79</v>
      </c>
      <c r="O404">
        <v>1.55</v>
      </c>
      <c r="P404">
        <v>11.91</v>
      </c>
      <c r="Q404">
        <v>13.69</v>
      </c>
      <c r="R404">
        <v>26.11</v>
      </c>
      <c r="S404">
        <v>46.76</v>
      </c>
      <c r="T404">
        <v>13.42</v>
      </c>
      <c r="U404">
        <v>0.91</v>
      </c>
      <c r="V404">
        <v>8.16</v>
      </c>
      <c r="W404">
        <v>1.76</v>
      </c>
      <c r="X404" s="1">
        <v>43384</v>
      </c>
    </row>
    <row r="405" spans="1:24" x14ac:dyDescent="0.25">
      <c r="A405" t="s">
        <v>204</v>
      </c>
      <c r="B405">
        <v>2018</v>
      </c>
      <c r="C405" t="s">
        <v>279</v>
      </c>
      <c r="D405">
        <v>8</v>
      </c>
      <c r="E405">
        <v>7.75</v>
      </c>
      <c r="F405">
        <v>202</v>
      </c>
      <c r="G405">
        <v>1015</v>
      </c>
      <c r="H405">
        <v>1021</v>
      </c>
      <c r="I405">
        <v>3433</v>
      </c>
      <c r="J405">
        <v>22</v>
      </c>
      <c r="K405">
        <v>2.62</v>
      </c>
      <c r="L405">
        <v>19.45</v>
      </c>
      <c r="M405">
        <v>230</v>
      </c>
      <c r="N405">
        <v>77</v>
      </c>
      <c r="O405">
        <v>1.47</v>
      </c>
      <c r="P405">
        <v>16.13</v>
      </c>
      <c r="Q405">
        <v>8.06</v>
      </c>
      <c r="R405">
        <v>26.36</v>
      </c>
      <c r="S405">
        <v>53.18</v>
      </c>
      <c r="T405">
        <v>12.39</v>
      </c>
      <c r="U405">
        <v>1.08</v>
      </c>
      <c r="V405">
        <v>3.69</v>
      </c>
      <c r="W405">
        <v>0.74</v>
      </c>
      <c r="X405" s="1">
        <v>43384</v>
      </c>
    </row>
    <row r="406" spans="1:24" x14ac:dyDescent="0.25">
      <c r="A406" t="s">
        <v>205</v>
      </c>
      <c r="B406">
        <v>2018</v>
      </c>
      <c r="C406" t="s">
        <v>279</v>
      </c>
      <c r="D406">
        <v>7.9</v>
      </c>
      <c r="E406">
        <v>7.75</v>
      </c>
      <c r="F406">
        <v>180</v>
      </c>
      <c r="G406">
        <v>1271</v>
      </c>
      <c r="H406">
        <v>994</v>
      </c>
      <c r="I406">
        <v>3144</v>
      </c>
      <c r="J406">
        <v>15</v>
      </c>
      <c r="K406">
        <v>2.44</v>
      </c>
      <c r="L406">
        <v>17.14</v>
      </c>
      <c r="M406">
        <v>233</v>
      </c>
      <c r="N406">
        <v>79</v>
      </c>
      <c r="O406">
        <v>1.55</v>
      </c>
      <c r="P406">
        <v>15.63</v>
      </c>
      <c r="Q406">
        <v>10.42</v>
      </c>
      <c r="R406">
        <v>26.49</v>
      </c>
      <c r="S406">
        <v>50.28</v>
      </c>
      <c r="T406">
        <v>12.79</v>
      </c>
      <c r="U406">
        <v>1.1200000000000001</v>
      </c>
      <c r="V406">
        <v>5.94</v>
      </c>
      <c r="W406">
        <v>2.2000000000000002</v>
      </c>
      <c r="X406" s="1">
        <v>43384</v>
      </c>
    </row>
    <row r="407" spans="1:24" x14ac:dyDescent="0.25">
      <c r="A407" t="s">
        <v>250</v>
      </c>
      <c r="B407">
        <v>2018</v>
      </c>
      <c r="C407" t="s">
        <v>276</v>
      </c>
      <c r="D407">
        <v>8</v>
      </c>
      <c r="E407">
        <v>7.85</v>
      </c>
      <c r="F407">
        <v>105.5</v>
      </c>
      <c r="G407">
        <v>1062.5</v>
      </c>
      <c r="H407">
        <v>746</v>
      </c>
      <c r="I407">
        <v>2719</v>
      </c>
      <c r="J407">
        <v>16</v>
      </c>
      <c r="K407">
        <v>2.8</v>
      </c>
      <c r="L407">
        <v>8.52</v>
      </c>
      <c r="M407">
        <v>114</v>
      </c>
      <c r="N407">
        <v>37</v>
      </c>
      <c r="O407">
        <v>2.15</v>
      </c>
      <c r="P407">
        <v>23.73</v>
      </c>
      <c r="Q407">
        <v>11.47</v>
      </c>
      <c r="R407">
        <v>26.19</v>
      </c>
      <c r="S407">
        <v>57.27</v>
      </c>
      <c r="T407">
        <v>5.05</v>
      </c>
      <c r="U407">
        <v>1.46</v>
      </c>
      <c r="V407">
        <v>32.17</v>
      </c>
      <c r="W407">
        <v>3.28</v>
      </c>
      <c r="X407" s="1">
        <v>43374</v>
      </c>
    </row>
    <row r="408" spans="1:24" x14ac:dyDescent="0.25">
      <c r="A408" t="s">
        <v>251</v>
      </c>
      <c r="B408">
        <v>2018</v>
      </c>
      <c r="C408" t="s">
        <v>276</v>
      </c>
      <c r="D408">
        <v>8.1</v>
      </c>
      <c r="E408">
        <v>7.8</v>
      </c>
      <c r="F408">
        <v>102</v>
      </c>
      <c r="G408">
        <v>1028</v>
      </c>
      <c r="H408">
        <v>804</v>
      </c>
      <c r="I408">
        <v>3621</v>
      </c>
      <c r="J408">
        <v>20</v>
      </c>
      <c r="K408">
        <v>2.82</v>
      </c>
      <c r="L408">
        <v>5.87</v>
      </c>
      <c r="M408">
        <v>126</v>
      </c>
      <c r="N408">
        <v>35</v>
      </c>
      <c r="O408">
        <v>2.19</v>
      </c>
      <c r="P408">
        <v>29.04</v>
      </c>
      <c r="Q408">
        <v>9.07</v>
      </c>
      <c r="R408">
        <v>23.07</v>
      </c>
      <c r="S408">
        <v>62.34</v>
      </c>
      <c r="T408">
        <v>5.5</v>
      </c>
      <c r="U408">
        <v>1.52</v>
      </c>
      <c r="V408">
        <v>29.69</v>
      </c>
      <c r="W408">
        <v>2.74</v>
      </c>
      <c r="X408" s="1">
        <v>43374</v>
      </c>
    </row>
    <row r="409" spans="1:24" x14ac:dyDescent="0.25">
      <c r="A409" t="s">
        <v>252</v>
      </c>
      <c r="B409">
        <v>2018</v>
      </c>
      <c r="C409" t="s">
        <v>276</v>
      </c>
      <c r="D409">
        <v>7.8</v>
      </c>
      <c r="E409">
        <v>7.8</v>
      </c>
      <c r="F409">
        <v>97.5</v>
      </c>
      <c r="G409">
        <v>908.5</v>
      </c>
      <c r="H409">
        <v>714.5</v>
      </c>
      <c r="I409">
        <v>2335</v>
      </c>
      <c r="J409">
        <v>10.5</v>
      </c>
      <c r="K409">
        <v>2.4900000000000002</v>
      </c>
      <c r="L409">
        <v>5.66</v>
      </c>
      <c r="M409">
        <v>121</v>
      </c>
      <c r="N409">
        <v>39.5</v>
      </c>
      <c r="O409">
        <v>2.0699999999999998</v>
      </c>
      <c r="P409">
        <v>21.55</v>
      </c>
      <c r="Q409">
        <v>10.8</v>
      </c>
      <c r="R409">
        <v>27.61</v>
      </c>
      <c r="S409">
        <v>54.15</v>
      </c>
      <c r="T409">
        <v>7.42</v>
      </c>
      <c r="U409">
        <v>1.37</v>
      </c>
      <c r="V409">
        <v>4.71</v>
      </c>
      <c r="W409">
        <v>2.93</v>
      </c>
      <c r="X409" s="1">
        <v>43374</v>
      </c>
    </row>
    <row r="410" spans="1:24" x14ac:dyDescent="0.25">
      <c r="A410" t="s">
        <v>253</v>
      </c>
      <c r="B410">
        <v>2018</v>
      </c>
      <c r="C410" t="s">
        <v>276</v>
      </c>
      <c r="D410">
        <v>8</v>
      </c>
      <c r="E410">
        <v>7.8</v>
      </c>
      <c r="F410">
        <v>112.5</v>
      </c>
      <c r="G410">
        <v>1080.5</v>
      </c>
      <c r="H410">
        <v>817.5</v>
      </c>
      <c r="I410">
        <v>2765</v>
      </c>
      <c r="J410">
        <v>14</v>
      </c>
      <c r="K410">
        <v>2.98</v>
      </c>
      <c r="L410">
        <v>7.38</v>
      </c>
      <c r="M410">
        <v>122</v>
      </c>
      <c r="N410">
        <v>39</v>
      </c>
      <c r="O410">
        <v>2.2999999999999998</v>
      </c>
      <c r="P410">
        <v>25</v>
      </c>
      <c r="Q410">
        <v>11.07</v>
      </c>
      <c r="R410">
        <v>27.24</v>
      </c>
      <c r="S410">
        <v>55.28</v>
      </c>
      <c r="T410">
        <v>6.39</v>
      </c>
      <c r="U410">
        <v>1.57</v>
      </c>
      <c r="V410">
        <v>15.13</v>
      </c>
      <c r="W410">
        <v>2.46</v>
      </c>
      <c r="X410" s="1">
        <v>43374</v>
      </c>
    </row>
    <row r="411" spans="1:24" x14ac:dyDescent="0.25">
      <c r="A411" t="s">
        <v>254</v>
      </c>
      <c r="B411">
        <v>2018</v>
      </c>
      <c r="C411" t="s">
        <v>279</v>
      </c>
      <c r="D411">
        <v>7.4</v>
      </c>
      <c r="E411">
        <v>7.85</v>
      </c>
      <c r="F411">
        <v>164</v>
      </c>
      <c r="G411">
        <v>667.5</v>
      </c>
      <c r="H411">
        <v>293.5</v>
      </c>
      <c r="I411">
        <v>1374</v>
      </c>
      <c r="J411">
        <v>14.5</v>
      </c>
      <c r="K411">
        <v>1.0900000000000001</v>
      </c>
      <c r="L411">
        <v>6.12</v>
      </c>
      <c r="M411">
        <v>83.5</v>
      </c>
      <c r="N411">
        <v>50.5</v>
      </c>
      <c r="O411">
        <v>1.3</v>
      </c>
      <c r="P411">
        <v>12.22</v>
      </c>
      <c r="Q411">
        <v>13.99</v>
      </c>
      <c r="R411">
        <v>20</v>
      </c>
      <c r="S411">
        <v>56.18</v>
      </c>
      <c r="T411">
        <v>9.81</v>
      </c>
      <c r="U411">
        <v>0.9</v>
      </c>
      <c r="V411">
        <v>6.58</v>
      </c>
      <c r="W411">
        <v>2.92</v>
      </c>
      <c r="X411" s="1">
        <v>43374</v>
      </c>
    </row>
    <row r="412" spans="1:24" x14ac:dyDescent="0.25">
      <c r="A412" t="s">
        <v>255</v>
      </c>
      <c r="B412">
        <v>2018</v>
      </c>
      <c r="C412" t="s">
        <v>279</v>
      </c>
      <c r="D412">
        <v>7.5</v>
      </c>
      <c r="E412">
        <v>7.85</v>
      </c>
      <c r="F412">
        <v>154.5</v>
      </c>
      <c r="G412">
        <v>651.5</v>
      </c>
      <c r="H412">
        <v>309</v>
      </c>
      <c r="I412">
        <v>1407.5</v>
      </c>
      <c r="J412">
        <v>8.5</v>
      </c>
      <c r="K412">
        <v>1.1299999999999999</v>
      </c>
      <c r="L412">
        <v>5.63</v>
      </c>
      <c r="M412">
        <v>88.5</v>
      </c>
      <c r="N412">
        <v>50</v>
      </c>
      <c r="O412">
        <v>1.41</v>
      </c>
      <c r="P412">
        <v>12.48</v>
      </c>
      <c r="Q412">
        <v>13.38</v>
      </c>
      <c r="R412">
        <v>20.62</v>
      </c>
      <c r="S412">
        <v>56.37</v>
      </c>
      <c r="T412">
        <v>9.61</v>
      </c>
      <c r="U412">
        <v>0.78</v>
      </c>
      <c r="V412">
        <v>4.1100000000000003</v>
      </c>
      <c r="W412">
        <v>2.79</v>
      </c>
      <c r="X412" s="1">
        <v>43374</v>
      </c>
    </row>
    <row r="413" spans="1:24" x14ac:dyDescent="0.25">
      <c r="A413" t="s">
        <v>256</v>
      </c>
      <c r="B413">
        <v>2018</v>
      </c>
      <c r="C413" t="s">
        <v>279</v>
      </c>
      <c r="D413">
        <v>7.7</v>
      </c>
      <c r="E413">
        <v>7.9</v>
      </c>
      <c r="F413">
        <v>155.5</v>
      </c>
      <c r="G413">
        <v>621.5</v>
      </c>
      <c r="H413">
        <v>301.5</v>
      </c>
      <c r="I413">
        <v>1521</v>
      </c>
      <c r="J413">
        <v>8.5</v>
      </c>
      <c r="K413">
        <v>1.24</v>
      </c>
      <c r="L413">
        <v>6.67</v>
      </c>
      <c r="M413">
        <v>101.5</v>
      </c>
      <c r="N413">
        <v>51.5</v>
      </c>
      <c r="O413">
        <v>1.39</v>
      </c>
      <c r="P413">
        <v>12.51</v>
      </c>
      <c r="Q413">
        <v>12.73</v>
      </c>
      <c r="R413">
        <v>20.079999999999998</v>
      </c>
      <c r="S413">
        <v>60.78</v>
      </c>
      <c r="T413">
        <v>6.39</v>
      </c>
      <c r="U413">
        <v>1.07</v>
      </c>
      <c r="V413">
        <v>4.09</v>
      </c>
      <c r="W413">
        <v>3.44</v>
      </c>
      <c r="X413" s="1">
        <v>43374</v>
      </c>
    </row>
    <row r="414" spans="1:24" x14ac:dyDescent="0.25">
      <c r="A414" t="s">
        <v>257</v>
      </c>
      <c r="B414">
        <v>2018</v>
      </c>
      <c r="C414" t="s">
        <v>279</v>
      </c>
      <c r="D414">
        <v>7.3</v>
      </c>
      <c r="E414">
        <v>7.9</v>
      </c>
      <c r="F414">
        <v>187.5</v>
      </c>
      <c r="G414">
        <v>742</v>
      </c>
      <c r="H414">
        <v>348.5</v>
      </c>
      <c r="I414">
        <v>1715.5</v>
      </c>
      <c r="J414">
        <v>21</v>
      </c>
      <c r="K414">
        <v>1.47</v>
      </c>
      <c r="L414">
        <v>7.87</v>
      </c>
      <c r="M414">
        <v>111</v>
      </c>
      <c r="N414">
        <v>48</v>
      </c>
      <c r="O414">
        <v>1.54</v>
      </c>
      <c r="P414">
        <v>14.18</v>
      </c>
      <c r="Q414">
        <v>13.41</v>
      </c>
      <c r="R414">
        <v>20.47</v>
      </c>
      <c r="S414">
        <v>60.47</v>
      </c>
      <c r="T414">
        <v>5.64</v>
      </c>
      <c r="U414">
        <v>1.03</v>
      </c>
      <c r="V414">
        <v>20.71</v>
      </c>
      <c r="W414">
        <v>3.36</v>
      </c>
      <c r="X414" s="1">
        <v>43374</v>
      </c>
    </row>
    <row r="415" spans="1:24" x14ac:dyDescent="0.25">
      <c r="A415" t="s">
        <v>258</v>
      </c>
      <c r="B415">
        <v>2018</v>
      </c>
      <c r="C415" t="s">
        <v>279</v>
      </c>
      <c r="D415">
        <v>8.3000000000000007</v>
      </c>
      <c r="E415">
        <v>7.9</v>
      </c>
      <c r="F415">
        <v>93.5</v>
      </c>
      <c r="G415">
        <v>602</v>
      </c>
      <c r="H415">
        <v>615.5</v>
      </c>
      <c r="I415">
        <v>1216</v>
      </c>
      <c r="J415">
        <v>13.5</v>
      </c>
      <c r="K415">
        <v>2.7</v>
      </c>
      <c r="L415">
        <v>4.2</v>
      </c>
      <c r="M415">
        <v>103</v>
      </c>
      <c r="N415">
        <v>29.5</v>
      </c>
      <c r="O415">
        <v>1.44</v>
      </c>
      <c r="P415">
        <v>13.55</v>
      </c>
      <c r="Q415">
        <v>11.38</v>
      </c>
      <c r="R415">
        <v>37.840000000000003</v>
      </c>
      <c r="S415">
        <v>44.86</v>
      </c>
      <c r="T415">
        <v>5.9</v>
      </c>
      <c r="U415">
        <v>0.73</v>
      </c>
      <c r="V415">
        <v>3.43</v>
      </c>
      <c r="W415">
        <v>2.72</v>
      </c>
      <c r="X415" s="1">
        <v>43374</v>
      </c>
    </row>
    <row r="416" spans="1:24" x14ac:dyDescent="0.25">
      <c r="A416" t="s">
        <v>259</v>
      </c>
      <c r="B416">
        <v>2018</v>
      </c>
      <c r="C416" t="s">
        <v>279</v>
      </c>
      <c r="D416">
        <v>8</v>
      </c>
      <c r="E416">
        <v>7.9</v>
      </c>
      <c r="F416">
        <v>79.5</v>
      </c>
      <c r="G416">
        <v>497</v>
      </c>
      <c r="H416">
        <v>617</v>
      </c>
      <c r="I416">
        <v>1167</v>
      </c>
      <c r="J416">
        <v>9.5</v>
      </c>
      <c r="K416">
        <v>2.42</v>
      </c>
      <c r="L416">
        <v>4.68</v>
      </c>
      <c r="M416">
        <v>98.5</v>
      </c>
      <c r="N416">
        <v>28</v>
      </c>
      <c r="O416">
        <v>1.33</v>
      </c>
      <c r="P416">
        <v>13.05</v>
      </c>
      <c r="Q416">
        <v>9.76</v>
      </c>
      <c r="R416">
        <v>39.39</v>
      </c>
      <c r="S416">
        <v>44.7</v>
      </c>
      <c r="T416">
        <v>6.12</v>
      </c>
      <c r="U416">
        <v>0.74</v>
      </c>
      <c r="V416">
        <v>3.88</v>
      </c>
      <c r="W416">
        <v>2.4500000000000002</v>
      </c>
      <c r="X416" s="1">
        <v>43374</v>
      </c>
    </row>
    <row r="417" spans="1:24" x14ac:dyDescent="0.25">
      <c r="A417" t="s">
        <v>260</v>
      </c>
      <c r="B417">
        <v>2018</v>
      </c>
      <c r="C417" t="s">
        <v>279</v>
      </c>
      <c r="D417">
        <v>8.1999999999999993</v>
      </c>
      <c r="E417">
        <v>7.9</v>
      </c>
      <c r="F417">
        <v>76.5</v>
      </c>
      <c r="G417">
        <v>512</v>
      </c>
      <c r="H417">
        <v>534</v>
      </c>
      <c r="I417">
        <v>1062.5</v>
      </c>
      <c r="J417">
        <v>9</v>
      </c>
      <c r="K417">
        <v>2.27</v>
      </c>
      <c r="L417">
        <v>3.12</v>
      </c>
      <c r="M417">
        <v>102</v>
      </c>
      <c r="N417">
        <v>30</v>
      </c>
      <c r="O417">
        <v>1.29</v>
      </c>
      <c r="P417">
        <v>11.87</v>
      </c>
      <c r="Q417">
        <v>11.05</v>
      </c>
      <c r="R417">
        <v>37.47</v>
      </c>
      <c r="S417">
        <v>44.73</v>
      </c>
      <c r="T417">
        <v>6.73</v>
      </c>
      <c r="U417">
        <v>0.73</v>
      </c>
      <c r="V417">
        <v>4.28</v>
      </c>
      <c r="W417">
        <v>2.69</v>
      </c>
      <c r="X417" s="1">
        <v>43374</v>
      </c>
    </row>
    <row r="418" spans="1:24" x14ac:dyDescent="0.25">
      <c r="A418" t="s">
        <v>261</v>
      </c>
      <c r="B418">
        <v>2018</v>
      </c>
      <c r="C418" t="s">
        <v>279</v>
      </c>
      <c r="D418">
        <v>8.1</v>
      </c>
      <c r="E418">
        <v>7.95</v>
      </c>
      <c r="F418">
        <v>130.5</v>
      </c>
      <c r="G418">
        <v>636.5</v>
      </c>
      <c r="H418">
        <v>645.5</v>
      </c>
      <c r="I418">
        <v>1377</v>
      </c>
      <c r="J418">
        <v>12</v>
      </c>
      <c r="K418">
        <v>2.69</v>
      </c>
      <c r="L418">
        <v>7.39</v>
      </c>
      <c r="M418">
        <v>102</v>
      </c>
      <c r="N418">
        <v>34.5</v>
      </c>
      <c r="O418">
        <v>1.4</v>
      </c>
      <c r="P418">
        <v>14.29</v>
      </c>
      <c r="Q418">
        <v>11.41</v>
      </c>
      <c r="R418">
        <v>37.619999999999997</v>
      </c>
      <c r="S418">
        <v>48.15</v>
      </c>
      <c r="T418">
        <v>2.79</v>
      </c>
      <c r="U418">
        <v>0.95</v>
      </c>
      <c r="V418">
        <v>6.34</v>
      </c>
      <c r="W418">
        <v>3.01</v>
      </c>
      <c r="X418" s="1">
        <v>43374</v>
      </c>
    </row>
    <row r="419" spans="1:24" x14ac:dyDescent="0.25">
      <c r="A419" t="s">
        <v>184</v>
      </c>
      <c r="B419">
        <v>2018</v>
      </c>
      <c r="C419" t="s">
        <v>275</v>
      </c>
      <c r="D419">
        <v>7.7</v>
      </c>
      <c r="E419">
        <v>7.65</v>
      </c>
      <c r="F419">
        <v>123</v>
      </c>
      <c r="G419">
        <v>761</v>
      </c>
      <c r="H419">
        <v>986.5</v>
      </c>
      <c r="I419">
        <v>2572.5</v>
      </c>
      <c r="J419">
        <v>29.5</v>
      </c>
      <c r="K419">
        <v>1.86</v>
      </c>
      <c r="L419">
        <v>7.43</v>
      </c>
      <c r="M419">
        <v>168</v>
      </c>
      <c r="N419">
        <v>37</v>
      </c>
      <c r="O419">
        <v>2.67</v>
      </c>
      <c r="P419">
        <v>25.83</v>
      </c>
      <c r="Q419">
        <v>7.55</v>
      </c>
      <c r="R419">
        <v>31.82</v>
      </c>
      <c r="S419">
        <v>49.78</v>
      </c>
      <c r="T419">
        <v>10.83</v>
      </c>
      <c r="U419">
        <v>2.02</v>
      </c>
      <c r="V419">
        <v>22.41</v>
      </c>
      <c r="W419">
        <v>4.08</v>
      </c>
      <c r="X419" s="1">
        <v>43374</v>
      </c>
    </row>
    <row r="420" spans="1:24" x14ac:dyDescent="0.25">
      <c r="A420" t="s">
        <v>185</v>
      </c>
      <c r="B420">
        <v>2018</v>
      </c>
      <c r="C420" t="s">
        <v>275</v>
      </c>
      <c r="D420">
        <v>7.6</v>
      </c>
      <c r="E420">
        <v>7.8</v>
      </c>
      <c r="F420">
        <v>74.5</v>
      </c>
      <c r="G420">
        <v>692.5</v>
      </c>
      <c r="H420">
        <v>993</v>
      </c>
      <c r="I420">
        <v>2683.5</v>
      </c>
      <c r="J420">
        <v>21.5</v>
      </c>
      <c r="K420">
        <v>2.0299999999999998</v>
      </c>
      <c r="L420">
        <v>6.4</v>
      </c>
      <c r="M420">
        <v>163.5</v>
      </c>
      <c r="N420">
        <v>33</v>
      </c>
      <c r="O420">
        <v>2.8</v>
      </c>
      <c r="P420">
        <v>25.06</v>
      </c>
      <c r="Q420">
        <v>7.08</v>
      </c>
      <c r="R420">
        <v>33.01</v>
      </c>
      <c r="S420">
        <v>53.52</v>
      </c>
      <c r="T420">
        <v>6.38</v>
      </c>
      <c r="U420">
        <v>2.02</v>
      </c>
      <c r="V420">
        <v>19.34</v>
      </c>
      <c r="W420">
        <v>2.81</v>
      </c>
      <c r="X420" s="1">
        <v>43374</v>
      </c>
    </row>
    <row r="421" spans="1:24" x14ac:dyDescent="0.25">
      <c r="A421" t="s">
        <v>186</v>
      </c>
      <c r="B421">
        <v>2018</v>
      </c>
      <c r="C421" t="s">
        <v>275</v>
      </c>
      <c r="D421">
        <v>7.9</v>
      </c>
      <c r="E421">
        <v>7.8</v>
      </c>
      <c r="F421">
        <v>79.5</v>
      </c>
      <c r="G421">
        <v>743.5</v>
      </c>
      <c r="H421">
        <v>966</v>
      </c>
      <c r="I421">
        <v>2669</v>
      </c>
      <c r="J421">
        <v>12</v>
      </c>
      <c r="K421">
        <v>1.97</v>
      </c>
      <c r="L421">
        <v>6.46</v>
      </c>
      <c r="M421">
        <v>169</v>
      </c>
      <c r="N421">
        <v>33.5</v>
      </c>
      <c r="O421">
        <v>2.76</v>
      </c>
      <c r="P421">
        <v>24.9</v>
      </c>
      <c r="Q421">
        <v>7.65</v>
      </c>
      <c r="R421">
        <v>32.32</v>
      </c>
      <c r="S421">
        <v>53.59</v>
      </c>
      <c r="T421">
        <v>6.42</v>
      </c>
      <c r="U421">
        <v>2.16</v>
      </c>
      <c r="V421">
        <v>8.17</v>
      </c>
      <c r="W421">
        <v>2.5499999999999998</v>
      </c>
      <c r="X421" s="1">
        <v>43374</v>
      </c>
    </row>
    <row r="422" spans="1:24" x14ac:dyDescent="0.25">
      <c r="A422" t="s">
        <v>187</v>
      </c>
      <c r="B422">
        <v>2018</v>
      </c>
      <c r="C422" t="s">
        <v>275</v>
      </c>
      <c r="D422">
        <v>7.6</v>
      </c>
      <c r="E422">
        <v>7.8</v>
      </c>
      <c r="F422">
        <v>112.5</v>
      </c>
      <c r="G422">
        <v>768</v>
      </c>
      <c r="H422">
        <v>1129</v>
      </c>
      <c r="I422">
        <v>2899.5</v>
      </c>
      <c r="J422">
        <v>25</v>
      </c>
      <c r="K422">
        <v>1.97</v>
      </c>
      <c r="L422">
        <v>7.42</v>
      </c>
      <c r="M422">
        <v>183.5</v>
      </c>
      <c r="N422">
        <v>36</v>
      </c>
      <c r="O422">
        <v>2.83</v>
      </c>
      <c r="P422">
        <v>27.47</v>
      </c>
      <c r="Q422">
        <v>7.16</v>
      </c>
      <c r="R422">
        <v>34.24</v>
      </c>
      <c r="S422">
        <v>52.76</v>
      </c>
      <c r="T422">
        <v>5.82</v>
      </c>
      <c r="U422">
        <v>2.27</v>
      </c>
      <c r="V422">
        <v>29.86</v>
      </c>
      <c r="W422">
        <v>2.91</v>
      </c>
      <c r="X422" s="1">
        <v>43374</v>
      </c>
    </row>
    <row r="423" spans="1:24" x14ac:dyDescent="0.25">
      <c r="A423" t="s">
        <v>188</v>
      </c>
      <c r="B423">
        <v>2018</v>
      </c>
      <c r="C423" t="s">
        <v>275</v>
      </c>
      <c r="D423">
        <v>7.9</v>
      </c>
      <c r="E423">
        <v>7.5</v>
      </c>
      <c r="F423">
        <v>102.5</v>
      </c>
      <c r="G423">
        <v>907</v>
      </c>
      <c r="H423">
        <v>953.5</v>
      </c>
      <c r="I423">
        <v>3042</v>
      </c>
      <c r="J423">
        <v>11</v>
      </c>
      <c r="K423">
        <v>2.09</v>
      </c>
      <c r="L423">
        <v>7.44</v>
      </c>
      <c r="M423">
        <v>240</v>
      </c>
      <c r="N423">
        <v>42</v>
      </c>
      <c r="O423">
        <v>3.58</v>
      </c>
      <c r="P423">
        <v>29.48</v>
      </c>
      <c r="Q423">
        <v>7.88</v>
      </c>
      <c r="R423">
        <v>26.95</v>
      </c>
      <c r="S423">
        <v>51.59</v>
      </c>
      <c r="T423">
        <v>13.56</v>
      </c>
      <c r="U423">
        <v>2.35</v>
      </c>
      <c r="V423">
        <v>8.23</v>
      </c>
      <c r="W423">
        <v>3.18</v>
      </c>
      <c r="X423" s="1">
        <v>43374</v>
      </c>
    </row>
    <row r="424" spans="1:24" x14ac:dyDescent="0.25">
      <c r="A424" t="s">
        <v>189</v>
      </c>
      <c r="B424">
        <v>2018</v>
      </c>
      <c r="C424" t="s">
        <v>275</v>
      </c>
      <c r="D424">
        <v>7.7</v>
      </c>
      <c r="E424">
        <v>7.8</v>
      </c>
      <c r="F424">
        <v>109.5</v>
      </c>
      <c r="G424">
        <v>890.5</v>
      </c>
      <c r="H424">
        <v>937</v>
      </c>
      <c r="I424">
        <v>3034</v>
      </c>
      <c r="J424">
        <v>18</v>
      </c>
      <c r="K424">
        <v>2.2000000000000002</v>
      </c>
      <c r="L424">
        <v>8.27</v>
      </c>
      <c r="M424">
        <v>211</v>
      </c>
      <c r="N424">
        <v>39.5</v>
      </c>
      <c r="O424">
        <v>3.32</v>
      </c>
      <c r="P424">
        <v>26.86</v>
      </c>
      <c r="Q424">
        <v>8.5</v>
      </c>
      <c r="R424">
        <v>29.06</v>
      </c>
      <c r="S424">
        <v>56.47</v>
      </c>
      <c r="T424">
        <v>5.95</v>
      </c>
      <c r="U424">
        <v>2.48</v>
      </c>
      <c r="V424">
        <v>21.09</v>
      </c>
      <c r="W424">
        <v>4.03</v>
      </c>
      <c r="X424" s="1">
        <v>43374</v>
      </c>
    </row>
    <row r="425" spans="1:24" x14ac:dyDescent="0.25">
      <c r="A425" t="s">
        <v>190</v>
      </c>
      <c r="B425">
        <v>2018</v>
      </c>
      <c r="C425" t="s">
        <v>275</v>
      </c>
      <c r="D425">
        <v>7.9</v>
      </c>
      <c r="E425">
        <v>7.8</v>
      </c>
      <c r="F425">
        <v>133.5</v>
      </c>
      <c r="G425">
        <v>882</v>
      </c>
      <c r="H425">
        <v>947.5</v>
      </c>
      <c r="I425">
        <v>3140.5</v>
      </c>
      <c r="J425">
        <v>11.5</v>
      </c>
      <c r="K425">
        <v>2.16</v>
      </c>
      <c r="L425">
        <v>10.06</v>
      </c>
      <c r="M425">
        <v>229.5</v>
      </c>
      <c r="N425">
        <v>41</v>
      </c>
      <c r="O425">
        <v>3.69</v>
      </c>
      <c r="P425">
        <v>27.45</v>
      </c>
      <c r="Q425">
        <v>8.23</v>
      </c>
      <c r="R425">
        <v>28.75</v>
      </c>
      <c r="S425">
        <v>57.18</v>
      </c>
      <c r="T425">
        <v>5.82</v>
      </c>
      <c r="U425">
        <v>2.2799999999999998</v>
      </c>
      <c r="V425">
        <v>8.91</v>
      </c>
      <c r="W425">
        <v>4.4800000000000004</v>
      </c>
      <c r="X425" s="1">
        <v>43374</v>
      </c>
    </row>
    <row r="426" spans="1:24" x14ac:dyDescent="0.25">
      <c r="A426" t="s">
        <v>191</v>
      </c>
      <c r="B426">
        <v>2018</v>
      </c>
      <c r="C426" t="s">
        <v>275</v>
      </c>
      <c r="D426">
        <v>7.5</v>
      </c>
      <c r="E426">
        <v>7.75</v>
      </c>
      <c r="F426">
        <v>90.5</v>
      </c>
      <c r="G426">
        <v>818.5</v>
      </c>
      <c r="H426">
        <v>893.5</v>
      </c>
      <c r="I426">
        <v>2931</v>
      </c>
      <c r="J426">
        <v>15.5</v>
      </c>
      <c r="K426">
        <v>1.96</v>
      </c>
      <c r="L426">
        <v>8.1</v>
      </c>
      <c r="M426">
        <v>238.5</v>
      </c>
      <c r="N426">
        <v>37.5</v>
      </c>
      <c r="O426">
        <v>3.3</v>
      </c>
      <c r="P426">
        <v>26.19</v>
      </c>
      <c r="Q426">
        <v>8.01</v>
      </c>
      <c r="R426">
        <v>28.41</v>
      </c>
      <c r="S426">
        <v>55.93</v>
      </c>
      <c r="T426">
        <v>7.63</v>
      </c>
      <c r="U426">
        <v>2.14</v>
      </c>
      <c r="V426">
        <v>12.43</v>
      </c>
      <c r="W426">
        <v>3.91</v>
      </c>
      <c r="X426" s="1">
        <v>43374</v>
      </c>
    </row>
    <row r="427" spans="1:24" x14ac:dyDescent="0.25">
      <c r="A427" t="s">
        <v>192</v>
      </c>
      <c r="B427">
        <v>2018</v>
      </c>
      <c r="C427" t="s">
        <v>275</v>
      </c>
      <c r="D427">
        <v>6.8</v>
      </c>
      <c r="E427">
        <v>7.75</v>
      </c>
      <c r="F427">
        <v>53.5</v>
      </c>
      <c r="G427">
        <v>784.5</v>
      </c>
      <c r="H427">
        <v>752.5</v>
      </c>
      <c r="I427">
        <v>2324.5</v>
      </c>
      <c r="J427">
        <v>30</v>
      </c>
      <c r="K427">
        <v>0.91</v>
      </c>
      <c r="L427">
        <v>3.28</v>
      </c>
      <c r="M427">
        <v>190</v>
      </c>
      <c r="N427">
        <v>37.5</v>
      </c>
      <c r="O427">
        <v>2.16</v>
      </c>
      <c r="P427">
        <v>21.9</v>
      </c>
      <c r="Q427">
        <v>9.18</v>
      </c>
      <c r="R427">
        <v>28.62</v>
      </c>
      <c r="S427">
        <v>53.05</v>
      </c>
      <c r="T427">
        <v>9.1300000000000008</v>
      </c>
      <c r="U427">
        <v>1.66</v>
      </c>
      <c r="V427">
        <v>24.15</v>
      </c>
      <c r="W427">
        <v>3.76</v>
      </c>
      <c r="X427" s="1">
        <v>43374</v>
      </c>
    </row>
    <row r="428" spans="1:24" x14ac:dyDescent="0.25">
      <c r="A428" t="s">
        <v>193</v>
      </c>
      <c r="B428">
        <v>2018</v>
      </c>
      <c r="C428" t="s">
        <v>275</v>
      </c>
      <c r="D428">
        <v>7</v>
      </c>
      <c r="E428">
        <v>7.7</v>
      </c>
      <c r="F428">
        <v>13.5</v>
      </c>
      <c r="G428">
        <v>760.5</v>
      </c>
      <c r="H428">
        <v>877.5</v>
      </c>
      <c r="I428">
        <v>2426.5</v>
      </c>
      <c r="J428">
        <v>13.5</v>
      </c>
      <c r="K428">
        <v>1.07</v>
      </c>
      <c r="L428">
        <v>2.75</v>
      </c>
      <c r="M428">
        <v>209</v>
      </c>
      <c r="N428">
        <v>42</v>
      </c>
      <c r="O428">
        <v>2.5</v>
      </c>
      <c r="P428">
        <v>23.79</v>
      </c>
      <c r="Q428">
        <v>8.19</v>
      </c>
      <c r="R428">
        <v>30.73</v>
      </c>
      <c r="S428">
        <v>50.98</v>
      </c>
      <c r="T428">
        <v>10.08</v>
      </c>
      <c r="U428">
        <v>1.53</v>
      </c>
      <c r="V428">
        <v>7.39</v>
      </c>
      <c r="W428">
        <v>3.42</v>
      </c>
      <c r="X428" s="1">
        <v>43374</v>
      </c>
    </row>
    <row r="429" spans="1:24" x14ac:dyDescent="0.25">
      <c r="A429" t="s">
        <v>194</v>
      </c>
      <c r="B429">
        <v>2018</v>
      </c>
      <c r="C429" t="s">
        <v>275</v>
      </c>
      <c r="D429">
        <v>7.1</v>
      </c>
      <c r="E429">
        <v>7.7</v>
      </c>
      <c r="F429">
        <v>67</v>
      </c>
      <c r="G429">
        <v>699</v>
      </c>
      <c r="H429">
        <v>843</v>
      </c>
      <c r="I429">
        <v>2607.5</v>
      </c>
      <c r="J429">
        <v>14.5</v>
      </c>
      <c r="K429">
        <v>1.1499999999999999</v>
      </c>
      <c r="L429">
        <v>4.3</v>
      </c>
      <c r="M429">
        <v>206</v>
      </c>
      <c r="N429">
        <v>37</v>
      </c>
      <c r="O429">
        <v>2.33</v>
      </c>
      <c r="P429">
        <v>24.25</v>
      </c>
      <c r="Q429">
        <v>7.38</v>
      </c>
      <c r="R429">
        <v>28.96</v>
      </c>
      <c r="S429">
        <v>53.75</v>
      </c>
      <c r="T429">
        <v>9.89</v>
      </c>
      <c r="U429">
        <v>1.79</v>
      </c>
      <c r="V429">
        <v>11.91</v>
      </c>
      <c r="W429">
        <v>3.76</v>
      </c>
      <c r="X429" s="1">
        <v>43374</v>
      </c>
    </row>
    <row r="430" spans="1:24" x14ac:dyDescent="0.25">
      <c r="A430" t="s">
        <v>195</v>
      </c>
      <c r="B430">
        <v>2018</v>
      </c>
      <c r="C430" t="s">
        <v>275</v>
      </c>
      <c r="D430">
        <v>7.6</v>
      </c>
      <c r="E430">
        <v>7.8</v>
      </c>
      <c r="F430">
        <v>24</v>
      </c>
      <c r="G430">
        <v>658</v>
      </c>
      <c r="H430">
        <v>856.5</v>
      </c>
      <c r="I430">
        <v>2459.5</v>
      </c>
      <c r="J430">
        <v>11</v>
      </c>
      <c r="K430">
        <v>1.17</v>
      </c>
      <c r="L430">
        <v>3.3</v>
      </c>
      <c r="M430">
        <v>208.5</v>
      </c>
      <c r="N430">
        <v>37</v>
      </c>
      <c r="O430">
        <v>2.38</v>
      </c>
      <c r="P430">
        <v>22.72</v>
      </c>
      <c r="Q430">
        <v>7.42</v>
      </c>
      <c r="R430">
        <v>31.41</v>
      </c>
      <c r="S430">
        <v>54.12</v>
      </c>
      <c r="T430">
        <v>7.04</v>
      </c>
      <c r="U430">
        <v>1.71</v>
      </c>
      <c r="V430">
        <v>7.66</v>
      </c>
      <c r="W430">
        <v>3.44</v>
      </c>
      <c r="X430" s="1">
        <v>43374</v>
      </c>
    </row>
    <row r="431" spans="1:24" x14ac:dyDescent="0.25">
      <c r="A431" t="s">
        <v>135</v>
      </c>
      <c r="B431">
        <v>2018</v>
      </c>
      <c r="C431" t="s">
        <v>275</v>
      </c>
      <c r="D431">
        <v>8.6</v>
      </c>
      <c r="E431">
        <v>7.8</v>
      </c>
      <c r="F431">
        <v>97</v>
      </c>
      <c r="G431">
        <v>887</v>
      </c>
      <c r="H431">
        <v>1992</v>
      </c>
      <c r="I431">
        <v>3903</v>
      </c>
      <c r="J431">
        <v>19</v>
      </c>
      <c r="K431">
        <v>4.3600000000000003</v>
      </c>
      <c r="L431">
        <v>4.13</v>
      </c>
      <c r="M431">
        <v>316</v>
      </c>
      <c r="N431">
        <v>77</v>
      </c>
      <c r="O431">
        <v>3.72</v>
      </c>
      <c r="P431">
        <v>20.79</v>
      </c>
      <c r="Q431">
        <v>5.46</v>
      </c>
      <c r="R431">
        <v>39.909999999999997</v>
      </c>
      <c r="S431">
        <v>46.92</v>
      </c>
      <c r="T431">
        <v>7.69</v>
      </c>
      <c r="U431">
        <v>1.1499999999999999</v>
      </c>
      <c r="V431">
        <v>3.69</v>
      </c>
      <c r="W431">
        <v>2.41</v>
      </c>
      <c r="X431" s="1">
        <v>43364</v>
      </c>
    </row>
    <row r="432" spans="1:24" x14ac:dyDescent="0.25">
      <c r="A432" t="s">
        <v>136</v>
      </c>
      <c r="B432">
        <v>2018</v>
      </c>
      <c r="C432" t="s">
        <v>275</v>
      </c>
      <c r="D432">
        <v>8.3000000000000007</v>
      </c>
      <c r="E432">
        <v>7.8</v>
      </c>
      <c r="F432">
        <v>164</v>
      </c>
      <c r="G432">
        <v>1102</v>
      </c>
      <c r="H432">
        <v>1988</v>
      </c>
      <c r="I432">
        <v>4108</v>
      </c>
      <c r="J432">
        <v>23</v>
      </c>
      <c r="K432">
        <v>6.62</v>
      </c>
      <c r="L432">
        <v>4.93</v>
      </c>
      <c r="M432">
        <v>339</v>
      </c>
      <c r="N432">
        <v>72</v>
      </c>
      <c r="O432">
        <v>3.72</v>
      </c>
      <c r="P432">
        <v>21.56</v>
      </c>
      <c r="Q432">
        <v>6.55</v>
      </c>
      <c r="R432">
        <v>38.4</v>
      </c>
      <c r="S432">
        <v>47.62</v>
      </c>
      <c r="T432">
        <v>7.41</v>
      </c>
      <c r="U432">
        <v>1.2</v>
      </c>
      <c r="V432">
        <v>2.35</v>
      </c>
      <c r="W432">
        <v>1.75</v>
      </c>
      <c r="X432" s="1">
        <v>43364</v>
      </c>
    </row>
    <row r="433" spans="1:24" x14ac:dyDescent="0.25">
      <c r="A433" t="s">
        <v>137</v>
      </c>
      <c r="B433">
        <v>2018</v>
      </c>
      <c r="C433" t="s">
        <v>275</v>
      </c>
      <c r="D433">
        <v>8.3000000000000007</v>
      </c>
      <c r="E433">
        <v>7.75</v>
      </c>
      <c r="F433">
        <v>104</v>
      </c>
      <c r="G433">
        <v>960</v>
      </c>
      <c r="H433">
        <v>2019</v>
      </c>
      <c r="I433">
        <v>3907</v>
      </c>
      <c r="J433">
        <v>23</v>
      </c>
      <c r="K433">
        <v>4.8099999999999996</v>
      </c>
      <c r="L433">
        <v>4.2699999999999996</v>
      </c>
      <c r="M433">
        <v>316</v>
      </c>
      <c r="N433">
        <v>73</v>
      </c>
      <c r="O433">
        <v>3.58</v>
      </c>
      <c r="P433">
        <v>21.41</v>
      </c>
      <c r="Q433">
        <v>5.74</v>
      </c>
      <c r="R433">
        <v>39.29</v>
      </c>
      <c r="S433">
        <v>45.61</v>
      </c>
      <c r="T433">
        <v>9.34</v>
      </c>
      <c r="U433">
        <v>1.29</v>
      </c>
      <c r="V433">
        <v>2.38</v>
      </c>
      <c r="W433">
        <v>2.1</v>
      </c>
      <c r="X433" s="1">
        <v>43364</v>
      </c>
    </row>
    <row r="434" spans="1:24" x14ac:dyDescent="0.25">
      <c r="A434" t="s">
        <v>138</v>
      </c>
      <c r="B434">
        <v>2018</v>
      </c>
      <c r="C434" t="s">
        <v>275</v>
      </c>
      <c r="D434">
        <v>8.3000000000000007</v>
      </c>
      <c r="E434">
        <v>7.75</v>
      </c>
      <c r="F434">
        <v>141</v>
      </c>
      <c r="G434">
        <v>1037</v>
      </c>
      <c r="H434">
        <v>2114</v>
      </c>
      <c r="I434">
        <v>4252</v>
      </c>
      <c r="J434">
        <v>23</v>
      </c>
      <c r="K434">
        <v>5.46</v>
      </c>
      <c r="L434">
        <v>6.2</v>
      </c>
      <c r="M434">
        <v>299</v>
      </c>
      <c r="N434">
        <v>63</v>
      </c>
      <c r="O434">
        <v>3.47</v>
      </c>
      <c r="P434">
        <v>22.76</v>
      </c>
      <c r="Q434">
        <v>5.83</v>
      </c>
      <c r="R434">
        <v>38.68</v>
      </c>
      <c r="S434">
        <v>46.68</v>
      </c>
      <c r="T434">
        <v>8.7799999999999994</v>
      </c>
      <c r="U434">
        <v>1.52</v>
      </c>
      <c r="V434">
        <v>4.8099999999999996</v>
      </c>
      <c r="W434">
        <v>2.27</v>
      </c>
      <c r="X434" s="1">
        <v>43364</v>
      </c>
    </row>
    <row r="435" spans="1:24" x14ac:dyDescent="0.25">
      <c r="A435" t="s">
        <v>139</v>
      </c>
      <c r="B435">
        <v>2018</v>
      </c>
      <c r="C435" t="s">
        <v>276</v>
      </c>
      <c r="D435">
        <v>8.6</v>
      </c>
      <c r="E435">
        <v>7.8</v>
      </c>
      <c r="F435">
        <v>57</v>
      </c>
      <c r="G435">
        <v>1462</v>
      </c>
      <c r="H435">
        <v>1900</v>
      </c>
      <c r="I435">
        <v>4489</v>
      </c>
      <c r="J435">
        <v>31</v>
      </c>
      <c r="K435">
        <v>6.69</v>
      </c>
      <c r="L435">
        <v>4.37</v>
      </c>
      <c r="M435">
        <v>340</v>
      </c>
      <c r="N435">
        <v>68</v>
      </c>
      <c r="O435">
        <v>3.98</v>
      </c>
      <c r="P435">
        <v>22.61</v>
      </c>
      <c r="Q435">
        <v>8.2799999999999994</v>
      </c>
      <c r="R435">
        <v>35</v>
      </c>
      <c r="S435">
        <v>49.62</v>
      </c>
      <c r="T435">
        <v>7.07</v>
      </c>
      <c r="U435">
        <v>1.53</v>
      </c>
      <c r="V435">
        <v>11.26</v>
      </c>
      <c r="W435">
        <v>1.81</v>
      </c>
      <c r="X435" s="1">
        <v>43364</v>
      </c>
    </row>
    <row r="436" spans="1:24" x14ac:dyDescent="0.25">
      <c r="A436" t="s">
        <v>140</v>
      </c>
      <c r="B436">
        <v>2018</v>
      </c>
      <c r="C436" t="s">
        <v>276</v>
      </c>
      <c r="D436">
        <v>8.5</v>
      </c>
      <c r="E436">
        <v>7.8</v>
      </c>
      <c r="F436">
        <v>114</v>
      </c>
      <c r="G436">
        <v>1463</v>
      </c>
      <c r="H436">
        <v>2021</v>
      </c>
      <c r="I436">
        <v>4443</v>
      </c>
      <c r="J436">
        <v>24</v>
      </c>
      <c r="K436">
        <v>7.34</v>
      </c>
      <c r="L436">
        <v>5.14</v>
      </c>
      <c r="M436">
        <v>370</v>
      </c>
      <c r="N436">
        <v>84</v>
      </c>
      <c r="O436">
        <v>4.1399999999999997</v>
      </c>
      <c r="P436">
        <v>23</v>
      </c>
      <c r="Q436">
        <v>8.15</v>
      </c>
      <c r="R436">
        <v>36.6</v>
      </c>
      <c r="S436">
        <v>48.28</v>
      </c>
      <c r="T436">
        <v>6.95</v>
      </c>
      <c r="U436">
        <v>1.38</v>
      </c>
      <c r="V436">
        <v>8.41</v>
      </c>
      <c r="W436">
        <v>1.47</v>
      </c>
      <c r="X436" s="1">
        <v>43364</v>
      </c>
    </row>
    <row r="437" spans="1:24" x14ac:dyDescent="0.25">
      <c r="A437" t="s">
        <v>141</v>
      </c>
      <c r="B437">
        <v>2018</v>
      </c>
      <c r="C437" t="s">
        <v>276</v>
      </c>
      <c r="D437">
        <v>8.3000000000000007</v>
      </c>
      <c r="E437">
        <v>7.75</v>
      </c>
      <c r="F437">
        <v>160</v>
      </c>
      <c r="G437">
        <v>1319</v>
      </c>
      <c r="H437">
        <v>2027</v>
      </c>
      <c r="I437">
        <v>4234</v>
      </c>
      <c r="J437">
        <v>27</v>
      </c>
      <c r="K437">
        <v>5.75</v>
      </c>
      <c r="L437">
        <v>6.33</v>
      </c>
      <c r="M437">
        <v>405</v>
      </c>
      <c r="N437">
        <v>82</v>
      </c>
      <c r="O437">
        <v>4.5</v>
      </c>
      <c r="P437">
        <v>22.72</v>
      </c>
      <c r="Q437">
        <v>7.44</v>
      </c>
      <c r="R437">
        <v>37.17</v>
      </c>
      <c r="S437">
        <v>46.58</v>
      </c>
      <c r="T437">
        <v>8.8000000000000007</v>
      </c>
      <c r="U437">
        <v>1.47</v>
      </c>
      <c r="V437">
        <v>8.18</v>
      </c>
      <c r="W437">
        <v>2.25</v>
      </c>
      <c r="X437" s="1">
        <v>43364</v>
      </c>
    </row>
    <row r="438" spans="1:24" x14ac:dyDescent="0.25">
      <c r="A438" t="s">
        <v>142</v>
      </c>
      <c r="B438">
        <v>2018</v>
      </c>
      <c r="C438" t="s">
        <v>276</v>
      </c>
      <c r="D438">
        <v>8.3000000000000007</v>
      </c>
      <c r="E438">
        <v>7.75</v>
      </c>
      <c r="F438">
        <v>126</v>
      </c>
      <c r="G438">
        <v>1279</v>
      </c>
      <c r="H438">
        <v>1747</v>
      </c>
      <c r="I438">
        <v>4028</v>
      </c>
      <c r="J438">
        <v>23</v>
      </c>
      <c r="K438">
        <v>5.59</v>
      </c>
      <c r="L438">
        <v>5.84</v>
      </c>
      <c r="M438">
        <v>359</v>
      </c>
      <c r="N438">
        <v>75</v>
      </c>
      <c r="O438">
        <v>3.59</v>
      </c>
      <c r="P438">
        <v>20.98</v>
      </c>
      <c r="Q438">
        <v>7.81</v>
      </c>
      <c r="R438">
        <v>34.68</v>
      </c>
      <c r="S438">
        <v>47.97</v>
      </c>
      <c r="T438">
        <v>9.52</v>
      </c>
      <c r="U438">
        <v>1.42</v>
      </c>
      <c r="V438">
        <v>4.58</v>
      </c>
      <c r="W438">
        <v>1.99</v>
      </c>
      <c r="X438" s="1">
        <v>43364</v>
      </c>
    </row>
    <row r="439" spans="1:24" x14ac:dyDescent="0.25">
      <c r="A439" t="s">
        <v>143</v>
      </c>
      <c r="B439">
        <v>2018</v>
      </c>
      <c r="C439" t="s">
        <v>275</v>
      </c>
      <c r="D439">
        <v>8.6</v>
      </c>
      <c r="E439">
        <v>7.8</v>
      </c>
      <c r="F439">
        <v>68</v>
      </c>
      <c r="G439">
        <v>1713</v>
      </c>
      <c r="H439">
        <v>2113</v>
      </c>
      <c r="I439">
        <v>4718</v>
      </c>
      <c r="J439">
        <v>29</v>
      </c>
      <c r="K439">
        <v>7.81</v>
      </c>
      <c r="L439">
        <v>5.96</v>
      </c>
      <c r="M439">
        <v>316</v>
      </c>
      <c r="N439">
        <v>71</v>
      </c>
      <c r="O439">
        <v>4</v>
      </c>
      <c r="P439">
        <v>24.39</v>
      </c>
      <c r="Q439">
        <v>9</v>
      </c>
      <c r="R439">
        <v>36.08</v>
      </c>
      <c r="S439">
        <v>48.34</v>
      </c>
      <c r="T439">
        <v>6.55</v>
      </c>
      <c r="U439">
        <v>1.45</v>
      </c>
      <c r="V439">
        <v>9.85</v>
      </c>
      <c r="W439">
        <v>2.1</v>
      </c>
      <c r="X439" s="1">
        <v>43364</v>
      </c>
    </row>
    <row r="440" spans="1:24" x14ac:dyDescent="0.25">
      <c r="A440" t="s">
        <v>144</v>
      </c>
      <c r="B440">
        <v>2018</v>
      </c>
      <c r="C440" t="s">
        <v>275</v>
      </c>
      <c r="D440">
        <v>8.6</v>
      </c>
      <c r="E440">
        <v>7.75</v>
      </c>
      <c r="F440">
        <v>67</v>
      </c>
      <c r="G440">
        <v>1791</v>
      </c>
      <c r="H440">
        <v>2123</v>
      </c>
      <c r="I440">
        <v>4928</v>
      </c>
      <c r="J440">
        <v>55</v>
      </c>
      <c r="K440">
        <v>8.86</v>
      </c>
      <c r="L440">
        <v>4.3</v>
      </c>
      <c r="M440">
        <v>343</v>
      </c>
      <c r="N440">
        <v>75</v>
      </c>
      <c r="O440">
        <v>4.2</v>
      </c>
      <c r="P440">
        <v>25.46</v>
      </c>
      <c r="Q440">
        <v>9.01</v>
      </c>
      <c r="R440">
        <v>34.74</v>
      </c>
      <c r="S440">
        <v>48.38</v>
      </c>
      <c r="T440">
        <v>7.85</v>
      </c>
      <c r="U440">
        <v>1.51</v>
      </c>
      <c r="V440">
        <v>10.75</v>
      </c>
      <c r="W440">
        <v>1.72</v>
      </c>
      <c r="X440" s="1">
        <v>43364</v>
      </c>
    </row>
    <row r="441" spans="1:24" x14ac:dyDescent="0.25">
      <c r="A441" t="s">
        <v>145</v>
      </c>
      <c r="B441">
        <v>2018</v>
      </c>
      <c r="C441" t="s">
        <v>275</v>
      </c>
      <c r="D441">
        <v>8.6999999999999993</v>
      </c>
      <c r="E441">
        <v>7.75</v>
      </c>
      <c r="F441">
        <v>68</v>
      </c>
      <c r="G441">
        <v>1719</v>
      </c>
      <c r="H441">
        <v>2136</v>
      </c>
      <c r="I441">
        <v>4899</v>
      </c>
      <c r="J441">
        <v>35</v>
      </c>
      <c r="K441">
        <v>7.82</v>
      </c>
      <c r="L441">
        <v>3.77</v>
      </c>
      <c r="M441">
        <v>342</v>
      </c>
      <c r="N441">
        <v>78</v>
      </c>
      <c r="O441">
        <v>4.21</v>
      </c>
      <c r="P441">
        <v>25.35</v>
      </c>
      <c r="Q441">
        <v>8.69</v>
      </c>
      <c r="R441">
        <v>35.1</v>
      </c>
      <c r="S441">
        <v>48.31</v>
      </c>
      <c r="T441">
        <v>7.88</v>
      </c>
      <c r="U441">
        <v>1.31</v>
      </c>
      <c r="V441">
        <v>7.62</v>
      </c>
      <c r="W441">
        <v>1.63</v>
      </c>
      <c r="X441" s="1">
        <v>43364</v>
      </c>
    </row>
    <row r="442" spans="1:24" x14ac:dyDescent="0.25">
      <c r="A442" t="s">
        <v>146</v>
      </c>
      <c r="B442">
        <v>2018</v>
      </c>
      <c r="C442" t="s">
        <v>275</v>
      </c>
      <c r="D442">
        <v>8.5</v>
      </c>
      <c r="E442">
        <v>7.75</v>
      </c>
      <c r="F442">
        <v>58</v>
      </c>
      <c r="G442">
        <v>1629</v>
      </c>
      <c r="H442">
        <v>2167</v>
      </c>
      <c r="I442">
        <v>4841</v>
      </c>
      <c r="J442">
        <v>32</v>
      </c>
      <c r="K442">
        <v>8.0399999999999991</v>
      </c>
      <c r="L442">
        <v>4.57</v>
      </c>
      <c r="M442">
        <v>313</v>
      </c>
      <c r="N442">
        <v>71</v>
      </c>
      <c r="O442">
        <v>4.37</v>
      </c>
      <c r="P442">
        <v>25.22</v>
      </c>
      <c r="Q442">
        <v>8.2799999999999994</v>
      </c>
      <c r="R442">
        <v>35.799999999999997</v>
      </c>
      <c r="S442">
        <v>47.98</v>
      </c>
      <c r="T442">
        <v>7.93</v>
      </c>
      <c r="U442">
        <v>1.45</v>
      </c>
      <c r="V442">
        <v>7.56</v>
      </c>
      <c r="W442">
        <v>1.73</v>
      </c>
      <c r="X442" s="1">
        <v>43364</v>
      </c>
    </row>
    <row r="443" spans="1:24" x14ac:dyDescent="0.25">
      <c r="A443" t="s">
        <v>147</v>
      </c>
      <c r="B443">
        <v>2018</v>
      </c>
      <c r="C443" t="s">
        <v>277</v>
      </c>
      <c r="D443">
        <v>8.5</v>
      </c>
      <c r="E443">
        <v>7.85</v>
      </c>
      <c r="F443">
        <v>65</v>
      </c>
      <c r="G443">
        <v>1345</v>
      </c>
      <c r="H443">
        <v>1713</v>
      </c>
      <c r="I443">
        <v>4276</v>
      </c>
      <c r="J443">
        <v>23</v>
      </c>
      <c r="K443">
        <v>6.34</v>
      </c>
      <c r="L443">
        <v>6.6</v>
      </c>
      <c r="M443">
        <v>340</v>
      </c>
      <c r="N443">
        <v>70</v>
      </c>
      <c r="O443">
        <v>3.98</v>
      </c>
      <c r="P443">
        <v>20.75</v>
      </c>
      <c r="Q443">
        <v>8.3000000000000007</v>
      </c>
      <c r="R443">
        <v>34.39</v>
      </c>
      <c r="S443">
        <v>51.51</v>
      </c>
      <c r="T443">
        <v>5.78</v>
      </c>
      <c r="U443">
        <v>1.27</v>
      </c>
      <c r="V443">
        <v>8.25</v>
      </c>
      <c r="W443">
        <v>2.0699999999999998</v>
      </c>
      <c r="X443" s="1">
        <v>43364</v>
      </c>
    </row>
    <row r="444" spans="1:24" x14ac:dyDescent="0.25">
      <c r="A444" t="s">
        <v>148</v>
      </c>
      <c r="B444">
        <v>2018</v>
      </c>
      <c r="C444" t="s">
        <v>277</v>
      </c>
      <c r="D444">
        <v>8.3000000000000007</v>
      </c>
      <c r="E444">
        <v>7.8</v>
      </c>
      <c r="F444">
        <v>38</v>
      </c>
      <c r="G444">
        <v>1280</v>
      </c>
      <c r="H444">
        <v>1711</v>
      </c>
      <c r="I444">
        <v>4160</v>
      </c>
      <c r="J444">
        <v>19</v>
      </c>
      <c r="K444">
        <v>5.21</v>
      </c>
      <c r="L444">
        <v>6.39</v>
      </c>
      <c r="M444">
        <v>376</v>
      </c>
      <c r="N444">
        <v>66</v>
      </c>
      <c r="O444">
        <v>3.89</v>
      </c>
      <c r="P444">
        <v>20.77</v>
      </c>
      <c r="Q444">
        <v>7.9</v>
      </c>
      <c r="R444">
        <v>34.32</v>
      </c>
      <c r="S444">
        <v>50.07</v>
      </c>
      <c r="T444">
        <v>7.7</v>
      </c>
      <c r="U444">
        <v>1.27</v>
      </c>
      <c r="V444">
        <v>3.73</v>
      </c>
      <c r="W444">
        <v>1.86</v>
      </c>
      <c r="X444" s="1">
        <v>43364</v>
      </c>
    </row>
    <row r="445" spans="1:24" x14ac:dyDescent="0.25">
      <c r="A445" t="s">
        <v>149</v>
      </c>
      <c r="B445">
        <v>2018</v>
      </c>
      <c r="C445" t="s">
        <v>277</v>
      </c>
      <c r="D445">
        <v>8.4</v>
      </c>
      <c r="E445">
        <v>7.8</v>
      </c>
      <c r="F445">
        <v>61</v>
      </c>
      <c r="G445">
        <v>1562</v>
      </c>
      <c r="H445">
        <v>1602</v>
      </c>
      <c r="I445">
        <v>4120</v>
      </c>
      <c r="J445">
        <v>17</v>
      </c>
      <c r="K445">
        <v>5.14</v>
      </c>
      <c r="L445">
        <v>7.4</v>
      </c>
      <c r="M445">
        <v>383</v>
      </c>
      <c r="N445">
        <v>68</v>
      </c>
      <c r="O445">
        <v>3.93</v>
      </c>
      <c r="P445">
        <v>20.57</v>
      </c>
      <c r="Q445">
        <v>9.73</v>
      </c>
      <c r="R445">
        <v>32.43</v>
      </c>
      <c r="S445">
        <v>50.05</v>
      </c>
      <c r="T445">
        <v>7.77</v>
      </c>
      <c r="U445">
        <v>1.34</v>
      </c>
      <c r="V445">
        <v>5.88</v>
      </c>
      <c r="W445">
        <v>1.5</v>
      </c>
      <c r="X445" s="1">
        <v>43364</v>
      </c>
    </row>
    <row r="446" spans="1:24" x14ac:dyDescent="0.25">
      <c r="A446" t="s">
        <v>150</v>
      </c>
      <c r="B446">
        <v>2018</v>
      </c>
      <c r="C446" t="s">
        <v>277</v>
      </c>
      <c r="D446">
        <v>8.1999999999999993</v>
      </c>
      <c r="E446">
        <v>7.75</v>
      </c>
      <c r="F446">
        <v>45</v>
      </c>
      <c r="G446">
        <v>1297</v>
      </c>
      <c r="H446">
        <v>1724</v>
      </c>
      <c r="I446">
        <v>4113</v>
      </c>
      <c r="J446">
        <v>18</v>
      </c>
      <c r="K446">
        <v>4.87</v>
      </c>
      <c r="L446">
        <v>13.73</v>
      </c>
      <c r="M446">
        <v>365</v>
      </c>
      <c r="N446">
        <v>65</v>
      </c>
      <c r="O446">
        <v>3.8</v>
      </c>
      <c r="P446">
        <v>21.12</v>
      </c>
      <c r="Q446">
        <v>7.86</v>
      </c>
      <c r="R446">
        <v>33.99</v>
      </c>
      <c r="S446">
        <v>48.66</v>
      </c>
      <c r="T446">
        <v>9.4600000000000009</v>
      </c>
      <c r="U446">
        <v>1.53</v>
      </c>
      <c r="V446">
        <v>6.98</v>
      </c>
      <c r="W446">
        <v>1.81</v>
      </c>
      <c r="X446" s="1">
        <v>43364</v>
      </c>
    </row>
    <row r="447" spans="1:24" x14ac:dyDescent="0.25">
      <c r="A447" t="s">
        <v>151</v>
      </c>
      <c r="B447">
        <v>2018</v>
      </c>
      <c r="C447" t="s">
        <v>276</v>
      </c>
      <c r="D447">
        <v>8.3000000000000007</v>
      </c>
      <c r="E447">
        <v>7.8</v>
      </c>
      <c r="F447">
        <v>172</v>
      </c>
      <c r="G447">
        <v>1179</v>
      </c>
      <c r="H447">
        <v>2026</v>
      </c>
      <c r="I447">
        <v>5119</v>
      </c>
      <c r="J447">
        <v>79</v>
      </c>
      <c r="K447">
        <v>7.33</v>
      </c>
      <c r="L447">
        <v>2.5099999999999998</v>
      </c>
      <c r="M447">
        <v>364</v>
      </c>
      <c r="N447">
        <v>84</v>
      </c>
      <c r="O447">
        <v>5.23</v>
      </c>
      <c r="P447">
        <v>24.35</v>
      </c>
      <c r="Q447">
        <v>6.2</v>
      </c>
      <c r="R447">
        <v>34.659999999999997</v>
      </c>
      <c r="S447">
        <v>52.55</v>
      </c>
      <c r="T447">
        <v>6.57</v>
      </c>
      <c r="U447">
        <v>1.1000000000000001</v>
      </c>
      <c r="V447">
        <v>4.9800000000000004</v>
      </c>
      <c r="W447">
        <v>1.81</v>
      </c>
      <c r="X447" s="1">
        <v>43364</v>
      </c>
    </row>
    <row r="448" spans="1:24" x14ac:dyDescent="0.25">
      <c r="A448" t="s">
        <v>152</v>
      </c>
      <c r="B448">
        <v>2018</v>
      </c>
      <c r="C448" t="s">
        <v>276</v>
      </c>
      <c r="D448">
        <v>8.1</v>
      </c>
      <c r="E448">
        <v>7.7</v>
      </c>
      <c r="F448">
        <v>144</v>
      </c>
      <c r="G448">
        <v>1069</v>
      </c>
      <c r="H448">
        <v>1913</v>
      </c>
      <c r="I448">
        <v>4648</v>
      </c>
      <c r="J448">
        <v>17</v>
      </c>
      <c r="K448">
        <v>6.15</v>
      </c>
      <c r="L448">
        <v>2.42</v>
      </c>
      <c r="M448">
        <v>319</v>
      </c>
      <c r="N448">
        <v>89</v>
      </c>
      <c r="O448">
        <v>4.76</v>
      </c>
      <c r="P448">
        <v>23.36</v>
      </c>
      <c r="Q448">
        <v>5.86</v>
      </c>
      <c r="R448">
        <v>34.11</v>
      </c>
      <c r="S448">
        <v>49.74</v>
      </c>
      <c r="T448">
        <v>10.27</v>
      </c>
      <c r="U448">
        <v>1.1399999999999999</v>
      </c>
      <c r="V448">
        <v>3.19</v>
      </c>
      <c r="W448">
        <v>1.81</v>
      </c>
      <c r="X448" s="1">
        <v>43364</v>
      </c>
    </row>
    <row r="449" spans="1:24" x14ac:dyDescent="0.25">
      <c r="A449" t="s">
        <v>153</v>
      </c>
      <c r="B449">
        <v>2018</v>
      </c>
      <c r="C449" t="s">
        <v>276</v>
      </c>
      <c r="D449">
        <v>8.1</v>
      </c>
      <c r="E449">
        <v>7.75</v>
      </c>
      <c r="F449">
        <v>161</v>
      </c>
      <c r="G449">
        <v>1109</v>
      </c>
      <c r="H449">
        <v>1915</v>
      </c>
      <c r="I449">
        <v>4570</v>
      </c>
      <c r="J449">
        <v>119</v>
      </c>
      <c r="K449">
        <v>5.96</v>
      </c>
      <c r="L449">
        <v>1.76</v>
      </c>
      <c r="M449">
        <v>335</v>
      </c>
      <c r="N449">
        <v>84</v>
      </c>
      <c r="O449">
        <v>4.3499999999999996</v>
      </c>
      <c r="P449">
        <v>22.82</v>
      </c>
      <c r="Q449">
        <v>6.22</v>
      </c>
      <c r="R449">
        <v>34.950000000000003</v>
      </c>
      <c r="S449">
        <v>50.05</v>
      </c>
      <c r="T449">
        <v>8.76</v>
      </c>
      <c r="U449">
        <v>1.0900000000000001</v>
      </c>
      <c r="V449">
        <v>8.9</v>
      </c>
      <c r="W449">
        <v>2.1800000000000002</v>
      </c>
      <c r="X449" s="1">
        <v>43364</v>
      </c>
    </row>
    <row r="450" spans="1:24" x14ac:dyDescent="0.25">
      <c r="A450" t="s">
        <v>154</v>
      </c>
      <c r="B450">
        <v>2018</v>
      </c>
      <c r="C450" t="s">
        <v>276</v>
      </c>
      <c r="D450">
        <v>8</v>
      </c>
      <c r="E450">
        <v>7.65</v>
      </c>
      <c r="F450">
        <v>199</v>
      </c>
      <c r="G450">
        <v>1190</v>
      </c>
      <c r="H450">
        <v>1825</v>
      </c>
      <c r="I450">
        <v>4656</v>
      </c>
      <c r="J450">
        <v>14</v>
      </c>
      <c r="K450">
        <v>5.38</v>
      </c>
      <c r="L450">
        <v>2.4</v>
      </c>
      <c r="M450">
        <v>340</v>
      </c>
      <c r="N450">
        <v>88</v>
      </c>
      <c r="O450">
        <v>4.62</v>
      </c>
      <c r="P450">
        <v>23.56</v>
      </c>
      <c r="Q450">
        <v>6.47</v>
      </c>
      <c r="R450">
        <v>32.26</v>
      </c>
      <c r="S450">
        <v>49.38</v>
      </c>
      <c r="T450">
        <v>11.87</v>
      </c>
      <c r="U450">
        <v>1.1499999999999999</v>
      </c>
      <c r="V450">
        <v>5.1100000000000003</v>
      </c>
      <c r="W450">
        <v>2.12</v>
      </c>
      <c r="X450" s="1">
        <v>43364</v>
      </c>
    </row>
    <row r="451" spans="1:24" x14ac:dyDescent="0.25">
      <c r="A451" t="s">
        <v>155</v>
      </c>
      <c r="B451">
        <v>2018</v>
      </c>
      <c r="C451" t="s">
        <v>275</v>
      </c>
      <c r="D451">
        <v>8.4</v>
      </c>
      <c r="E451">
        <v>7.8</v>
      </c>
      <c r="F451">
        <v>105</v>
      </c>
      <c r="G451">
        <v>1777</v>
      </c>
      <c r="H451">
        <v>2246</v>
      </c>
      <c r="I451">
        <v>5226</v>
      </c>
      <c r="J451">
        <v>31</v>
      </c>
      <c r="K451">
        <v>6.16</v>
      </c>
      <c r="L451">
        <v>10.220000000000001</v>
      </c>
      <c r="M451">
        <v>321</v>
      </c>
      <c r="N451">
        <v>72</v>
      </c>
      <c r="O451">
        <v>4.1500000000000004</v>
      </c>
      <c r="P451">
        <v>26.3</v>
      </c>
      <c r="Q451">
        <v>8.66</v>
      </c>
      <c r="R451">
        <v>35.58</v>
      </c>
      <c r="S451">
        <v>49.67</v>
      </c>
      <c r="T451">
        <v>6.08</v>
      </c>
      <c r="U451">
        <v>1.91</v>
      </c>
      <c r="V451">
        <v>5.3</v>
      </c>
      <c r="W451">
        <v>1.76</v>
      </c>
      <c r="X451" s="1">
        <v>43364</v>
      </c>
    </row>
    <row r="452" spans="1:24" x14ac:dyDescent="0.25">
      <c r="A452" t="s">
        <v>156</v>
      </c>
      <c r="B452">
        <v>2018</v>
      </c>
      <c r="C452" t="s">
        <v>275</v>
      </c>
      <c r="D452">
        <v>7.8</v>
      </c>
      <c r="E452">
        <v>7.65</v>
      </c>
      <c r="F452">
        <v>25</v>
      </c>
      <c r="G452">
        <v>1595</v>
      </c>
      <c r="H452">
        <v>2135</v>
      </c>
      <c r="I452">
        <v>4380</v>
      </c>
      <c r="J452">
        <v>24</v>
      </c>
      <c r="K452">
        <v>4.55</v>
      </c>
      <c r="L452">
        <v>5.18</v>
      </c>
      <c r="M452">
        <v>299</v>
      </c>
      <c r="N452">
        <v>69</v>
      </c>
      <c r="O452">
        <v>3.86</v>
      </c>
      <c r="P452">
        <v>24.69</v>
      </c>
      <c r="Q452">
        <v>8.2799999999999994</v>
      </c>
      <c r="R452">
        <v>36.020000000000003</v>
      </c>
      <c r="S452">
        <v>44.34</v>
      </c>
      <c r="T452">
        <v>11.34</v>
      </c>
      <c r="U452">
        <v>1.68</v>
      </c>
      <c r="V452">
        <v>9.6</v>
      </c>
      <c r="W452">
        <v>2.4700000000000002</v>
      </c>
      <c r="X452" s="1">
        <v>43364</v>
      </c>
    </row>
    <row r="453" spans="1:24" x14ac:dyDescent="0.25">
      <c r="A453" t="s">
        <v>157</v>
      </c>
      <c r="B453">
        <v>2018</v>
      </c>
      <c r="C453" t="s">
        <v>275</v>
      </c>
      <c r="D453">
        <v>8.3000000000000007</v>
      </c>
      <c r="E453">
        <v>7.7</v>
      </c>
      <c r="F453">
        <v>95</v>
      </c>
      <c r="G453">
        <v>1501</v>
      </c>
      <c r="H453">
        <v>2169</v>
      </c>
      <c r="I453">
        <v>4983</v>
      </c>
      <c r="J453">
        <v>29</v>
      </c>
      <c r="K453">
        <v>5.86</v>
      </c>
      <c r="L453">
        <v>9.99</v>
      </c>
      <c r="M453">
        <v>311</v>
      </c>
      <c r="N453">
        <v>67</v>
      </c>
      <c r="O453">
        <v>4.0999999999999996</v>
      </c>
      <c r="P453">
        <v>25.81</v>
      </c>
      <c r="Q453">
        <v>7.45</v>
      </c>
      <c r="R453">
        <v>35</v>
      </c>
      <c r="S453">
        <v>48.24</v>
      </c>
      <c r="T453">
        <v>9.2899999999999991</v>
      </c>
      <c r="U453">
        <v>1.81</v>
      </c>
      <c r="V453">
        <v>10.94</v>
      </c>
      <c r="W453">
        <v>1.36</v>
      </c>
      <c r="X453" s="1">
        <v>43364</v>
      </c>
    </row>
    <row r="454" spans="1:24" x14ac:dyDescent="0.25">
      <c r="A454" t="s">
        <v>158</v>
      </c>
      <c r="B454">
        <v>2018</v>
      </c>
      <c r="C454" t="s">
        <v>275</v>
      </c>
      <c r="D454">
        <v>7.7</v>
      </c>
      <c r="E454">
        <v>7.75</v>
      </c>
      <c r="F454">
        <v>35</v>
      </c>
      <c r="G454">
        <v>1481</v>
      </c>
      <c r="H454">
        <v>2070</v>
      </c>
      <c r="I454">
        <v>4847</v>
      </c>
      <c r="J454">
        <v>24</v>
      </c>
      <c r="K454">
        <v>5.56</v>
      </c>
      <c r="L454">
        <v>5.72</v>
      </c>
      <c r="M454">
        <v>304</v>
      </c>
      <c r="N454">
        <v>67</v>
      </c>
      <c r="O454">
        <v>4.12</v>
      </c>
      <c r="P454">
        <v>24.64</v>
      </c>
      <c r="Q454">
        <v>7.7</v>
      </c>
      <c r="R454">
        <v>35</v>
      </c>
      <c r="S454">
        <v>49.17</v>
      </c>
      <c r="T454">
        <v>8.11</v>
      </c>
      <c r="U454">
        <v>1.66</v>
      </c>
      <c r="V454">
        <v>5.52</v>
      </c>
      <c r="W454">
        <v>1.5</v>
      </c>
      <c r="X454" s="1">
        <v>43364</v>
      </c>
    </row>
    <row r="455" spans="1:24" x14ac:dyDescent="0.25">
      <c r="A455" t="s">
        <v>230</v>
      </c>
      <c r="B455">
        <v>2018</v>
      </c>
      <c r="C455" t="s">
        <v>275</v>
      </c>
      <c r="D455">
        <v>7.1</v>
      </c>
      <c r="E455">
        <v>7.7</v>
      </c>
      <c r="F455">
        <v>163</v>
      </c>
      <c r="G455">
        <v>1550</v>
      </c>
      <c r="H455">
        <v>1340</v>
      </c>
      <c r="I455">
        <v>4509</v>
      </c>
      <c r="J455">
        <v>19</v>
      </c>
      <c r="K455">
        <v>2.23</v>
      </c>
      <c r="L455">
        <v>4.66</v>
      </c>
      <c r="M455">
        <v>429</v>
      </c>
      <c r="N455">
        <v>102</v>
      </c>
      <c r="O455">
        <v>4.8899999999999997</v>
      </c>
      <c r="P455">
        <v>21.24</v>
      </c>
      <c r="Q455">
        <v>9.35</v>
      </c>
      <c r="R455">
        <v>26.28</v>
      </c>
      <c r="S455">
        <v>53.06</v>
      </c>
      <c r="T455">
        <v>11.29</v>
      </c>
      <c r="U455">
        <v>1.65</v>
      </c>
      <c r="V455">
        <v>6.68</v>
      </c>
      <c r="W455">
        <v>2.3199999999999998</v>
      </c>
      <c r="X455" s="1">
        <v>43369</v>
      </c>
    </row>
    <row r="456" spans="1:24" x14ac:dyDescent="0.25">
      <c r="A456" t="s">
        <v>231</v>
      </c>
      <c r="B456">
        <v>2018</v>
      </c>
      <c r="C456" t="s">
        <v>275</v>
      </c>
      <c r="D456">
        <v>6.7</v>
      </c>
      <c r="E456">
        <v>7.65</v>
      </c>
      <c r="F456">
        <v>205</v>
      </c>
      <c r="G456">
        <v>1614</v>
      </c>
      <c r="H456">
        <v>1396</v>
      </c>
      <c r="I456">
        <v>4855</v>
      </c>
      <c r="J456">
        <v>34</v>
      </c>
      <c r="K456">
        <v>2.44</v>
      </c>
      <c r="L456">
        <v>4.99</v>
      </c>
      <c r="M456">
        <v>386</v>
      </c>
      <c r="N456">
        <v>106</v>
      </c>
      <c r="O456">
        <v>5</v>
      </c>
      <c r="P456">
        <v>22.82</v>
      </c>
      <c r="Q456">
        <v>9.06</v>
      </c>
      <c r="R456">
        <v>25.48</v>
      </c>
      <c r="S456">
        <v>53.18</v>
      </c>
      <c r="T456">
        <v>12.26</v>
      </c>
      <c r="U456">
        <v>1.63</v>
      </c>
      <c r="V456">
        <v>45.1</v>
      </c>
      <c r="W456">
        <v>2.14</v>
      </c>
      <c r="X456" s="1">
        <v>43369</v>
      </c>
    </row>
    <row r="457" spans="1:24" x14ac:dyDescent="0.25">
      <c r="A457" t="s">
        <v>232</v>
      </c>
      <c r="B457">
        <v>2018</v>
      </c>
      <c r="C457" t="s">
        <v>275</v>
      </c>
      <c r="D457">
        <v>7.1</v>
      </c>
      <c r="E457">
        <v>7.65</v>
      </c>
      <c r="F457">
        <v>216</v>
      </c>
      <c r="G457">
        <v>1702</v>
      </c>
      <c r="H457">
        <v>1479</v>
      </c>
      <c r="I457">
        <v>5039</v>
      </c>
      <c r="J457">
        <v>27</v>
      </c>
      <c r="K457">
        <v>2.4700000000000002</v>
      </c>
      <c r="L457">
        <v>6.59</v>
      </c>
      <c r="M457">
        <v>409</v>
      </c>
      <c r="N457">
        <v>117</v>
      </c>
      <c r="O457">
        <v>4.87</v>
      </c>
      <c r="P457">
        <v>23.74</v>
      </c>
      <c r="Q457">
        <v>9.19</v>
      </c>
      <c r="R457">
        <v>25.95</v>
      </c>
      <c r="S457">
        <v>53.05</v>
      </c>
      <c r="T457">
        <v>11.79</v>
      </c>
      <c r="U457">
        <v>1.77</v>
      </c>
      <c r="V457">
        <v>14.09</v>
      </c>
      <c r="W457">
        <v>2.1</v>
      </c>
      <c r="X457" s="1">
        <v>43369</v>
      </c>
    </row>
    <row r="458" spans="1:24" x14ac:dyDescent="0.25">
      <c r="A458" t="s">
        <v>233</v>
      </c>
      <c r="B458">
        <v>2018</v>
      </c>
      <c r="C458" t="s">
        <v>275</v>
      </c>
      <c r="D458">
        <v>7.4</v>
      </c>
      <c r="E458">
        <v>7.75</v>
      </c>
      <c r="F458">
        <v>128</v>
      </c>
      <c r="G458">
        <v>1686</v>
      </c>
      <c r="H458">
        <v>1539</v>
      </c>
      <c r="I458">
        <v>5488</v>
      </c>
      <c r="J458">
        <v>21</v>
      </c>
      <c r="K458">
        <v>2.61</v>
      </c>
      <c r="L458">
        <v>4.55</v>
      </c>
      <c r="M458">
        <v>448</v>
      </c>
      <c r="N458">
        <v>93</v>
      </c>
      <c r="O458">
        <v>5.89</v>
      </c>
      <c r="P458">
        <v>24.29</v>
      </c>
      <c r="Q458">
        <v>8.89</v>
      </c>
      <c r="R458">
        <v>26.39</v>
      </c>
      <c r="S458">
        <v>56.47</v>
      </c>
      <c r="T458">
        <v>8.23</v>
      </c>
      <c r="U458">
        <v>1.7</v>
      </c>
      <c r="V458">
        <v>6.99</v>
      </c>
      <c r="W458">
        <v>1.92</v>
      </c>
      <c r="X458" s="1">
        <v>43369</v>
      </c>
    </row>
    <row r="459" spans="1:24" x14ac:dyDescent="0.25">
      <c r="A459" t="s">
        <v>234</v>
      </c>
      <c r="B459">
        <v>2018</v>
      </c>
      <c r="C459" t="s">
        <v>275</v>
      </c>
      <c r="D459">
        <v>8</v>
      </c>
      <c r="E459">
        <v>7.8</v>
      </c>
      <c r="F459">
        <v>89</v>
      </c>
      <c r="G459">
        <v>1365</v>
      </c>
      <c r="H459">
        <v>1608</v>
      </c>
      <c r="I459">
        <v>4955</v>
      </c>
      <c r="J459">
        <v>20</v>
      </c>
      <c r="K459">
        <v>3.4</v>
      </c>
      <c r="L459">
        <v>7.93</v>
      </c>
      <c r="M459">
        <v>469</v>
      </c>
      <c r="N459">
        <v>73</v>
      </c>
      <c r="O459">
        <v>5.73</v>
      </c>
      <c r="P459">
        <v>22.43</v>
      </c>
      <c r="Q459">
        <v>7.79</v>
      </c>
      <c r="R459">
        <v>29.86</v>
      </c>
      <c r="S459">
        <v>55.2</v>
      </c>
      <c r="T459">
        <v>7.13</v>
      </c>
      <c r="U459">
        <v>1.57</v>
      </c>
      <c r="V459">
        <v>7.1</v>
      </c>
      <c r="W459">
        <v>1.52</v>
      </c>
      <c r="X459" s="1">
        <v>43369</v>
      </c>
    </row>
    <row r="460" spans="1:24" x14ac:dyDescent="0.25">
      <c r="A460" t="s">
        <v>235</v>
      </c>
      <c r="B460">
        <v>2018</v>
      </c>
      <c r="C460" t="s">
        <v>275</v>
      </c>
      <c r="D460">
        <v>7.2</v>
      </c>
      <c r="E460">
        <v>7.75</v>
      </c>
      <c r="F460">
        <v>97</v>
      </c>
      <c r="G460">
        <v>1207</v>
      </c>
      <c r="H460">
        <v>1588</v>
      </c>
      <c r="I460">
        <v>4428</v>
      </c>
      <c r="J460">
        <v>19</v>
      </c>
      <c r="K460">
        <v>3.14</v>
      </c>
      <c r="L460">
        <v>6.13</v>
      </c>
      <c r="M460">
        <v>399</v>
      </c>
      <c r="N460">
        <v>67</v>
      </c>
      <c r="O460">
        <v>4.46</v>
      </c>
      <c r="P460">
        <v>21.23</v>
      </c>
      <c r="Q460">
        <v>7.28</v>
      </c>
      <c r="R460">
        <v>31.16</v>
      </c>
      <c r="S460">
        <v>52.13</v>
      </c>
      <c r="T460">
        <v>9.41</v>
      </c>
      <c r="U460">
        <v>1.86</v>
      </c>
      <c r="V460">
        <v>7.79</v>
      </c>
      <c r="W460">
        <v>2.17</v>
      </c>
      <c r="X460" s="1">
        <v>43369</v>
      </c>
    </row>
    <row r="461" spans="1:24" x14ac:dyDescent="0.25">
      <c r="A461" t="s">
        <v>236</v>
      </c>
      <c r="B461">
        <v>2018</v>
      </c>
      <c r="C461" t="s">
        <v>275</v>
      </c>
      <c r="D461">
        <v>8</v>
      </c>
      <c r="E461">
        <v>7.75</v>
      </c>
      <c r="F461">
        <v>136</v>
      </c>
      <c r="G461">
        <v>1436</v>
      </c>
      <c r="H461">
        <v>1652</v>
      </c>
      <c r="I461">
        <v>4745</v>
      </c>
      <c r="J461">
        <v>18</v>
      </c>
      <c r="K461">
        <v>2.82</v>
      </c>
      <c r="L461">
        <v>6.51</v>
      </c>
      <c r="M461">
        <v>424</v>
      </c>
      <c r="N461">
        <v>78</v>
      </c>
      <c r="O461">
        <v>5.26</v>
      </c>
      <c r="P461">
        <v>22.58</v>
      </c>
      <c r="Q461">
        <v>8.15</v>
      </c>
      <c r="R461">
        <v>30.47</v>
      </c>
      <c r="S461">
        <v>52.51</v>
      </c>
      <c r="T461">
        <v>8.85</v>
      </c>
      <c r="U461">
        <v>1.66</v>
      </c>
      <c r="V461">
        <v>5.13</v>
      </c>
      <c r="W461">
        <v>1.57</v>
      </c>
      <c r="X461" s="1">
        <v>43369</v>
      </c>
    </row>
    <row r="462" spans="1:24" x14ac:dyDescent="0.25">
      <c r="A462" t="s">
        <v>237</v>
      </c>
      <c r="B462">
        <v>2018</v>
      </c>
      <c r="C462" t="s">
        <v>275</v>
      </c>
      <c r="D462">
        <v>7.6</v>
      </c>
      <c r="E462">
        <v>7.75</v>
      </c>
      <c r="F462">
        <v>149</v>
      </c>
      <c r="G462">
        <v>1455</v>
      </c>
      <c r="H462">
        <v>1540</v>
      </c>
      <c r="I462">
        <v>4668</v>
      </c>
      <c r="J462">
        <v>23</v>
      </c>
      <c r="K462">
        <v>2.96</v>
      </c>
      <c r="L462">
        <v>8</v>
      </c>
      <c r="M462">
        <v>433</v>
      </c>
      <c r="N462">
        <v>83</v>
      </c>
      <c r="O462">
        <v>5.86</v>
      </c>
      <c r="P462">
        <v>21.95</v>
      </c>
      <c r="Q462">
        <v>8.49</v>
      </c>
      <c r="R462">
        <v>29.23</v>
      </c>
      <c r="S462">
        <v>53.16</v>
      </c>
      <c r="T462">
        <v>9.11</v>
      </c>
      <c r="U462">
        <v>1.78</v>
      </c>
      <c r="V462">
        <v>4.21</v>
      </c>
      <c r="W462">
        <v>1.74</v>
      </c>
      <c r="X462" s="1">
        <v>43369</v>
      </c>
    </row>
    <row r="463" spans="1:24" x14ac:dyDescent="0.25">
      <c r="A463" t="s">
        <v>238</v>
      </c>
      <c r="B463">
        <v>2018</v>
      </c>
      <c r="C463" t="s">
        <v>275</v>
      </c>
      <c r="D463">
        <v>8.1999999999999993</v>
      </c>
      <c r="E463">
        <v>7.8</v>
      </c>
      <c r="F463">
        <v>142</v>
      </c>
      <c r="G463">
        <v>1259</v>
      </c>
      <c r="H463">
        <v>1668</v>
      </c>
      <c r="I463">
        <v>4903</v>
      </c>
      <c r="J463">
        <v>21</v>
      </c>
      <c r="K463">
        <v>3.58</v>
      </c>
      <c r="L463">
        <v>4.83</v>
      </c>
      <c r="M463">
        <v>356</v>
      </c>
      <c r="N463">
        <v>65</v>
      </c>
      <c r="O463">
        <v>4.4000000000000004</v>
      </c>
      <c r="P463">
        <v>22.42</v>
      </c>
      <c r="Q463">
        <v>7.19</v>
      </c>
      <c r="R463">
        <v>30.99</v>
      </c>
      <c r="S463">
        <v>54.66</v>
      </c>
      <c r="T463">
        <v>7.13</v>
      </c>
      <c r="U463">
        <v>1.48</v>
      </c>
      <c r="V463">
        <v>2.97</v>
      </c>
      <c r="W463">
        <v>1.74</v>
      </c>
      <c r="X463" s="1">
        <v>43369</v>
      </c>
    </row>
    <row r="464" spans="1:24" x14ac:dyDescent="0.25">
      <c r="A464" t="s">
        <v>239</v>
      </c>
      <c r="B464">
        <v>2018</v>
      </c>
      <c r="C464" t="s">
        <v>275</v>
      </c>
      <c r="D464">
        <v>7.4</v>
      </c>
      <c r="E464">
        <v>7.7</v>
      </c>
      <c r="F464">
        <v>139</v>
      </c>
      <c r="G464">
        <v>1369</v>
      </c>
      <c r="H464">
        <v>1392</v>
      </c>
      <c r="I464">
        <v>4700</v>
      </c>
      <c r="J464">
        <v>19</v>
      </c>
      <c r="K464">
        <v>2.74</v>
      </c>
      <c r="L464">
        <v>4.24</v>
      </c>
      <c r="M464">
        <v>374</v>
      </c>
      <c r="N464">
        <v>65</v>
      </c>
      <c r="O464">
        <v>4.05</v>
      </c>
      <c r="P464">
        <v>21.7</v>
      </c>
      <c r="Q464">
        <v>8.08</v>
      </c>
      <c r="R464">
        <v>26.72</v>
      </c>
      <c r="S464">
        <v>54.13</v>
      </c>
      <c r="T464">
        <v>11.05</v>
      </c>
      <c r="U464">
        <v>1.55</v>
      </c>
      <c r="V464">
        <v>3.07</v>
      </c>
      <c r="W464">
        <v>1.72</v>
      </c>
      <c r="X464" s="1">
        <v>43369</v>
      </c>
    </row>
    <row r="465" spans="1:24" x14ac:dyDescent="0.25">
      <c r="A465" t="s">
        <v>240</v>
      </c>
      <c r="B465">
        <v>2018</v>
      </c>
      <c r="C465" t="s">
        <v>275</v>
      </c>
      <c r="D465">
        <v>8.5</v>
      </c>
      <c r="E465">
        <v>7.75</v>
      </c>
      <c r="F465">
        <v>103</v>
      </c>
      <c r="G465">
        <v>1220</v>
      </c>
      <c r="H465">
        <v>1609</v>
      </c>
      <c r="I465">
        <v>5080</v>
      </c>
      <c r="J465">
        <v>23</v>
      </c>
      <c r="K465">
        <v>3.97</v>
      </c>
      <c r="L465">
        <v>4.5999999999999996</v>
      </c>
      <c r="M465">
        <v>346</v>
      </c>
      <c r="N465">
        <v>56</v>
      </c>
      <c r="O465">
        <v>4.3499999999999996</v>
      </c>
      <c r="P465">
        <v>22.96</v>
      </c>
      <c r="Q465">
        <v>6.8</v>
      </c>
      <c r="R465">
        <v>29.18</v>
      </c>
      <c r="S465">
        <v>55.29</v>
      </c>
      <c r="T465">
        <v>8.6999999999999993</v>
      </c>
      <c r="U465">
        <v>1.46</v>
      </c>
      <c r="V465">
        <v>4.38</v>
      </c>
      <c r="W465">
        <v>1.62</v>
      </c>
      <c r="X465" s="1">
        <v>43369</v>
      </c>
    </row>
    <row r="466" spans="1:24" x14ac:dyDescent="0.25">
      <c r="A466" t="s">
        <v>241</v>
      </c>
      <c r="B466">
        <v>2018</v>
      </c>
      <c r="C466" t="s">
        <v>275</v>
      </c>
      <c r="D466">
        <v>8.6</v>
      </c>
      <c r="E466">
        <v>7.8</v>
      </c>
      <c r="F466">
        <v>110</v>
      </c>
      <c r="G466">
        <v>1242</v>
      </c>
      <c r="H466">
        <v>1447</v>
      </c>
      <c r="I466">
        <v>9006</v>
      </c>
      <c r="J466">
        <v>25</v>
      </c>
      <c r="K466">
        <v>5.27</v>
      </c>
      <c r="L466">
        <v>5.75</v>
      </c>
      <c r="M466">
        <v>318</v>
      </c>
      <c r="N466">
        <v>45</v>
      </c>
      <c r="O466">
        <v>4.5199999999999996</v>
      </c>
      <c r="P466">
        <v>31.73</v>
      </c>
      <c r="Q466">
        <v>5.01</v>
      </c>
      <c r="R466">
        <v>18.989999999999998</v>
      </c>
      <c r="S466">
        <v>70.94</v>
      </c>
      <c r="T466">
        <v>5.04</v>
      </c>
      <c r="U466">
        <v>1.45</v>
      </c>
      <c r="V466">
        <v>3.49</v>
      </c>
      <c r="W466">
        <v>1.58</v>
      </c>
      <c r="X466" s="1">
        <v>43369</v>
      </c>
    </row>
    <row r="467" spans="1:24" x14ac:dyDescent="0.25">
      <c r="A467" t="s">
        <v>208</v>
      </c>
      <c r="B467">
        <v>2018</v>
      </c>
      <c r="C467" t="s">
        <v>280</v>
      </c>
      <c r="D467">
        <v>8.6</v>
      </c>
      <c r="E467">
        <v>7.95</v>
      </c>
      <c r="F467">
        <v>153</v>
      </c>
      <c r="G467">
        <v>1345</v>
      </c>
      <c r="H467">
        <v>818</v>
      </c>
      <c r="I467">
        <v>2841</v>
      </c>
      <c r="J467">
        <v>24</v>
      </c>
      <c r="K467">
        <v>3.96</v>
      </c>
      <c r="L467">
        <v>16.11</v>
      </c>
      <c r="M467">
        <v>103</v>
      </c>
      <c r="N467">
        <v>86</v>
      </c>
      <c r="O467">
        <v>2.33</v>
      </c>
      <c r="P467">
        <v>12.63</v>
      </c>
      <c r="Q467">
        <v>13.64</v>
      </c>
      <c r="R467">
        <v>26.97</v>
      </c>
      <c r="S467">
        <v>56.21</v>
      </c>
      <c r="T467">
        <v>3.16</v>
      </c>
      <c r="U467">
        <v>0.6</v>
      </c>
      <c r="V467">
        <v>4.8099999999999996</v>
      </c>
      <c r="W467">
        <v>1.38</v>
      </c>
      <c r="X467" s="1">
        <v>43367</v>
      </c>
    </row>
    <row r="468" spans="1:24" x14ac:dyDescent="0.25">
      <c r="A468" t="s">
        <v>209</v>
      </c>
      <c r="B468">
        <v>2018</v>
      </c>
      <c r="C468" t="s">
        <v>280</v>
      </c>
      <c r="D468">
        <v>8.5</v>
      </c>
      <c r="E468">
        <v>7.85</v>
      </c>
      <c r="F468">
        <v>80</v>
      </c>
      <c r="G468">
        <v>877</v>
      </c>
      <c r="H468">
        <v>856</v>
      </c>
      <c r="I468">
        <v>6187</v>
      </c>
      <c r="J468">
        <v>21</v>
      </c>
      <c r="K468">
        <v>4.16</v>
      </c>
      <c r="L468">
        <v>18.989999999999998</v>
      </c>
      <c r="M468">
        <v>98</v>
      </c>
      <c r="N468">
        <v>68</v>
      </c>
      <c r="O468">
        <v>2.74</v>
      </c>
      <c r="P468">
        <v>21.35</v>
      </c>
      <c r="Q468">
        <v>5.26</v>
      </c>
      <c r="R468">
        <v>16.690000000000001</v>
      </c>
      <c r="S468">
        <v>72.41</v>
      </c>
      <c r="T468">
        <v>5.61</v>
      </c>
      <c r="U468">
        <v>0.51</v>
      </c>
      <c r="V468">
        <v>2.61</v>
      </c>
      <c r="W468">
        <v>1.19</v>
      </c>
      <c r="X468" s="1">
        <v>43367</v>
      </c>
    </row>
    <row r="469" spans="1:24" x14ac:dyDescent="0.25">
      <c r="A469" t="s">
        <v>210</v>
      </c>
      <c r="B469">
        <v>2018</v>
      </c>
      <c r="C469" t="s">
        <v>280</v>
      </c>
      <c r="D469">
        <v>8.4</v>
      </c>
      <c r="E469">
        <v>7.9</v>
      </c>
      <c r="F469">
        <v>48</v>
      </c>
      <c r="G469">
        <v>733</v>
      </c>
      <c r="H469">
        <v>650</v>
      </c>
      <c r="I469">
        <v>2046</v>
      </c>
      <c r="J469">
        <v>16</v>
      </c>
      <c r="K469">
        <v>2.61</v>
      </c>
      <c r="L469">
        <v>9.17</v>
      </c>
      <c r="M469">
        <v>86</v>
      </c>
      <c r="N469">
        <v>72</v>
      </c>
      <c r="O469">
        <v>2.0499999999999998</v>
      </c>
      <c r="P469">
        <v>9.56</v>
      </c>
      <c r="Q469">
        <v>9.82</v>
      </c>
      <c r="R469">
        <v>28.32</v>
      </c>
      <c r="S469">
        <v>53.48</v>
      </c>
      <c r="T469">
        <v>8.36</v>
      </c>
      <c r="U469">
        <v>0.41</v>
      </c>
      <c r="V469">
        <v>2.68</v>
      </c>
      <c r="W469">
        <v>1.22</v>
      </c>
      <c r="X469" s="1">
        <v>43367</v>
      </c>
    </row>
    <row r="470" spans="1:24" x14ac:dyDescent="0.25">
      <c r="A470" t="s">
        <v>211</v>
      </c>
      <c r="B470">
        <v>2018</v>
      </c>
      <c r="C470" t="s">
        <v>280</v>
      </c>
      <c r="D470">
        <v>8.1999999999999993</v>
      </c>
      <c r="E470">
        <v>7.9</v>
      </c>
      <c r="F470">
        <v>100</v>
      </c>
      <c r="G470">
        <v>726</v>
      </c>
      <c r="H470">
        <v>595</v>
      </c>
      <c r="I470">
        <v>1836</v>
      </c>
      <c r="J470">
        <v>17</v>
      </c>
      <c r="K470">
        <v>1.93</v>
      </c>
      <c r="L470">
        <v>6.96</v>
      </c>
      <c r="M470">
        <v>77</v>
      </c>
      <c r="N470">
        <v>73</v>
      </c>
      <c r="O470">
        <v>2.34</v>
      </c>
      <c r="P470">
        <v>8.7899999999999991</v>
      </c>
      <c r="Q470">
        <v>10.57</v>
      </c>
      <c r="R470">
        <v>28.17</v>
      </c>
      <c r="S470">
        <v>52.15</v>
      </c>
      <c r="T470">
        <v>9.09</v>
      </c>
      <c r="U470">
        <v>0.44</v>
      </c>
      <c r="V470">
        <v>2.57</v>
      </c>
      <c r="W470">
        <v>1.42</v>
      </c>
      <c r="X470" s="1">
        <v>43367</v>
      </c>
    </row>
    <row r="471" spans="1:24" x14ac:dyDescent="0.25">
      <c r="A471" t="s">
        <v>212</v>
      </c>
      <c r="B471">
        <v>2018</v>
      </c>
      <c r="C471" t="s">
        <v>278</v>
      </c>
      <c r="D471">
        <v>8.1</v>
      </c>
      <c r="E471">
        <v>7.9</v>
      </c>
      <c r="F471">
        <v>26</v>
      </c>
      <c r="G471">
        <v>561</v>
      </c>
      <c r="H471">
        <v>758</v>
      </c>
      <c r="I471">
        <v>1842</v>
      </c>
      <c r="J471">
        <v>20</v>
      </c>
      <c r="K471">
        <v>2.88</v>
      </c>
      <c r="L471">
        <v>2.46</v>
      </c>
      <c r="M471">
        <v>95</v>
      </c>
      <c r="N471">
        <v>65</v>
      </c>
      <c r="O471">
        <v>1.67</v>
      </c>
      <c r="P471">
        <v>9.2799999999999994</v>
      </c>
      <c r="Q471">
        <v>7.74</v>
      </c>
      <c r="R471">
        <v>34.020000000000003</v>
      </c>
      <c r="S471">
        <v>49.6</v>
      </c>
      <c r="T471">
        <v>8.61</v>
      </c>
      <c r="U471">
        <v>0.37</v>
      </c>
      <c r="V471">
        <v>2.3199999999999998</v>
      </c>
      <c r="W471">
        <v>1.66</v>
      </c>
      <c r="X471" s="1">
        <v>43367</v>
      </c>
    </row>
    <row r="472" spans="1:24" x14ac:dyDescent="0.25">
      <c r="A472" t="s">
        <v>262</v>
      </c>
      <c r="B472">
        <v>2018</v>
      </c>
      <c r="C472" t="s">
        <v>278</v>
      </c>
      <c r="D472">
        <v>7.8</v>
      </c>
      <c r="E472">
        <v>7.8</v>
      </c>
      <c r="F472">
        <v>42</v>
      </c>
      <c r="G472">
        <v>757</v>
      </c>
      <c r="H472">
        <v>836</v>
      </c>
      <c r="I472">
        <v>2598</v>
      </c>
      <c r="J472">
        <v>59</v>
      </c>
      <c r="K472">
        <v>2.64</v>
      </c>
      <c r="L472">
        <v>1.58</v>
      </c>
      <c r="M472">
        <v>122</v>
      </c>
      <c r="N472">
        <v>61</v>
      </c>
      <c r="O472">
        <v>1.93</v>
      </c>
      <c r="P472">
        <v>12.54</v>
      </c>
      <c r="Q472">
        <v>7.73</v>
      </c>
      <c r="R472">
        <v>27.75</v>
      </c>
      <c r="S472">
        <v>51.75</v>
      </c>
      <c r="T472">
        <v>12.75</v>
      </c>
      <c r="U472">
        <v>0.53</v>
      </c>
      <c r="V472">
        <v>2.75</v>
      </c>
      <c r="W472">
        <v>1.53</v>
      </c>
      <c r="X472" s="1">
        <v>43367</v>
      </c>
    </row>
    <row r="473" spans="1:24" x14ac:dyDescent="0.25">
      <c r="A473" t="s">
        <v>213</v>
      </c>
      <c r="B473">
        <v>2018</v>
      </c>
      <c r="C473" t="s">
        <v>278</v>
      </c>
      <c r="D473">
        <v>8.1999999999999993</v>
      </c>
      <c r="E473">
        <v>7.85</v>
      </c>
      <c r="F473">
        <v>18</v>
      </c>
      <c r="G473">
        <v>565</v>
      </c>
      <c r="H473">
        <v>797</v>
      </c>
      <c r="I473">
        <v>2140</v>
      </c>
      <c r="J473">
        <v>19</v>
      </c>
      <c r="K473">
        <v>3.13</v>
      </c>
      <c r="L473">
        <v>1.26</v>
      </c>
      <c r="M473">
        <v>113</v>
      </c>
      <c r="N473">
        <v>64</v>
      </c>
      <c r="O473">
        <v>1.76</v>
      </c>
      <c r="P473">
        <v>10.59</v>
      </c>
      <c r="Q473">
        <v>6.83</v>
      </c>
      <c r="R473">
        <v>31.34</v>
      </c>
      <c r="S473">
        <v>50.49</v>
      </c>
      <c r="T473">
        <v>11.32</v>
      </c>
      <c r="U473">
        <v>0.45</v>
      </c>
      <c r="V473">
        <v>1.72</v>
      </c>
      <c r="W473">
        <v>1.79</v>
      </c>
      <c r="X473" s="1">
        <v>43367</v>
      </c>
    </row>
    <row r="474" spans="1:24" x14ac:dyDescent="0.25">
      <c r="A474" t="s">
        <v>214</v>
      </c>
      <c r="B474">
        <v>2018</v>
      </c>
      <c r="C474" t="s">
        <v>278</v>
      </c>
      <c r="D474">
        <v>8.5</v>
      </c>
      <c r="E474">
        <v>7.95</v>
      </c>
      <c r="F474">
        <v>40</v>
      </c>
      <c r="G474">
        <v>686</v>
      </c>
      <c r="H474">
        <v>732</v>
      </c>
      <c r="I474">
        <v>1966</v>
      </c>
      <c r="J474">
        <v>68</v>
      </c>
      <c r="K474">
        <v>3.94</v>
      </c>
      <c r="L474">
        <v>2.56</v>
      </c>
      <c r="M474">
        <v>93</v>
      </c>
      <c r="N474">
        <v>65</v>
      </c>
      <c r="O474">
        <v>1.81</v>
      </c>
      <c r="P474">
        <v>9.24</v>
      </c>
      <c r="Q474">
        <v>9.51</v>
      </c>
      <c r="R474">
        <v>32.99</v>
      </c>
      <c r="S474">
        <v>53.16</v>
      </c>
      <c r="T474">
        <v>4.32</v>
      </c>
      <c r="U474">
        <v>0.44</v>
      </c>
      <c r="V474">
        <v>4.1100000000000003</v>
      </c>
      <c r="W474">
        <v>1.6</v>
      </c>
      <c r="X474" s="1">
        <v>43367</v>
      </c>
    </row>
    <row r="475" spans="1:24" x14ac:dyDescent="0.25">
      <c r="A475" t="s">
        <v>215</v>
      </c>
      <c r="B475">
        <v>2018</v>
      </c>
      <c r="C475" t="s">
        <v>278</v>
      </c>
      <c r="D475">
        <v>8.4</v>
      </c>
      <c r="E475">
        <v>7.9</v>
      </c>
      <c r="F475">
        <v>51</v>
      </c>
      <c r="G475">
        <v>502</v>
      </c>
      <c r="H475">
        <v>283</v>
      </c>
      <c r="I475">
        <v>3639</v>
      </c>
      <c r="J475">
        <v>11</v>
      </c>
      <c r="K475">
        <v>1.41</v>
      </c>
      <c r="L475">
        <v>0.79</v>
      </c>
      <c r="M475">
        <v>85</v>
      </c>
      <c r="N475">
        <v>71</v>
      </c>
      <c r="O475">
        <v>1.67</v>
      </c>
      <c r="P475">
        <v>11.72</v>
      </c>
      <c r="Q475">
        <v>5.49</v>
      </c>
      <c r="R475">
        <v>10.06</v>
      </c>
      <c r="S475">
        <v>77.62</v>
      </c>
      <c r="T475">
        <v>6.82</v>
      </c>
      <c r="U475">
        <v>0.39</v>
      </c>
      <c r="V475">
        <v>1.64</v>
      </c>
      <c r="W475">
        <v>1.34</v>
      </c>
      <c r="X475" s="1">
        <v>43367</v>
      </c>
    </row>
    <row r="476" spans="1:24" x14ac:dyDescent="0.25">
      <c r="A476" t="s">
        <v>216</v>
      </c>
      <c r="B476">
        <v>2018</v>
      </c>
      <c r="C476" t="s">
        <v>278</v>
      </c>
      <c r="D476">
        <v>8</v>
      </c>
      <c r="E476">
        <v>7.85</v>
      </c>
      <c r="F476">
        <v>64</v>
      </c>
      <c r="G476">
        <v>454</v>
      </c>
      <c r="H476">
        <v>270</v>
      </c>
      <c r="I476">
        <v>2839</v>
      </c>
      <c r="J476">
        <v>17</v>
      </c>
      <c r="K476">
        <v>1.33</v>
      </c>
      <c r="L476">
        <v>0.71</v>
      </c>
      <c r="M476">
        <v>73</v>
      </c>
      <c r="N476">
        <v>73</v>
      </c>
      <c r="O476">
        <v>1.39</v>
      </c>
      <c r="P476">
        <v>10</v>
      </c>
      <c r="Q476">
        <v>5.81</v>
      </c>
      <c r="R476">
        <v>11.24</v>
      </c>
      <c r="S476">
        <v>70.94</v>
      </c>
      <c r="T476">
        <v>11.99</v>
      </c>
      <c r="U476">
        <v>0.38</v>
      </c>
      <c r="V476">
        <v>7.49</v>
      </c>
      <c r="W476">
        <v>1.95</v>
      </c>
      <c r="X476" s="1">
        <v>43367</v>
      </c>
    </row>
    <row r="477" spans="1:24" x14ac:dyDescent="0.25">
      <c r="A477" t="s">
        <v>217</v>
      </c>
      <c r="B477">
        <v>2018</v>
      </c>
      <c r="C477" t="s">
        <v>278</v>
      </c>
      <c r="D477">
        <v>7.5</v>
      </c>
      <c r="E477">
        <v>7.85</v>
      </c>
      <c r="F477">
        <v>99</v>
      </c>
      <c r="G477">
        <v>518</v>
      </c>
      <c r="H477">
        <v>321</v>
      </c>
      <c r="I477">
        <v>3107</v>
      </c>
      <c r="J477">
        <v>37</v>
      </c>
      <c r="K477">
        <v>1.47</v>
      </c>
      <c r="L477">
        <v>1.04</v>
      </c>
      <c r="M477">
        <v>83</v>
      </c>
      <c r="N477">
        <v>83</v>
      </c>
      <c r="O477">
        <v>1.57</v>
      </c>
      <c r="P477">
        <v>10.96</v>
      </c>
      <c r="Q477">
        <v>6.05</v>
      </c>
      <c r="R477">
        <v>12.19</v>
      </c>
      <c r="S477">
        <v>70.81</v>
      </c>
      <c r="T477">
        <v>10.93</v>
      </c>
      <c r="U477">
        <v>0.36</v>
      </c>
      <c r="V477">
        <v>38.56</v>
      </c>
      <c r="W477">
        <v>2.62</v>
      </c>
      <c r="X477" s="1">
        <v>43367</v>
      </c>
    </row>
    <row r="478" spans="1:24" x14ac:dyDescent="0.25">
      <c r="A478" t="s">
        <v>263</v>
      </c>
      <c r="B478">
        <v>2018</v>
      </c>
      <c r="C478" t="s">
        <v>278</v>
      </c>
      <c r="D478">
        <v>8.1</v>
      </c>
      <c r="E478">
        <v>7.85</v>
      </c>
      <c r="F478">
        <v>57</v>
      </c>
      <c r="G478">
        <v>558</v>
      </c>
      <c r="H478">
        <v>321</v>
      </c>
      <c r="I478">
        <v>3362</v>
      </c>
      <c r="J478">
        <v>16</v>
      </c>
      <c r="K478">
        <v>1.7</v>
      </c>
      <c r="L478">
        <v>1.08</v>
      </c>
      <c r="M478">
        <v>82</v>
      </c>
      <c r="N478">
        <v>71</v>
      </c>
      <c r="O478">
        <v>1.67</v>
      </c>
      <c r="P478">
        <v>11.65</v>
      </c>
      <c r="Q478">
        <v>6.13</v>
      </c>
      <c r="R478">
        <v>11.47</v>
      </c>
      <c r="S478">
        <v>72.09</v>
      </c>
      <c r="T478">
        <v>10.29</v>
      </c>
      <c r="U478">
        <v>0.48</v>
      </c>
      <c r="V478">
        <v>5.01</v>
      </c>
      <c r="W478">
        <v>1.4</v>
      </c>
      <c r="X478" s="1">
        <v>43367</v>
      </c>
    </row>
    <row r="479" spans="1:24" x14ac:dyDescent="0.25">
      <c r="A479" t="s">
        <v>249</v>
      </c>
      <c r="B479">
        <v>2018</v>
      </c>
      <c r="C479" t="s">
        <v>276</v>
      </c>
      <c r="D479">
        <v>8.1999999999999993</v>
      </c>
      <c r="E479">
        <v>7.8</v>
      </c>
      <c r="F479">
        <v>102</v>
      </c>
      <c r="G479">
        <v>1074</v>
      </c>
      <c r="H479">
        <v>1360</v>
      </c>
      <c r="I479">
        <v>4409</v>
      </c>
      <c r="J479">
        <v>15</v>
      </c>
      <c r="K479">
        <v>3.16</v>
      </c>
      <c r="L479">
        <v>5.16</v>
      </c>
      <c r="M479">
        <v>426</v>
      </c>
      <c r="N479">
        <v>87</v>
      </c>
      <c r="O479">
        <v>4.5599999999999996</v>
      </c>
      <c r="P479">
        <v>19.66</v>
      </c>
      <c r="Q479">
        <v>7</v>
      </c>
      <c r="R479">
        <v>28.81</v>
      </c>
      <c r="S479">
        <v>56.04</v>
      </c>
      <c r="T479">
        <v>8.1300000000000008</v>
      </c>
      <c r="U479">
        <v>1.31</v>
      </c>
      <c r="V479">
        <v>2.48</v>
      </c>
      <c r="W479">
        <v>1.56</v>
      </c>
      <c r="X479" s="1">
        <v>43369</v>
      </c>
    </row>
    <row r="480" spans="1:24" x14ac:dyDescent="0.25">
      <c r="A480" t="s">
        <v>265</v>
      </c>
      <c r="B480">
        <v>2018</v>
      </c>
      <c r="C480" t="s">
        <v>276</v>
      </c>
      <c r="D480">
        <v>8</v>
      </c>
      <c r="E480">
        <v>7.75</v>
      </c>
      <c r="F480">
        <v>80</v>
      </c>
      <c r="G480">
        <v>1047</v>
      </c>
      <c r="H480">
        <v>1367</v>
      </c>
      <c r="I480">
        <v>4149</v>
      </c>
      <c r="J480">
        <v>16</v>
      </c>
      <c r="K480">
        <v>2.91</v>
      </c>
      <c r="L480">
        <v>5.14</v>
      </c>
      <c r="M480">
        <v>403</v>
      </c>
      <c r="N480">
        <v>84</v>
      </c>
      <c r="O480">
        <v>4.4800000000000004</v>
      </c>
      <c r="P480">
        <v>19.41</v>
      </c>
      <c r="Q480">
        <v>6.91</v>
      </c>
      <c r="R480">
        <v>29.34</v>
      </c>
      <c r="S480">
        <v>53.43</v>
      </c>
      <c r="T480">
        <v>10.3</v>
      </c>
      <c r="U480">
        <v>1.26</v>
      </c>
      <c r="V480">
        <v>2.4</v>
      </c>
      <c r="W480">
        <v>1.72</v>
      </c>
      <c r="X480" s="1">
        <v>43369</v>
      </c>
    </row>
    <row r="481" spans="1:24" x14ac:dyDescent="0.25">
      <c r="A481" t="s">
        <v>266</v>
      </c>
      <c r="B481">
        <v>2018</v>
      </c>
      <c r="C481" t="s">
        <v>276</v>
      </c>
      <c r="D481">
        <v>7.8</v>
      </c>
      <c r="E481">
        <v>7.75</v>
      </c>
      <c r="F481">
        <v>89</v>
      </c>
      <c r="G481">
        <v>1205</v>
      </c>
      <c r="H481">
        <v>1163</v>
      </c>
      <c r="I481">
        <v>3813</v>
      </c>
      <c r="J481">
        <v>17</v>
      </c>
      <c r="K481">
        <v>2.5099999999999998</v>
      </c>
      <c r="L481">
        <v>4.3899999999999997</v>
      </c>
      <c r="M481">
        <v>401</v>
      </c>
      <c r="N481">
        <v>84</v>
      </c>
      <c r="O481">
        <v>4.37</v>
      </c>
      <c r="P481">
        <v>17.920000000000002</v>
      </c>
      <c r="Q481">
        <v>8.61</v>
      </c>
      <c r="R481">
        <v>27.03</v>
      </c>
      <c r="S481">
        <v>53.18</v>
      </c>
      <c r="T481">
        <v>11.15</v>
      </c>
      <c r="U481">
        <v>1.29</v>
      </c>
      <c r="V481">
        <v>2.98</v>
      </c>
      <c r="W481">
        <v>1.63</v>
      </c>
      <c r="X481" s="1">
        <v>43369</v>
      </c>
    </row>
    <row r="482" spans="1:24" x14ac:dyDescent="0.25">
      <c r="A482" t="s">
        <v>267</v>
      </c>
      <c r="B482">
        <v>2018</v>
      </c>
      <c r="C482" t="s">
        <v>276</v>
      </c>
      <c r="D482">
        <v>7.5</v>
      </c>
      <c r="E482">
        <v>7.8</v>
      </c>
      <c r="F482">
        <v>119</v>
      </c>
      <c r="G482">
        <v>1289</v>
      </c>
      <c r="H482">
        <v>1199</v>
      </c>
      <c r="I482">
        <v>4081</v>
      </c>
      <c r="J482">
        <v>18</v>
      </c>
      <c r="K482">
        <v>2.69</v>
      </c>
      <c r="L482">
        <v>5.52</v>
      </c>
      <c r="M482">
        <v>404</v>
      </c>
      <c r="N482">
        <v>85</v>
      </c>
      <c r="O482">
        <v>4.17</v>
      </c>
      <c r="P482">
        <v>18.45</v>
      </c>
      <c r="Q482">
        <v>8.9499999999999993</v>
      </c>
      <c r="R482">
        <v>27.07</v>
      </c>
      <c r="S482">
        <v>55.29</v>
      </c>
      <c r="T482">
        <v>8.67</v>
      </c>
      <c r="U482">
        <v>1.39</v>
      </c>
      <c r="V482">
        <v>3.46</v>
      </c>
      <c r="W482">
        <v>1.56</v>
      </c>
      <c r="X482" s="1">
        <v>43369</v>
      </c>
    </row>
    <row r="483" spans="1:24" x14ac:dyDescent="0.25">
      <c r="A483" t="s">
        <v>218</v>
      </c>
      <c r="B483">
        <v>2018</v>
      </c>
      <c r="C483" t="s">
        <v>276</v>
      </c>
      <c r="D483">
        <v>8.3000000000000007</v>
      </c>
      <c r="E483">
        <v>7.85</v>
      </c>
      <c r="F483">
        <v>61</v>
      </c>
      <c r="G483">
        <v>946</v>
      </c>
      <c r="H483">
        <v>1457</v>
      </c>
      <c r="I483">
        <v>3291</v>
      </c>
      <c r="J483">
        <v>45</v>
      </c>
      <c r="K483">
        <v>4.4400000000000004</v>
      </c>
      <c r="L483">
        <v>1.56</v>
      </c>
      <c r="M483">
        <v>284</v>
      </c>
      <c r="N483">
        <v>74</v>
      </c>
      <c r="O483">
        <v>4.5599999999999996</v>
      </c>
      <c r="P483">
        <v>16.71</v>
      </c>
      <c r="Q483">
        <v>7.25</v>
      </c>
      <c r="R483">
        <v>36.32</v>
      </c>
      <c r="S483">
        <v>49.23</v>
      </c>
      <c r="T483">
        <v>7.18</v>
      </c>
      <c r="U483">
        <v>0.86</v>
      </c>
      <c r="V483">
        <v>6.83</v>
      </c>
      <c r="W483">
        <v>1.44</v>
      </c>
      <c r="X483" s="1">
        <v>43363</v>
      </c>
    </row>
    <row r="484" spans="1:24" x14ac:dyDescent="0.25">
      <c r="A484" t="s">
        <v>219</v>
      </c>
      <c r="B484">
        <v>2018</v>
      </c>
      <c r="C484" t="s">
        <v>276</v>
      </c>
      <c r="D484">
        <v>8.1999999999999993</v>
      </c>
      <c r="E484">
        <v>7.8</v>
      </c>
      <c r="F484">
        <v>63</v>
      </c>
      <c r="G484">
        <v>940</v>
      </c>
      <c r="H484">
        <v>1417</v>
      </c>
      <c r="I484">
        <v>3619</v>
      </c>
      <c r="J484">
        <v>39</v>
      </c>
      <c r="K484">
        <v>4.55</v>
      </c>
      <c r="L484">
        <v>1.53</v>
      </c>
      <c r="M484">
        <v>303</v>
      </c>
      <c r="N484">
        <v>75</v>
      </c>
      <c r="O484">
        <v>4.71</v>
      </c>
      <c r="P484">
        <v>17.75</v>
      </c>
      <c r="Q484">
        <v>6.78</v>
      </c>
      <c r="R484">
        <v>33.25</v>
      </c>
      <c r="S484">
        <v>50.95</v>
      </c>
      <c r="T484">
        <v>9.01</v>
      </c>
      <c r="U484">
        <v>0.96</v>
      </c>
      <c r="V484">
        <v>3.69</v>
      </c>
      <c r="W484">
        <v>1.42</v>
      </c>
      <c r="X484" s="1">
        <v>43363</v>
      </c>
    </row>
    <row r="485" spans="1:24" x14ac:dyDescent="0.25">
      <c r="A485" t="s">
        <v>220</v>
      </c>
      <c r="B485">
        <v>2018</v>
      </c>
      <c r="C485" t="s">
        <v>276</v>
      </c>
      <c r="D485">
        <v>8.5</v>
      </c>
      <c r="E485">
        <v>7.85</v>
      </c>
      <c r="F485">
        <v>48</v>
      </c>
      <c r="G485">
        <v>966</v>
      </c>
      <c r="H485">
        <v>1528</v>
      </c>
      <c r="I485">
        <v>3352</v>
      </c>
      <c r="J485">
        <v>22</v>
      </c>
      <c r="K485">
        <v>4.54</v>
      </c>
      <c r="L485">
        <v>1.68</v>
      </c>
      <c r="M485">
        <v>270</v>
      </c>
      <c r="N485">
        <v>79</v>
      </c>
      <c r="O485">
        <v>4.21</v>
      </c>
      <c r="P485">
        <v>17.18</v>
      </c>
      <c r="Q485">
        <v>7.2</v>
      </c>
      <c r="R485">
        <v>37.04</v>
      </c>
      <c r="S485">
        <v>48.76</v>
      </c>
      <c r="T485">
        <v>6.98</v>
      </c>
      <c r="U485">
        <v>1.1000000000000001</v>
      </c>
      <c r="V485">
        <v>1.56</v>
      </c>
      <c r="W485">
        <v>1.68</v>
      </c>
      <c r="X485" s="1">
        <v>43363</v>
      </c>
    </row>
    <row r="486" spans="1:24" x14ac:dyDescent="0.25">
      <c r="A486" t="s">
        <v>221</v>
      </c>
      <c r="B486">
        <v>2018</v>
      </c>
      <c r="C486" t="s">
        <v>276</v>
      </c>
      <c r="D486">
        <v>8.3000000000000007</v>
      </c>
      <c r="E486">
        <v>7.85</v>
      </c>
      <c r="F486">
        <v>48</v>
      </c>
      <c r="G486">
        <v>834</v>
      </c>
      <c r="H486">
        <v>1854</v>
      </c>
      <c r="I486">
        <v>3486</v>
      </c>
      <c r="J486">
        <v>27</v>
      </c>
      <c r="K486">
        <v>4.8499999999999996</v>
      </c>
      <c r="L486">
        <v>1.64</v>
      </c>
      <c r="M486">
        <v>310</v>
      </c>
      <c r="N486">
        <v>77</v>
      </c>
      <c r="O486">
        <v>5.09</v>
      </c>
      <c r="P486">
        <v>18.7</v>
      </c>
      <c r="Q486">
        <v>5.71</v>
      </c>
      <c r="R486">
        <v>41.28</v>
      </c>
      <c r="S486">
        <v>46.58</v>
      </c>
      <c r="T486">
        <v>6.41</v>
      </c>
      <c r="U486">
        <v>0.78</v>
      </c>
      <c r="V486">
        <v>1.08</v>
      </c>
      <c r="W486">
        <v>1.39</v>
      </c>
      <c r="X486" s="1">
        <v>43363</v>
      </c>
    </row>
    <row r="487" spans="1:24" x14ac:dyDescent="0.25">
      <c r="A487" t="s">
        <v>222</v>
      </c>
      <c r="B487">
        <v>2018</v>
      </c>
      <c r="C487" t="s">
        <v>279</v>
      </c>
      <c r="D487">
        <v>7.7</v>
      </c>
      <c r="E487">
        <v>7.85</v>
      </c>
      <c r="F487">
        <v>36</v>
      </c>
      <c r="G487">
        <v>565</v>
      </c>
      <c r="H487">
        <v>920</v>
      </c>
      <c r="I487">
        <v>2405</v>
      </c>
      <c r="J487">
        <v>14</v>
      </c>
      <c r="K487">
        <v>2.5299999999999998</v>
      </c>
      <c r="L487">
        <v>1.03</v>
      </c>
      <c r="M487">
        <v>171</v>
      </c>
      <c r="N487">
        <v>69</v>
      </c>
      <c r="O487">
        <v>3</v>
      </c>
      <c r="P487">
        <v>11.77</v>
      </c>
      <c r="Q487">
        <v>6.15</v>
      </c>
      <c r="R487">
        <v>32.56</v>
      </c>
      <c r="S487">
        <v>51.08</v>
      </c>
      <c r="T487">
        <v>10.19</v>
      </c>
      <c r="U487">
        <v>0.65</v>
      </c>
      <c r="V487">
        <v>7.74</v>
      </c>
      <c r="W487">
        <v>2.0499999999999998</v>
      </c>
      <c r="X487" s="1">
        <v>43363</v>
      </c>
    </row>
    <row r="488" spans="1:24" x14ac:dyDescent="0.25">
      <c r="A488" t="s">
        <v>223</v>
      </c>
      <c r="B488">
        <v>2018</v>
      </c>
      <c r="C488" t="s">
        <v>279</v>
      </c>
      <c r="D488">
        <v>7.4</v>
      </c>
      <c r="E488">
        <v>7.8</v>
      </c>
      <c r="F488">
        <v>39</v>
      </c>
      <c r="G488">
        <v>673</v>
      </c>
      <c r="H488">
        <v>1001</v>
      </c>
      <c r="I488">
        <v>2757</v>
      </c>
      <c r="J488">
        <v>18</v>
      </c>
      <c r="K488">
        <v>2.39</v>
      </c>
      <c r="L488">
        <v>1.0900000000000001</v>
      </c>
      <c r="M488">
        <v>203</v>
      </c>
      <c r="N488">
        <v>72</v>
      </c>
      <c r="O488">
        <v>3.24</v>
      </c>
      <c r="P488">
        <v>13.52</v>
      </c>
      <c r="Q488">
        <v>6.37</v>
      </c>
      <c r="R488">
        <v>30.83</v>
      </c>
      <c r="S488">
        <v>50.95</v>
      </c>
      <c r="T488">
        <v>11.82</v>
      </c>
      <c r="U488">
        <v>0.75</v>
      </c>
      <c r="V488">
        <v>15.55</v>
      </c>
      <c r="W488">
        <v>1.64</v>
      </c>
      <c r="X488" s="1">
        <v>43363</v>
      </c>
    </row>
    <row r="489" spans="1:24" x14ac:dyDescent="0.25">
      <c r="A489" t="s">
        <v>224</v>
      </c>
      <c r="B489">
        <v>2018</v>
      </c>
      <c r="C489" t="s">
        <v>279</v>
      </c>
      <c r="D489">
        <v>7.8</v>
      </c>
      <c r="E489">
        <v>7.85</v>
      </c>
      <c r="F489">
        <v>47</v>
      </c>
      <c r="G489">
        <v>637</v>
      </c>
      <c r="H489">
        <v>805</v>
      </c>
      <c r="I489">
        <v>2349</v>
      </c>
      <c r="J489">
        <v>13</v>
      </c>
      <c r="K489">
        <v>2.02</v>
      </c>
      <c r="L489">
        <v>1.06</v>
      </c>
      <c r="M489">
        <v>185</v>
      </c>
      <c r="N489">
        <v>82</v>
      </c>
      <c r="O489">
        <v>2.92</v>
      </c>
      <c r="P489">
        <v>11.24</v>
      </c>
      <c r="Q489">
        <v>7.26</v>
      </c>
      <c r="R489">
        <v>29.83</v>
      </c>
      <c r="S489">
        <v>52.23</v>
      </c>
      <c r="T489">
        <v>10.67</v>
      </c>
      <c r="U489">
        <v>0.67</v>
      </c>
      <c r="V489">
        <v>7.68</v>
      </c>
      <c r="W489">
        <v>1.67</v>
      </c>
      <c r="X489" s="1">
        <v>43363</v>
      </c>
    </row>
    <row r="490" spans="1:24" x14ac:dyDescent="0.25">
      <c r="A490" t="s">
        <v>225</v>
      </c>
      <c r="B490">
        <v>2018</v>
      </c>
      <c r="C490" t="s">
        <v>279</v>
      </c>
      <c r="D490">
        <v>7.6</v>
      </c>
      <c r="E490">
        <v>7.85</v>
      </c>
      <c r="F490">
        <v>48</v>
      </c>
      <c r="G490">
        <v>642</v>
      </c>
      <c r="H490">
        <v>932</v>
      </c>
      <c r="I490">
        <v>2425</v>
      </c>
      <c r="J490">
        <v>13</v>
      </c>
      <c r="K490">
        <v>2.4700000000000002</v>
      </c>
      <c r="L490">
        <v>1.51</v>
      </c>
      <c r="M490">
        <v>195</v>
      </c>
      <c r="N490">
        <v>79</v>
      </c>
      <c r="O490">
        <v>3</v>
      </c>
      <c r="P490">
        <v>11.96</v>
      </c>
      <c r="Q490">
        <v>6.87</v>
      </c>
      <c r="R490">
        <v>32.44</v>
      </c>
      <c r="S490">
        <v>50.65</v>
      </c>
      <c r="T490">
        <v>10.02</v>
      </c>
      <c r="U490">
        <v>0.59</v>
      </c>
      <c r="V490">
        <v>4.18</v>
      </c>
      <c r="W490">
        <v>1.52</v>
      </c>
      <c r="X490" s="1">
        <v>43363</v>
      </c>
    </row>
    <row r="491" spans="1:24" x14ac:dyDescent="0.25">
      <c r="A491" t="s">
        <v>226</v>
      </c>
      <c r="B491">
        <v>2018</v>
      </c>
      <c r="C491" t="s">
        <v>276</v>
      </c>
      <c r="D491">
        <v>7.3</v>
      </c>
      <c r="E491">
        <v>7.75</v>
      </c>
      <c r="F491">
        <v>15</v>
      </c>
      <c r="G491">
        <v>807</v>
      </c>
      <c r="H491">
        <v>709</v>
      </c>
      <c r="I491">
        <v>4860</v>
      </c>
      <c r="J491">
        <v>20</v>
      </c>
      <c r="K491">
        <v>2</v>
      </c>
      <c r="L491">
        <v>1.19</v>
      </c>
      <c r="M491">
        <v>283</v>
      </c>
      <c r="N491">
        <v>70</v>
      </c>
      <c r="O491">
        <v>3.77</v>
      </c>
      <c r="P491">
        <v>18.13</v>
      </c>
      <c r="Q491">
        <v>5.7</v>
      </c>
      <c r="R491">
        <v>16.28</v>
      </c>
      <c r="S491">
        <v>66.98</v>
      </c>
      <c r="T491">
        <v>11.02</v>
      </c>
      <c r="U491">
        <v>1.22</v>
      </c>
      <c r="V491">
        <v>12.03</v>
      </c>
      <c r="W491">
        <v>1.52</v>
      </c>
      <c r="X491" s="1">
        <v>43363</v>
      </c>
    </row>
    <row r="492" spans="1:24" x14ac:dyDescent="0.25">
      <c r="A492" t="s">
        <v>227</v>
      </c>
      <c r="B492">
        <v>2018</v>
      </c>
      <c r="C492" t="s">
        <v>276</v>
      </c>
      <c r="D492">
        <v>7.1</v>
      </c>
      <c r="E492">
        <v>7.75</v>
      </c>
      <c r="F492">
        <v>21</v>
      </c>
      <c r="G492">
        <v>937</v>
      </c>
      <c r="H492">
        <v>750</v>
      </c>
      <c r="I492">
        <v>4363</v>
      </c>
      <c r="J492">
        <v>22</v>
      </c>
      <c r="K492">
        <v>1.99</v>
      </c>
      <c r="L492">
        <v>1.4</v>
      </c>
      <c r="M492">
        <v>286</v>
      </c>
      <c r="N492">
        <v>86</v>
      </c>
      <c r="O492">
        <v>3.72</v>
      </c>
      <c r="P492">
        <v>17.23</v>
      </c>
      <c r="Q492">
        <v>6.97</v>
      </c>
      <c r="R492">
        <v>18.13</v>
      </c>
      <c r="S492">
        <v>63.29</v>
      </c>
      <c r="T492">
        <v>11.6</v>
      </c>
      <c r="U492">
        <v>1.18</v>
      </c>
      <c r="V492">
        <v>8.98</v>
      </c>
      <c r="W492">
        <v>2.06</v>
      </c>
      <c r="X492" s="1">
        <v>43363</v>
      </c>
    </row>
    <row r="493" spans="1:24" x14ac:dyDescent="0.25">
      <c r="A493" t="s">
        <v>228</v>
      </c>
      <c r="B493">
        <v>2018</v>
      </c>
      <c r="C493" t="s">
        <v>276</v>
      </c>
      <c r="D493">
        <v>7.4</v>
      </c>
      <c r="E493">
        <v>7.7</v>
      </c>
      <c r="F493">
        <v>22</v>
      </c>
      <c r="G493">
        <v>791</v>
      </c>
      <c r="H493">
        <v>670</v>
      </c>
      <c r="I493">
        <v>4278</v>
      </c>
      <c r="J493">
        <v>17</v>
      </c>
      <c r="K493">
        <v>1.87</v>
      </c>
      <c r="L493">
        <v>1.1100000000000001</v>
      </c>
      <c r="M493">
        <v>280</v>
      </c>
      <c r="N493">
        <v>81</v>
      </c>
      <c r="O493">
        <v>3.65</v>
      </c>
      <c r="P493">
        <v>16.899999999999999</v>
      </c>
      <c r="Q493">
        <v>6</v>
      </c>
      <c r="R493">
        <v>16.510000000000002</v>
      </c>
      <c r="S493">
        <v>63.28</v>
      </c>
      <c r="T493">
        <v>14.2</v>
      </c>
      <c r="U493">
        <v>1.1200000000000001</v>
      </c>
      <c r="V493">
        <v>3.04</v>
      </c>
      <c r="W493">
        <v>1.68</v>
      </c>
      <c r="X493" s="1">
        <v>43363</v>
      </c>
    </row>
    <row r="494" spans="1:24" x14ac:dyDescent="0.25">
      <c r="A494" t="s">
        <v>229</v>
      </c>
      <c r="B494">
        <v>2018</v>
      </c>
      <c r="C494" t="s">
        <v>276</v>
      </c>
      <c r="D494">
        <v>7.4</v>
      </c>
      <c r="E494">
        <v>7.8</v>
      </c>
      <c r="F494">
        <v>38</v>
      </c>
      <c r="G494">
        <v>886</v>
      </c>
      <c r="H494">
        <v>693</v>
      </c>
      <c r="I494">
        <v>4592</v>
      </c>
      <c r="J494">
        <v>22</v>
      </c>
      <c r="K494">
        <v>1.92</v>
      </c>
      <c r="L494">
        <v>1.59</v>
      </c>
      <c r="M494">
        <v>297</v>
      </c>
      <c r="N494">
        <v>86</v>
      </c>
      <c r="O494">
        <v>3.89</v>
      </c>
      <c r="P494">
        <v>17.100000000000001</v>
      </c>
      <c r="Q494">
        <v>6.64</v>
      </c>
      <c r="R494">
        <v>16.88</v>
      </c>
      <c r="S494">
        <v>67.12</v>
      </c>
      <c r="T494">
        <v>9.35</v>
      </c>
      <c r="U494">
        <v>1.18</v>
      </c>
      <c r="V494">
        <v>11.64</v>
      </c>
      <c r="W494">
        <v>1.74</v>
      </c>
      <c r="X494" s="1">
        <v>43363</v>
      </c>
    </row>
    <row r="495" spans="1:24" x14ac:dyDescent="0.25">
      <c r="A495" t="s">
        <v>264</v>
      </c>
      <c r="B495">
        <v>2018</v>
      </c>
      <c r="C495" t="s">
        <v>276</v>
      </c>
      <c r="D495">
        <v>8.1999999999999993</v>
      </c>
      <c r="E495">
        <v>7.8</v>
      </c>
      <c r="F495">
        <v>20</v>
      </c>
      <c r="G495">
        <v>1596</v>
      </c>
      <c r="H495">
        <v>1402</v>
      </c>
      <c r="I495">
        <v>5240</v>
      </c>
      <c r="J495">
        <v>36</v>
      </c>
      <c r="K495">
        <v>3.29</v>
      </c>
      <c r="L495">
        <v>2.2200000000000002</v>
      </c>
      <c r="M495">
        <v>300</v>
      </c>
      <c r="N495">
        <v>76</v>
      </c>
      <c r="O495">
        <v>4.8499999999999996</v>
      </c>
      <c r="P495">
        <v>22.58</v>
      </c>
      <c r="Q495">
        <v>9.0500000000000007</v>
      </c>
      <c r="R495">
        <v>25.86</v>
      </c>
      <c r="S495">
        <v>57.99</v>
      </c>
      <c r="T495">
        <v>7.08</v>
      </c>
      <c r="U495">
        <v>1.47</v>
      </c>
      <c r="V495">
        <v>3.61</v>
      </c>
      <c r="W495">
        <v>1.52</v>
      </c>
      <c r="X495" s="1">
        <v>43369</v>
      </c>
    </row>
    <row r="496" spans="1:24" x14ac:dyDescent="0.25">
      <c r="A496" t="s">
        <v>242</v>
      </c>
      <c r="B496">
        <v>2018</v>
      </c>
      <c r="C496" t="s">
        <v>276</v>
      </c>
      <c r="D496">
        <v>8.1999999999999993</v>
      </c>
      <c r="E496">
        <v>7.75</v>
      </c>
      <c r="F496">
        <v>26</v>
      </c>
      <c r="G496">
        <v>1426</v>
      </c>
      <c r="H496">
        <v>1331</v>
      </c>
      <c r="I496">
        <v>5766</v>
      </c>
      <c r="J496">
        <v>35</v>
      </c>
      <c r="K496">
        <v>3.85</v>
      </c>
      <c r="L496">
        <v>2.52</v>
      </c>
      <c r="M496">
        <v>318</v>
      </c>
      <c r="N496">
        <v>74</v>
      </c>
      <c r="O496">
        <v>5.63</v>
      </c>
      <c r="P496">
        <v>23.78</v>
      </c>
      <c r="Q496">
        <v>7.68</v>
      </c>
      <c r="R496">
        <v>23.31</v>
      </c>
      <c r="S496">
        <v>60.59</v>
      </c>
      <c r="T496">
        <v>8.4</v>
      </c>
      <c r="U496">
        <v>1.38</v>
      </c>
      <c r="V496">
        <v>3.87</v>
      </c>
      <c r="W496">
        <v>1.68</v>
      </c>
      <c r="X496" s="1">
        <v>43369</v>
      </c>
    </row>
    <row r="497" spans="1:24" x14ac:dyDescent="0.25">
      <c r="A497" t="s">
        <v>243</v>
      </c>
      <c r="B497">
        <v>2018</v>
      </c>
      <c r="C497" t="s">
        <v>276</v>
      </c>
      <c r="D497">
        <v>8.4</v>
      </c>
      <c r="E497">
        <v>7.75</v>
      </c>
      <c r="F497">
        <v>20</v>
      </c>
      <c r="G497">
        <v>1357</v>
      </c>
      <c r="H497">
        <v>1260</v>
      </c>
      <c r="I497">
        <v>5214</v>
      </c>
      <c r="J497">
        <v>35</v>
      </c>
      <c r="K497">
        <v>3.57</v>
      </c>
      <c r="L497">
        <v>2.25</v>
      </c>
      <c r="M497">
        <v>257</v>
      </c>
      <c r="N497">
        <v>77</v>
      </c>
      <c r="O497">
        <v>4.74</v>
      </c>
      <c r="P497">
        <v>22.02</v>
      </c>
      <c r="Q497">
        <v>7.89</v>
      </c>
      <c r="R497">
        <v>23.83</v>
      </c>
      <c r="S497">
        <v>59.18</v>
      </c>
      <c r="T497">
        <v>9.08</v>
      </c>
      <c r="U497">
        <v>1.49</v>
      </c>
      <c r="V497">
        <v>4.8</v>
      </c>
      <c r="W497">
        <v>2</v>
      </c>
      <c r="X497" s="1">
        <v>43369</v>
      </c>
    </row>
    <row r="498" spans="1:24" x14ac:dyDescent="0.25">
      <c r="A498" t="s">
        <v>244</v>
      </c>
      <c r="B498">
        <v>2018</v>
      </c>
      <c r="C498" t="s">
        <v>276</v>
      </c>
      <c r="D498">
        <v>8.1</v>
      </c>
      <c r="E498">
        <v>7.8</v>
      </c>
      <c r="F498">
        <v>22</v>
      </c>
      <c r="G498">
        <v>1232</v>
      </c>
      <c r="H498">
        <v>1235</v>
      </c>
      <c r="I498">
        <v>5191</v>
      </c>
      <c r="J498">
        <v>61</v>
      </c>
      <c r="K498">
        <v>3.38</v>
      </c>
      <c r="L498">
        <v>2.74</v>
      </c>
      <c r="M498">
        <v>240</v>
      </c>
      <c r="N498">
        <v>70</v>
      </c>
      <c r="O498">
        <v>4.54</v>
      </c>
      <c r="P498">
        <v>21.3</v>
      </c>
      <c r="Q498">
        <v>7.41</v>
      </c>
      <c r="R498">
        <v>24.15</v>
      </c>
      <c r="S498">
        <v>60.91</v>
      </c>
      <c r="T498">
        <v>7.51</v>
      </c>
      <c r="U498">
        <v>1.49</v>
      </c>
      <c r="V498">
        <v>11.47</v>
      </c>
      <c r="W498">
        <v>1.45</v>
      </c>
      <c r="X498" s="1">
        <v>43369</v>
      </c>
    </row>
    <row r="499" spans="1:24" x14ac:dyDescent="0.25">
      <c r="A499" t="s">
        <v>245</v>
      </c>
      <c r="B499">
        <v>2018</v>
      </c>
      <c r="C499" t="s">
        <v>275</v>
      </c>
      <c r="D499">
        <v>8.5</v>
      </c>
      <c r="E499">
        <v>7.8</v>
      </c>
      <c r="F499">
        <v>12</v>
      </c>
      <c r="G499">
        <v>1182</v>
      </c>
      <c r="H499">
        <v>1791</v>
      </c>
      <c r="I499">
        <v>10234</v>
      </c>
      <c r="J499">
        <v>43</v>
      </c>
      <c r="K499">
        <v>5.09</v>
      </c>
      <c r="L499">
        <v>2.6</v>
      </c>
      <c r="M499">
        <v>224</v>
      </c>
      <c r="N499">
        <v>77</v>
      </c>
      <c r="O499">
        <v>5.93</v>
      </c>
      <c r="P499">
        <v>36.159999999999997</v>
      </c>
      <c r="Q499">
        <v>4.1900000000000004</v>
      </c>
      <c r="R499">
        <v>20.63</v>
      </c>
      <c r="S499">
        <v>70.739999999999995</v>
      </c>
      <c r="T499">
        <v>4.42</v>
      </c>
      <c r="U499">
        <v>1.75</v>
      </c>
      <c r="V499">
        <v>10.96</v>
      </c>
      <c r="W499">
        <v>1.49</v>
      </c>
      <c r="X499" s="1">
        <v>43369</v>
      </c>
    </row>
    <row r="500" spans="1:24" x14ac:dyDescent="0.25">
      <c r="A500" t="s">
        <v>246</v>
      </c>
      <c r="B500">
        <v>2018</v>
      </c>
      <c r="C500" t="s">
        <v>275</v>
      </c>
      <c r="D500">
        <v>8.4</v>
      </c>
      <c r="E500">
        <v>7.7</v>
      </c>
      <c r="F500">
        <v>19</v>
      </c>
      <c r="G500">
        <v>1420</v>
      </c>
      <c r="H500">
        <v>1746</v>
      </c>
      <c r="I500">
        <v>7020</v>
      </c>
      <c r="J500">
        <v>48</v>
      </c>
      <c r="K500">
        <v>4.82</v>
      </c>
      <c r="L500">
        <v>2.7</v>
      </c>
      <c r="M500">
        <v>256</v>
      </c>
      <c r="N500">
        <v>81</v>
      </c>
      <c r="O500">
        <v>5.99</v>
      </c>
      <c r="P500">
        <v>29.04</v>
      </c>
      <c r="Q500">
        <v>6.26</v>
      </c>
      <c r="R500">
        <v>25.04</v>
      </c>
      <c r="S500">
        <v>60.42</v>
      </c>
      <c r="T500">
        <v>8.26</v>
      </c>
      <c r="U500">
        <v>1.68</v>
      </c>
      <c r="V500">
        <v>25.64</v>
      </c>
      <c r="W500">
        <v>1.69</v>
      </c>
      <c r="X500" s="1">
        <v>43369</v>
      </c>
    </row>
    <row r="501" spans="1:24" x14ac:dyDescent="0.25">
      <c r="A501" t="s">
        <v>247</v>
      </c>
      <c r="B501">
        <v>2018</v>
      </c>
      <c r="C501" t="s">
        <v>275</v>
      </c>
      <c r="D501">
        <v>8.5</v>
      </c>
      <c r="E501">
        <v>7.75</v>
      </c>
      <c r="F501">
        <v>29</v>
      </c>
      <c r="G501">
        <v>1164</v>
      </c>
      <c r="H501">
        <v>1406</v>
      </c>
      <c r="I501">
        <v>9730</v>
      </c>
      <c r="J501">
        <v>42</v>
      </c>
      <c r="K501">
        <v>3.89</v>
      </c>
      <c r="L501">
        <v>10.59</v>
      </c>
      <c r="M501">
        <v>270</v>
      </c>
      <c r="N501">
        <v>60</v>
      </c>
      <c r="O501">
        <v>5.3</v>
      </c>
      <c r="P501">
        <v>33.67</v>
      </c>
      <c r="Q501">
        <v>4.43</v>
      </c>
      <c r="R501">
        <v>17.39</v>
      </c>
      <c r="S501">
        <v>72.23</v>
      </c>
      <c r="T501">
        <v>5.93</v>
      </c>
      <c r="U501">
        <v>1.55</v>
      </c>
      <c r="V501">
        <v>7.57</v>
      </c>
      <c r="W501">
        <v>1.61</v>
      </c>
      <c r="X501" s="1">
        <v>43369</v>
      </c>
    </row>
    <row r="502" spans="1:24" x14ac:dyDescent="0.25">
      <c r="A502" t="s">
        <v>248</v>
      </c>
      <c r="B502">
        <v>2018</v>
      </c>
      <c r="C502" t="s">
        <v>275</v>
      </c>
      <c r="D502">
        <v>7.9</v>
      </c>
      <c r="E502">
        <v>7.75</v>
      </c>
      <c r="F502">
        <v>32</v>
      </c>
      <c r="G502">
        <v>1329</v>
      </c>
      <c r="H502">
        <v>1684</v>
      </c>
      <c r="I502">
        <v>6335</v>
      </c>
      <c r="J502">
        <v>49</v>
      </c>
      <c r="K502">
        <v>4.51</v>
      </c>
      <c r="L502">
        <v>4.8600000000000003</v>
      </c>
      <c r="M502">
        <v>287</v>
      </c>
      <c r="N502">
        <v>74</v>
      </c>
      <c r="O502">
        <v>5.8</v>
      </c>
      <c r="P502">
        <v>26.55</v>
      </c>
      <c r="Q502">
        <v>6.41</v>
      </c>
      <c r="R502">
        <v>26.42</v>
      </c>
      <c r="S502">
        <v>59.63</v>
      </c>
      <c r="T502">
        <v>7.53</v>
      </c>
      <c r="U502">
        <v>1.74</v>
      </c>
      <c r="V502">
        <v>51.94</v>
      </c>
      <c r="W502">
        <v>1.45</v>
      </c>
      <c r="X502" s="1">
        <v>43369</v>
      </c>
    </row>
    <row r="503" spans="1:24" x14ac:dyDescent="0.25">
      <c r="A503" t="s">
        <v>250</v>
      </c>
      <c r="B503">
        <v>2018</v>
      </c>
      <c r="C503" t="s">
        <v>276</v>
      </c>
      <c r="D503">
        <v>8.6999999999999993</v>
      </c>
      <c r="E503">
        <v>7.85</v>
      </c>
      <c r="F503">
        <v>125</v>
      </c>
      <c r="G503">
        <v>1431</v>
      </c>
      <c r="H503">
        <v>1039</v>
      </c>
      <c r="I503">
        <v>7523</v>
      </c>
      <c r="J503">
        <v>24</v>
      </c>
      <c r="K503">
        <v>4.42</v>
      </c>
      <c r="L503">
        <v>8.6</v>
      </c>
      <c r="M503">
        <v>122</v>
      </c>
      <c r="N503">
        <v>72</v>
      </c>
      <c r="O503">
        <v>2.2599999999999998</v>
      </c>
      <c r="P503">
        <v>26.17</v>
      </c>
      <c r="Q503">
        <v>7.01</v>
      </c>
      <c r="R503">
        <v>16.54</v>
      </c>
      <c r="S503">
        <v>71.86</v>
      </c>
      <c r="T503">
        <v>4.58</v>
      </c>
      <c r="U503">
        <v>0.78</v>
      </c>
      <c r="V503">
        <v>10.32</v>
      </c>
      <c r="W503">
        <v>0.95</v>
      </c>
      <c r="X503" s="1">
        <v>43623</v>
      </c>
    </row>
    <row r="504" spans="1:24" x14ac:dyDescent="0.25">
      <c r="A504" t="s">
        <v>251</v>
      </c>
      <c r="B504">
        <v>2018</v>
      </c>
      <c r="C504" t="s">
        <v>276</v>
      </c>
      <c r="D504">
        <v>8.6</v>
      </c>
      <c r="E504">
        <v>7.85</v>
      </c>
      <c r="F504">
        <v>182</v>
      </c>
      <c r="G504">
        <v>1355</v>
      </c>
      <c r="H504">
        <v>917</v>
      </c>
      <c r="I504">
        <v>9123</v>
      </c>
      <c r="J504">
        <v>27</v>
      </c>
      <c r="K504">
        <v>3.95</v>
      </c>
      <c r="L504">
        <v>7.53</v>
      </c>
      <c r="M504">
        <v>126</v>
      </c>
      <c r="N504">
        <v>59</v>
      </c>
      <c r="O504">
        <v>2.52</v>
      </c>
      <c r="P504">
        <v>29.56</v>
      </c>
      <c r="Q504">
        <v>5.87</v>
      </c>
      <c r="R504">
        <v>12.92</v>
      </c>
      <c r="S504">
        <v>77.14</v>
      </c>
      <c r="T504">
        <v>4.05</v>
      </c>
      <c r="U504">
        <v>0.76</v>
      </c>
      <c r="V504">
        <v>10.34</v>
      </c>
      <c r="W504">
        <v>1.51</v>
      </c>
      <c r="X504" s="1">
        <v>43623</v>
      </c>
    </row>
    <row r="505" spans="1:24" x14ac:dyDescent="0.25">
      <c r="A505" t="s">
        <v>252</v>
      </c>
      <c r="B505">
        <v>2018</v>
      </c>
      <c r="C505" t="s">
        <v>276</v>
      </c>
      <c r="D505">
        <v>8.3000000000000007</v>
      </c>
      <c r="E505">
        <v>7.85</v>
      </c>
      <c r="F505">
        <v>142</v>
      </c>
      <c r="G505">
        <v>1515</v>
      </c>
      <c r="H505">
        <v>1005</v>
      </c>
      <c r="I505">
        <v>3657</v>
      </c>
      <c r="J505">
        <v>24</v>
      </c>
      <c r="K505">
        <v>4.05</v>
      </c>
      <c r="L505">
        <v>9.49</v>
      </c>
      <c r="M505">
        <v>153</v>
      </c>
      <c r="N505">
        <v>78</v>
      </c>
      <c r="O505">
        <v>2.87</v>
      </c>
      <c r="P505">
        <v>16.47</v>
      </c>
      <c r="Q505">
        <v>11.79</v>
      </c>
      <c r="R505">
        <v>25.42</v>
      </c>
      <c r="S505">
        <v>55.5</v>
      </c>
      <c r="T505">
        <v>7.28</v>
      </c>
      <c r="U505">
        <v>0.87</v>
      </c>
      <c r="V505">
        <v>20.9</v>
      </c>
      <c r="W505">
        <v>1.21</v>
      </c>
      <c r="X505" s="1">
        <v>43623</v>
      </c>
    </row>
    <row r="506" spans="1:24" x14ac:dyDescent="0.25">
      <c r="A506" t="s">
        <v>254</v>
      </c>
      <c r="B506">
        <v>2018</v>
      </c>
      <c r="C506" t="s">
        <v>279</v>
      </c>
      <c r="D506">
        <v>8</v>
      </c>
      <c r="E506">
        <v>7.9</v>
      </c>
      <c r="F506">
        <v>244</v>
      </c>
      <c r="G506">
        <v>1448</v>
      </c>
      <c r="H506">
        <v>742</v>
      </c>
      <c r="I506">
        <v>3342</v>
      </c>
      <c r="J506">
        <v>31</v>
      </c>
      <c r="K506">
        <v>4</v>
      </c>
      <c r="L506">
        <v>11.71</v>
      </c>
      <c r="M506">
        <v>153</v>
      </c>
      <c r="N506">
        <v>96</v>
      </c>
      <c r="O506">
        <v>2.2400000000000002</v>
      </c>
      <c r="P506">
        <v>14.1</v>
      </c>
      <c r="Q506">
        <v>13.16</v>
      </c>
      <c r="R506">
        <v>21.92</v>
      </c>
      <c r="S506">
        <v>59.24</v>
      </c>
      <c r="T506">
        <v>5.67</v>
      </c>
      <c r="U506">
        <v>0.9</v>
      </c>
      <c r="V506">
        <v>13.94</v>
      </c>
      <c r="W506">
        <v>1.1299999999999999</v>
      </c>
      <c r="X506" s="1">
        <v>43623</v>
      </c>
    </row>
    <row r="507" spans="1:24" x14ac:dyDescent="0.25">
      <c r="A507" t="s">
        <v>255</v>
      </c>
      <c r="B507">
        <v>2018</v>
      </c>
      <c r="C507" t="s">
        <v>279</v>
      </c>
      <c r="D507">
        <v>8.1999999999999993</v>
      </c>
      <c r="E507">
        <v>7.85</v>
      </c>
      <c r="F507">
        <v>247</v>
      </c>
      <c r="G507">
        <v>1167</v>
      </c>
      <c r="H507">
        <v>652</v>
      </c>
      <c r="I507">
        <v>3149</v>
      </c>
      <c r="J507">
        <v>21</v>
      </c>
      <c r="K507">
        <v>2.67</v>
      </c>
      <c r="L507">
        <v>13.64</v>
      </c>
      <c r="M507">
        <v>197</v>
      </c>
      <c r="N507">
        <v>113</v>
      </c>
      <c r="O507">
        <v>2.77</v>
      </c>
      <c r="P507">
        <v>13.28</v>
      </c>
      <c r="Q507">
        <v>11.26</v>
      </c>
      <c r="R507">
        <v>20.440000000000001</v>
      </c>
      <c r="S507">
        <v>59.25</v>
      </c>
      <c r="T507">
        <v>9.0299999999999994</v>
      </c>
      <c r="U507">
        <v>0.82</v>
      </c>
      <c r="V507">
        <v>7.25</v>
      </c>
      <c r="W507">
        <v>1.47</v>
      </c>
      <c r="X507" s="1">
        <v>43623</v>
      </c>
    </row>
    <row r="508" spans="1:24" x14ac:dyDescent="0.25">
      <c r="A508" t="s">
        <v>256</v>
      </c>
      <c r="B508">
        <v>2018</v>
      </c>
      <c r="C508" t="s">
        <v>279</v>
      </c>
      <c r="D508">
        <v>8</v>
      </c>
      <c r="E508">
        <v>7.9</v>
      </c>
      <c r="F508">
        <v>308</v>
      </c>
      <c r="G508">
        <v>1791</v>
      </c>
      <c r="H508">
        <v>640</v>
      </c>
      <c r="I508">
        <v>3174</v>
      </c>
      <c r="J508">
        <v>36</v>
      </c>
      <c r="K508">
        <v>3.76</v>
      </c>
      <c r="L508">
        <v>15.41</v>
      </c>
      <c r="M508">
        <v>190</v>
      </c>
      <c r="N508">
        <v>103</v>
      </c>
      <c r="O508">
        <v>2.5099999999999998</v>
      </c>
      <c r="P508">
        <v>13.69</v>
      </c>
      <c r="Q508">
        <v>16.760000000000002</v>
      </c>
      <c r="R508">
        <v>19.46</v>
      </c>
      <c r="S508">
        <v>57.92</v>
      </c>
      <c r="T508">
        <v>5.84</v>
      </c>
      <c r="U508">
        <v>0.84</v>
      </c>
      <c r="V508">
        <v>20.399999999999999</v>
      </c>
      <c r="W508">
        <v>0.82</v>
      </c>
      <c r="X508" s="1">
        <v>43623</v>
      </c>
    </row>
    <row r="509" spans="1:24" x14ac:dyDescent="0.25">
      <c r="A509" t="s">
        <v>258</v>
      </c>
      <c r="B509">
        <v>2018</v>
      </c>
      <c r="C509" t="s">
        <v>279</v>
      </c>
      <c r="D509">
        <v>8.6999999999999993</v>
      </c>
      <c r="E509">
        <v>7.9</v>
      </c>
      <c r="F509">
        <v>200</v>
      </c>
      <c r="G509">
        <v>1189</v>
      </c>
      <c r="H509">
        <v>1172</v>
      </c>
      <c r="I509">
        <v>2596</v>
      </c>
      <c r="J509">
        <v>24</v>
      </c>
      <c r="K509">
        <v>4.92</v>
      </c>
      <c r="L509">
        <v>11.93</v>
      </c>
      <c r="M509">
        <v>188</v>
      </c>
      <c r="N509">
        <v>82</v>
      </c>
      <c r="O509">
        <v>3.48</v>
      </c>
      <c r="P509">
        <v>13.69</v>
      </c>
      <c r="Q509">
        <v>11.12</v>
      </c>
      <c r="R509">
        <v>35.65</v>
      </c>
      <c r="S509">
        <v>47.38</v>
      </c>
      <c r="T509">
        <v>5.84</v>
      </c>
      <c r="U509">
        <v>0.74</v>
      </c>
      <c r="V509">
        <v>7.89</v>
      </c>
      <c r="W509">
        <v>1.54</v>
      </c>
      <c r="X509" s="1">
        <v>43623</v>
      </c>
    </row>
    <row r="510" spans="1:24" x14ac:dyDescent="0.25">
      <c r="A510" t="s">
        <v>259</v>
      </c>
      <c r="B510">
        <v>2018</v>
      </c>
      <c r="C510" t="s">
        <v>279</v>
      </c>
      <c r="D510">
        <v>8</v>
      </c>
      <c r="E510">
        <v>7.9</v>
      </c>
      <c r="F510">
        <v>167</v>
      </c>
      <c r="G510">
        <v>869</v>
      </c>
      <c r="H510">
        <v>1176</v>
      </c>
      <c r="I510">
        <v>2328</v>
      </c>
      <c r="J510">
        <v>18</v>
      </c>
      <c r="K510">
        <v>4.1399999999999997</v>
      </c>
      <c r="L510">
        <v>10.9</v>
      </c>
      <c r="M510">
        <v>182</v>
      </c>
      <c r="N510">
        <v>84</v>
      </c>
      <c r="O510">
        <v>2.89</v>
      </c>
      <c r="P510">
        <v>12.63</v>
      </c>
      <c r="Q510">
        <v>8.81</v>
      </c>
      <c r="R510">
        <v>38.78</v>
      </c>
      <c r="S510">
        <v>46.06</v>
      </c>
      <c r="T510">
        <v>6.33</v>
      </c>
      <c r="U510">
        <v>0.59</v>
      </c>
      <c r="V510">
        <v>5.04</v>
      </c>
      <c r="W510">
        <v>1.29</v>
      </c>
      <c r="X510" s="1">
        <v>43623</v>
      </c>
    </row>
    <row r="511" spans="1:24" x14ac:dyDescent="0.25">
      <c r="A511" t="s">
        <v>260</v>
      </c>
      <c r="B511">
        <v>2018</v>
      </c>
      <c r="C511" t="s">
        <v>279</v>
      </c>
      <c r="D511">
        <v>8.5</v>
      </c>
      <c r="E511">
        <v>7.85</v>
      </c>
      <c r="F511">
        <v>224</v>
      </c>
      <c r="G511">
        <v>1148</v>
      </c>
      <c r="H511">
        <v>1471</v>
      </c>
      <c r="I511">
        <v>2700</v>
      </c>
      <c r="J511">
        <v>34</v>
      </c>
      <c r="K511">
        <v>6.66</v>
      </c>
      <c r="L511">
        <v>12.53</v>
      </c>
      <c r="M511">
        <v>205</v>
      </c>
      <c r="N511">
        <v>79</v>
      </c>
      <c r="O511">
        <v>3.3</v>
      </c>
      <c r="P511">
        <v>15.55</v>
      </c>
      <c r="Q511">
        <v>9.4600000000000009</v>
      </c>
      <c r="R511">
        <v>39.409999999999997</v>
      </c>
      <c r="S511">
        <v>43.4</v>
      </c>
      <c r="T511">
        <v>7.71</v>
      </c>
      <c r="U511">
        <v>0.78</v>
      </c>
      <c r="V511">
        <v>18.16</v>
      </c>
      <c r="W511">
        <v>1.26</v>
      </c>
      <c r="X511" s="1">
        <v>43623</v>
      </c>
    </row>
    <row r="512" spans="1:24" x14ac:dyDescent="0.25">
      <c r="A512" t="s">
        <v>208</v>
      </c>
      <c r="B512">
        <v>2018</v>
      </c>
      <c r="C512" t="s">
        <v>280</v>
      </c>
      <c r="D512">
        <v>9</v>
      </c>
      <c r="E512">
        <v>7.9</v>
      </c>
      <c r="F512">
        <v>40</v>
      </c>
      <c r="G512">
        <v>677</v>
      </c>
      <c r="H512">
        <v>607</v>
      </c>
      <c r="I512">
        <v>7937</v>
      </c>
      <c r="J512">
        <v>17</v>
      </c>
      <c r="K512">
        <v>2.2799999999999998</v>
      </c>
      <c r="L512">
        <v>14.03</v>
      </c>
      <c r="M512">
        <v>73</v>
      </c>
      <c r="N512">
        <v>58</v>
      </c>
      <c r="O512">
        <v>2.17</v>
      </c>
      <c r="P512">
        <v>24.03</v>
      </c>
      <c r="Q512">
        <v>3.61</v>
      </c>
      <c r="R512">
        <v>10.52</v>
      </c>
      <c r="S512">
        <v>82.54</v>
      </c>
      <c r="T512">
        <v>3.32</v>
      </c>
      <c r="U512">
        <v>0.43</v>
      </c>
      <c r="V512">
        <v>5.09</v>
      </c>
      <c r="W512">
        <v>0.83</v>
      </c>
      <c r="X512" s="1">
        <v>43626</v>
      </c>
    </row>
    <row r="513" spans="1:24" x14ac:dyDescent="0.25">
      <c r="A513" t="s">
        <v>209</v>
      </c>
      <c r="B513">
        <v>2018</v>
      </c>
      <c r="C513" t="s">
        <v>280</v>
      </c>
      <c r="D513">
        <v>8.5</v>
      </c>
      <c r="E513">
        <v>7.9</v>
      </c>
      <c r="F513">
        <v>96</v>
      </c>
      <c r="G513">
        <v>1062</v>
      </c>
      <c r="H513">
        <v>783</v>
      </c>
      <c r="I513">
        <v>5236</v>
      </c>
      <c r="J513">
        <v>25</v>
      </c>
      <c r="K513">
        <v>4.28</v>
      </c>
      <c r="L513">
        <v>13.48</v>
      </c>
      <c r="M513">
        <v>104</v>
      </c>
      <c r="N513">
        <v>75</v>
      </c>
      <c r="O513">
        <v>2.4900000000000002</v>
      </c>
      <c r="P513">
        <v>18.510000000000002</v>
      </c>
      <c r="Q513">
        <v>7.35</v>
      </c>
      <c r="R513">
        <v>17.62</v>
      </c>
      <c r="S513">
        <v>70.7</v>
      </c>
      <c r="T513">
        <v>4.32</v>
      </c>
      <c r="U513">
        <v>0.6</v>
      </c>
      <c r="V513">
        <v>6.67</v>
      </c>
      <c r="W513">
        <v>1.17</v>
      </c>
      <c r="X513" s="1">
        <v>43626</v>
      </c>
    </row>
    <row r="514" spans="1:24" x14ac:dyDescent="0.25">
      <c r="A514" t="s">
        <v>210</v>
      </c>
      <c r="B514">
        <v>2018</v>
      </c>
      <c r="C514" t="s">
        <v>280</v>
      </c>
      <c r="D514">
        <v>8.8000000000000007</v>
      </c>
      <c r="E514">
        <v>7.9</v>
      </c>
      <c r="F514">
        <v>81</v>
      </c>
      <c r="G514">
        <v>1080</v>
      </c>
      <c r="H514">
        <v>730</v>
      </c>
      <c r="I514">
        <v>2149</v>
      </c>
      <c r="J514">
        <v>16</v>
      </c>
      <c r="K514">
        <v>2.65</v>
      </c>
      <c r="L514">
        <v>6.61</v>
      </c>
      <c r="M514">
        <v>101</v>
      </c>
      <c r="N514">
        <v>87</v>
      </c>
      <c r="O514">
        <v>2.38</v>
      </c>
      <c r="P514">
        <v>10.59</v>
      </c>
      <c r="Q514">
        <v>13.06</v>
      </c>
      <c r="R514">
        <v>28.69</v>
      </c>
      <c r="S514">
        <v>50.68</v>
      </c>
      <c r="T514">
        <v>7.54</v>
      </c>
      <c r="U514">
        <v>0.53</v>
      </c>
      <c r="V514">
        <v>5.4</v>
      </c>
      <c r="W514">
        <v>1.85</v>
      </c>
      <c r="X514" s="1">
        <v>43626</v>
      </c>
    </row>
    <row r="515" spans="1:24" x14ac:dyDescent="0.25">
      <c r="A515" t="s">
        <v>212</v>
      </c>
      <c r="B515">
        <v>2018</v>
      </c>
      <c r="C515" t="s">
        <v>278</v>
      </c>
      <c r="D515">
        <v>8.1</v>
      </c>
      <c r="E515">
        <v>7.9</v>
      </c>
      <c r="F515">
        <v>39</v>
      </c>
      <c r="G515">
        <v>1142</v>
      </c>
      <c r="H515">
        <v>721</v>
      </c>
      <c r="I515">
        <v>1863</v>
      </c>
      <c r="J515">
        <v>13</v>
      </c>
      <c r="K515">
        <v>2.87</v>
      </c>
      <c r="L515">
        <v>3.34</v>
      </c>
      <c r="M515">
        <v>109</v>
      </c>
      <c r="N515">
        <v>76</v>
      </c>
      <c r="O515">
        <v>2.04</v>
      </c>
      <c r="P515">
        <v>9.92</v>
      </c>
      <c r="Q515">
        <v>14.75</v>
      </c>
      <c r="R515">
        <v>30.26</v>
      </c>
      <c r="S515">
        <v>46.92</v>
      </c>
      <c r="T515">
        <v>8.0500000000000007</v>
      </c>
      <c r="U515">
        <v>0.39</v>
      </c>
      <c r="V515">
        <v>2.61</v>
      </c>
      <c r="W515">
        <v>1.37</v>
      </c>
      <c r="X515" s="1">
        <v>43626</v>
      </c>
    </row>
    <row r="516" spans="1:24" x14ac:dyDescent="0.25">
      <c r="A516" t="s">
        <v>262</v>
      </c>
      <c r="B516">
        <v>2018</v>
      </c>
      <c r="C516" t="s">
        <v>278</v>
      </c>
      <c r="D516">
        <v>8.6</v>
      </c>
      <c r="E516">
        <v>7.85</v>
      </c>
      <c r="F516">
        <v>70</v>
      </c>
      <c r="G516">
        <v>1039</v>
      </c>
      <c r="H516">
        <v>662</v>
      </c>
      <c r="I516">
        <v>2310</v>
      </c>
      <c r="J516">
        <v>15</v>
      </c>
      <c r="K516">
        <v>2.4900000000000002</v>
      </c>
      <c r="L516">
        <v>2.68</v>
      </c>
      <c r="M516">
        <v>110</v>
      </c>
      <c r="N516">
        <v>77</v>
      </c>
      <c r="O516">
        <v>1.96</v>
      </c>
      <c r="P516">
        <v>11.06</v>
      </c>
      <c r="Q516">
        <v>12.03</v>
      </c>
      <c r="R516">
        <v>24.92</v>
      </c>
      <c r="S516">
        <v>52.18</v>
      </c>
      <c r="T516">
        <v>10.84</v>
      </c>
      <c r="U516">
        <v>0.47</v>
      </c>
      <c r="V516">
        <v>2.77</v>
      </c>
      <c r="W516">
        <v>1.25</v>
      </c>
      <c r="X516" s="1">
        <v>43626</v>
      </c>
    </row>
    <row r="517" spans="1:24" x14ac:dyDescent="0.25">
      <c r="A517" t="s">
        <v>213</v>
      </c>
      <c r="B517">
        <v>2018</v>
      </c>
      <c r="C517" t="s">
        <v>278</v>
      </c>
      <c r="D517">
        <v>8.4</v>
      </c>
      <c r="E517">
        <v>7.85</v>
      </c>
      <c r="F517">
        <v>42</v>
      </c>
      <c r="G517">
        <v>1233</v>
      </c>
      <c r="H517">
        <v>823</v>
      </c>
      <c r="I517">
        <v>2904</v>
      </c>
      <c r="J517">
        <v>14</v>
      </c>
      <c r="K517">
        <v>3.48</v>
      </c>
      <c r="L517">
        <v>3.26</v>
      </c>
      <c r="M517">
        <v>130</v>
      </c>
      <c r="N517">
        <v>74</v>
      </c>
      <c r="O517">
        <v>2.46</v>
      </c>
      <c r="P517">
        <v>13.46</v>
      </c>
      <c r="Q517">
        <v>11.73</v>
      </c>
      <c r="R517">
        <v>25.45</v>
      </c>
      <c r="S517">
        <v>53.89</v>
      </c>
      <c r="T517">
        <v>8.9</v>
      </c>
      <c r="U517">
        <v>0.56999999999999995</v>
      </c>
      <c r="V517">
        <v>3.74</v>
      </c>
      <c r="W517">
        <v>1.41</v>
      </c>
      <c r="X517" s="1">
        <v>43626</v>
      </c>
    </row>
    <row r="518" spans="1:24" x14ac:dyDescent="0.25">
      <c r="A518" t="s">
        <v>215</v>
      </c>
      <c r="B518">
        <v>2018</v>
      </c>
      <c r="C518" t="s">
        <v>278</v>
      </c>
      <c r="D518">
        <v>9.1</v>
      </c>
      <c r="E518">
        <v>7.9</v>
      </c>
      <c r="F518">
        <v>41</v>
      </c>
      <c r="G518">
        <v>385</v>
      </c>
      <c r="H518">
        <v>217</v>
      </c>
      <c r="I518">
        <v>8495</v>
      </c>
      <c r="J518">
        <v>13</v>
      </c>
      <c r="K518">
        <v>0.77</v>
      </c>
      <c r="L518">
        <v>6.43</v>
      </c>
      <c r="M518">
        <v>65</v>
      </c>
      <c r="N518">
        <v>51</v>
      </c>
      <c r="O518">
        <v>1.47</v>
      </c>
      <c r="P518">
        <v>23.43</v>
      </c>
      <c r="Q518">
        <v>2.1</v>
      </c>
      <c r="R518">
        <v>3.85</v>
      </c>
      <c r="S518">
        <v>90.62</v>
      </c>
      <c r="T518">
        <v>3.41</v>
      </c>
      <c r="U518">
        <v>0.32</v>
      </c>
      <c r="V518">
        <v>2.19</v>
      </c>
      <c r="W518">
        <v>1.69</v>
      </c>
      <c r="X518" s="1">
        <v>43626</v>
      </c>
    </row>
    <row r="519" spans="1:24" x14ac:dyDescent="0.25">
      <c r="A519" t="s">
        <v>216</v>
      </c>
      <c r="B519">
        <v>2018</v>
      </c>
      <c r="C519" t="s">
        <v>278</v>
      </c>
      <c r="D519">
        <v>8.1</v>
      </c>
      <c r="E519">
        <v>7.9</v>
      </c>
      <c r="F519">
        <v>32</v>
      </c>
      <c r="G519">
        <v>381</v>
      </c>
      <c r="H519">
        <v>226</v>
      </c>
      <c r="I519">
        <v>7751</v>
      </c>
      <c r="J519">
        <v>14</v>
      </c>
      <c r="K519">
        <v>0.69</v>
      </c>
      <c r="L519">
        <v>0.59</v>
      </c>
      <c r="M519">
        <v>75</v>
      </c>
      <c r="N519">
        <v>52</v>
      </c>
      <c r="O519">
        <v>1.6</v>
      </c>
      <c r="P519">
        <v>21.6</v>
      </c>
      <c r="Q519">
        <v>2.2599999999999998</v>
      </c>
      <c r="R519">
        <v>4.3499999999999996</v>
      </c>
      <c r="S519">
        <v>89.67</v>
      </c>
      <c r="T519">
        <v>3.7</v>
      </c>
      <c r="U519">
        <v>0.35</v>
      </c>
      <c r="V519">
        <v>1.85</v>
      </c>
      <c r="W519">
        <v>1.74</v>
      </c>
      <c r="X519" s="1">
        <v>43626</v>
      </c>
    </row>
    <row r="520" spans="1:24" x14ac:dyDescent="0.25">
      <c r="A520" t="s">
        <v>217</v>
      </c>
      <c r="B520">
        <v>2018</v>
      </c>
      <c r="C520" t="s">
        <v>278</v>
      </c>
      <c r="D520">
        <v>8.3000000000000007</v>
      </c>
      <c r="E520">
        <v>7.85</v>
      </c>
      <c r="F520">
        <v>44</v>
      </c>
      <c r="G520">
        <v>452</v>
      </c>
      <c r="H520">
        <v>253</v>
      </c>
      <c r="I520">
        <v>5964</v>
      </c>
      <c r="J520">
        <v>11</v>
      </c>
      <c r="K520">
        <v>0.9</v>
      </c>
      <c r="L520">
        <v>1.1200000000000001</v>
      </c>
      <c r="M520">
        <v>104</v>
      </c>
      <c r="N520">
        <v>77</v>
      </c>
      <c r="O520">
        <v>2.14</v>
      </c>
      <c r="P520">
        <v>17.739999999999998</v>
      </c>
      <c r="Q520">
        <v>3.26</v>
      </c>
      <c r="R520">
        <v>5.94</v>
      </c>
      <c r="S520">
        <v>84.03</v>
      </c>
      <c r="T520">
        <v>6.76</v>
      </c>
      <c r="U520">
        <v>0.41</v>
      </c>
      <c r="V520">
        <v>2.27</v>
      </c>
      <c r="W520">
        <v>1.29</v>
      </c>
      <c r="X520" s="1">
        <v>43626</v>
      </c>
    </row>
    <row r="521" spans="1:24" x14ac:dyDescent="0.25">
      <c r="A521" t="s">
        <v>358</v>
      </c>
      <c r="B521">
        <v>2019</v>
      </c>
      <c r="D521">
        <v>8.5</v>
      </c>
      <c r="E521">
        <v>7.85</v>
      </c>
      <c r="F521">
        <v>190</v>
      </c>
      <c r="G521">
        <v>1464</v>
      </c>
      <c r="H521">
        <v>967</v>
      </c>
      <c r="I521">
        <v>6434</v>
      </c>
      <c r="J521">
        <v>29</v>
      </c>
      <c r="K521">
        <v>4.3600000000000003</v>
      </c>
      <c r="L521">
        <v>7.76</v>
      </c>
      <c r="M521">
        <v>133</v>
      </c>
      <c r="N521">
        <v>80</v>
      </c>
      <c r="O521">
        <v>2.83</v>
      </c>
      <c r="P521">
        <v>23.19</v>
      </c>
      <c r="Q521">
        <v>8.09</v>
      </c>
      <c r="R521">
        <v>17.37</v>
      </c>
      <c r="S521">
        <v>69.349999999999994</v>
      </c>
      <c r="T521">
        <v>5.17</v>
      </c>
      <c r="U521">
        <v>0.81</v>
      </c>
      <c r="V521">
        <v>13.21</v>
      </c>
      <c r="W521">
        <v>1.36</v>
      </c>
      <c r="X521" s="1">
        <v>43623</v>
      </c>
    </row>
    <row r="522" spans="1:24" x14ac:dyDescent="0.25">
      <c r="A522" t="s">
        <v>359</v>
      </c>
      <c r="B522">
        <v>2019</v>
      </c>
      <c r="D522">
        <v>8.4</v>
      </c>
      <c r="E522">
        <v>7.85</v>
      </c>
      <c r="F522">
        <v>217</v>
      </c>
      <c r="G522">
        <v>1545</v>
      </c>
      <c r="H522">
        <v>1227</v>
      </c>
      <c r="I522">
        <v>3402</v>
      </c>
      <c r="J522">
        <v>23</v>
      </c>
      <c r="K522">
        <v>4.21</v>
      </c>
      <c r="L522">
        <v>6.59</v>
      </c>
      <c r="M522">
        <v>154</v>
      </c>
      <c r="N522">
        <v>101</v>
      </c>
      <c r="O522">
        <v>3.31</v>
      </c>
      <c r="P522">
        <v>16.79</v>
      </c>
      <c r="Q522">
        <v>11.79</v>
      </c>
      <c r="R522">
        <v>30.43</v>
      </c>
      <c r="S522">
        <v>50.63</v>
      </c>
      <c r="T522">
        <v>7.14</v>
      </c>
      <c r="U522">
        <v>0.78</v>
      </c>
      <c r="V522">
        <v>23.77</v>
      </c>
      <c r="W522">
        <v>1.24</v>
      </c>
      <c r="X522" s="1">
        <v>43623</v>
      </c>
    </row>
    <row r="523" spans="1:24" x14ac:dyDescent="0.25">
      <c r="A523" t="s">
        <v>360</v>
      </c>
      <c r="B523">
        <v>2019</v>
      </c>
      <c r="D523">
        <v>7.7</v>
      </c>
      <c r="E523">
        <v>7.85</v>
      </c>
      <c r="F523">
        <v>167</v>
      </c>
      <c r="G523">
        <v>1584</v>
      </c>
      <c r="H523">
        <v>1081</v>
      </c>
      <c r="I523">
        <v>3478</v>
      </c>
      <c r="J523">
        <v>23</v>
      </c>
      <c r="K523">
        <v>4.3099999999999996</v>
      </c>
      <c r="L523">
        <v>9.2200000000000006</v>
      </c>
      <c r="M523">
        <v>161</v>
      </c>
      <c r="N523">
        <v>92</v>
      </c>
      <c r="O523">
        <v>3.35</v>
      </c>
      <c r="P523">
        <v>16.420000000000002</v>
      </c>
      <c r="Q523">
        <v>12.36</v>
      </c>
      <c r="R523">
        <v>27.41</v>
      </c>
      <c r="S523">
        <v>52.92</v>
      </c>
      <c r="T523">
        <v>7.3</v>
      </c>
      <c r="U523">
        <v>0.99</v>
      </c>
      <c r="V523">
        <v>24.73</v>
      </c>
      <c r="W523">
        <v>1.42</v>
      </c>
      <c r="X523" s="1">
        <v>43623</v>
      </c>
    </row>
    <row r="524" spans="1:24" x14ac:dyDescent="0.25">
      <c r="A524" t="s">
        <v>361</v>
      </c>
      <c r="B524">
        <v>2019</v>
      </c>
      <c r="D524">
        <v>7.8</v>
      </c>
      <c r="E524">
        <v>7.75</v>
      </c>
      <c r="F524">
        <v>93</v>
      </c>
      <c r="G524">
        <v>1541</v>
      </c>
      <c r="H524">
        <v>2019</v>
      </c>
      <c r="I524">
        <v>5607</v>
      </c>
      <c r="J524">
        <v>22</v>
      </c>
      <c r="K524">
        <v>4</v>
      </c>
      <c r="L524">
        <v>9.73</v>
      </c>
      <c r="M524">
        <v>403</v>
      </c>
      <c r="N524">
        <v>65</v>
      </c>
      <c r="O524">
        <v>5.25</v>
      </c>
      <c r="P524">
        <v>26.4</v>
      </c>
      <c r="Q524">
        <v>7.48</v>
      </c>
      <c r="R524">
        <v>31.85</v>
      </c>
      <c r="S524">
        <v>53.08</v>
      </c>
      <c r="T524">
        <v>7.57</v>
      </c>
      <c r="U524">
        <v>2.14</v>
      </c>
      <c r="V524">
        <v>11.72</v>
      </c>
      <c r="W524">
        <v>1.59</v>
      </c>
      <c r="X524" s="1">
        <v>43629</v>
      </c>
    </row>
    <row r="525" spans="1:24" x14ac:dyDescent="0.25">
      <c r="A525" t="s">
        <v>362</v>
      </c>
      <c r="B525">
        <v>2019</v>
      </c>
      <c r="D525">
        <v>7.5</v>
      </c>
      <c r="E525">
        <v>7.7</v>
      </c>
      <c r="F525">
        <v>66</v>
      </c>
      <c r="G525">
        <v>1516</v>
      </c>
      <c r="H525">
        <v>1988</v>
      </c>
      <c r="I525">
        <v>5392</v>
      </c>
      <c r="J525">
        <v>23</v>
      </c>
      <c r="K525">
        <v>3.28</v>
      </c>
      <c r="L525">
        <v>13.79</v>
      </c>
      <c r="M525">
        <v>348</v>
      </c>
      <c r="N525">
        <v>71</v>
      </c>
      <c r="O525">
        <v>4.97</v>
      </c>
      <c r="P525">
        <v>26.1</v>
      </c>
      <c r="Q525">
        <v>7.44</v>
      </c>
      <c r="R525">
        <v>31.72</v>
      </c>
      <c r="S525">
        <v>51.63</v>
      </c>
      <c r="T525">
        <v>9.19</v>
      </c>
      <c r="U525">
        <v>1.88</v>
      </c>
      <c r="V525">
        <v>10.199999999999999</v>
      </c>
      <c r="W525">
        <v>2.88</v>
      </c>
      <c r="X525" s="1">
        <v>43629</v>
      </c>
    </row>
    <row r="526" spans="1:24" x14ac:dyDescent="0.25">
      <c r="A526" t="s">
        <v>363</v>
      </c>
      <c r="B526">
        <v>2019</v>
      </c>
      <c r="D526">
        <v>8</v>
      </c>
      <c r="E526">
        <v>7.7</v>
      </c>
      <c r="F526">
        <v>254</v>
      </c>
      <c r="G526">
        <v>1620</v>
      </c>
      <c r="H526">
        <v>2045</v>
      </c>
      <c r="I526">
        <v>6156</v>
      </c>
      <c r="J526">
        <v>26</v>
      </c>
      <c r="K526">
        <v>4.4800000000000004</v>
      </c>
      <c r="L526">
        <v>17.440000000000001</v>
      </c>
      <c r="M526">
        <v>373</v>
      </c>
      <c r="N526">
        <v>68</v>
      </c>
      <c r="O526">
        <v>5.74</v>
      </c>
      <c r="P526">
        <v>28.38</v>
      </c>
      <c r="Q526">
        <v>7.31</v>
      </c>
      <c r="R526">
        <v>30.01</v>
      </c>
      <c r="S526">
        <v>54.21</v>
      </c>
      <c r="T526">
        <v>8.4499999999999993</v>
      </c>
      <c r="U526">
        <v>2.36</v>
      </c>
      <c r="V526">
        <v>15.72</v>
      </c>
      <c r="W526">
        <v>1.74</v>
      </c>
      <c r="X526" s="1">
        <v>43629</v>
      </c>
    </row>
    <row r="527" spans="1:24" x14ac:dyDescent="0.25">
      <c r="A527" t="s">
        <v>364</v>
      </c>
      <c r="B527">
        <v>2019</v>
      </c>
      <c r="D527">
        <v>7.2</v>
      </c>
      <c r="E527">
        <v>7.65</v>
      </c>
      <c r="F527">
        <v>129</v>
      </c>
      <c r="G527">
        <v>1563</v>
      </c>
      <c r="H527">
        <v>1857</v>
      </c>
      <c r="I527">
        <v>4925</v>
      </c>
      <c r="J527">
        <v>20</v>
      </c>
      <c r="K527">
        <v>3.26</v>
      </c>
      <c r="L527">
        <v>9.09</v>
      </c>
      <c r="M527">
        <v>466</v>
      </c>
      <c r="N527">
        <v>75</v>
      </c>
      <c r="O527">
        <v>5.95</v>
      </c>
      <c r="P527">
        <v>24.85</v>
      </c>
      <c r="Q527">
        <v>8.06</v>
      </c>
      <c r="R527">
        <v>31.13</v>
      </c>
      <c r="S527">
        <v>49.53</v>
      </c>
      <c r="T527">
        <v>11.26</v>
      </c>
      <c r="U527">
        <v>2.2000000000000002</v>
      </c>
      <c r="V527">
        <v>23.8</v>
      </c>
      <c r="W527">
        <v>1.7</v>
      </c>
      <c r="X527" s="1">
        <v>43629</v>
      </c>
    </row>
    <row r="528" spans="1:24" x14ac:dyDescent="0.25">
      <c r="A528" t="s">
        <v>365</v>
      </c>
      <c r="B528">
        <v>2019</v>
      </c>
      <c r="D528">
        <v>7.7</v>
      </c>
      <c r="E528">
        <v>7.7</v>
      </c>
      <c r="F528">
        <v>105</v>
      </c>
      <c r="G528">
        <v>1814</v>
      </c>
      <c r="H528">
        <v>2109</v>
      </c>
      <c r="I528">
        <v>5534</v>
      </c>
      <c r="J528">
        <v>22</v>
      </c>
      <c r="K528">
        <v>3.85</v>
      </c>
      <c r="L528">
        <v>28.09</v>
      </c>
      <c r="M528">
        <v>466</v>
      </c>
      <c r="N528">
        <v>72</v>
      </c>
      <c r="O528">
        <v>6.29</v>
      </c>
      <c r="P528">
        <v>27.34</v>
      </c>
      <c r="Q528">
        <v>8.5</v>
      </c>
      <c r="R528">
        <v>32.130000000000003</v>
      </c>
      <c r="S528">
        <v>50.58</v>
      </c>
      <c r="T528">
        <v>8.77</v>
      </c>
      <c r="U528">
        <v>2.56</v>
      </c>
      <c r="V528">
        <v>16.3</v>
      </c>
      <c r="W528">
        <v>1.83</v>
      </c>
      <c r="X528" s="1">
        <v>43629</v>
      </c>
    </row>
    <row r="529" spans="1:24" x14ac:dyDescent="0.25">
      <c r="A529" t="s">
        <v>366</v>
      </c>
      <c r="B529">
        <v>2019</v>
      </c>
      <c r="D529">
        <v>7.7</v>
      </c>
      <c r="E529">
        <v>7.7</v>
      </c>
      <c r="F529">
        <v>138</v>
      </c>
      <c r="G529">
        <v>1701</v>
      </c>
      <c r="H529">
        <v>1951</v>
      </c>
      <c r="I529">
        <v>5249</v>
      </c>
      <c r="J529">
        <v>25</v>
      </c>
      <c r="K529">
        <v>4.01</v>
      </c>
      <c r="L529">
        <v>24.3</v>
      </c>
      <c r="M529">
        <v>462</v>
      </c>
      <c r="N529">
        <v>71</v>
      </c>
      <c r="O529">
        <v>6.01</v>
      </c>
      <c r="P529">
        <v>25.83</v>
      </c>
      <c r="Q529">
        <v>8.44</v>
      </c>
      <c r="R529">
        <v>31.46</v>
      </c>
      <c r="S529">
        <v>50.79</v>
      </c>
      <c r="T529">
        <v>9.2899999999999991</v>
      </c>
      <c r="U529">
        <v>2.71</v>
      </c>
      <c r="V529">
        <v>15.06</v>
      </c>
      <c r="W529">
        <v>1.8</v>
      </c>
      <c r="X529" s="1">
        <v>43629</v>
      </c>
    </row>
    <row r="530" spans="1:24" x14ac:dyDescent="0.25">
      <c r="A530" t="s">
        <v>367</v>
      </c>
      <c r="B530">
        <v>2019</v>
      </c>
      <c r="D530">
        <v>7.5</v>
      </c>
      <c r="E530">
        <v>7.7</v>
      </c>
      <c r="F530">
        <v>127</v>
      </c>
      <c r="G530">
        <v>1437</v>
      </c>
      <c r="H530">
        <v>1850</v>
      </c>
      <c r="I530">
        <v>4841</v>
      </c>
      <c r="J530">
        <v>19</v>
      </c>
      <c r="K530">
        <v>2.7</v>
      </c>
      <c r="L530">
        <v>17.3</v>
      </c>
      <c r="M530">
        <v>396</v>
      </c>
      <c r="N530">
        <v>108</v>
      </c>
      <c r="O530">
        <v>5.43</v>
      </c>
      <c r="P530">
        <v>24.05</v>
      </c>
      <c r="Q530">
        <v>7.65</v>
      </c>
      <c r="R530">
        <v>32.04</v>
      </c>
      <c r="S530">
        <v>50.31</v>
      </c>
      <c r="T530">
        <v>9.9700000000000006</v>
      </c>
      <c r="U530">
        <v>2.4700000000000002</v>
      </c>
      <c r="V530">
        <v>13.58</v>
      </c>
      <c r="W530">
        <v>1.72</v>
      </c>
      <c r="X530" s="1">
        <v>43629</v>
      </c>
    </row>
    <row r="531" spans="1:24" x14ac:dyDescent="0.25">
      <c r="A531" t="s">
        <v>368</v>
      </c>
      <c r="B531">
        <v>2019</v>
      </c>
      <c r="D531">
        <v>7.2</v>
      </c>
      <c r="E531">
        <v>7.7</v>
      </c>
      <c r="F531">
        <v>121</v>
      </c>
      <c r="G531">
        <v>1483</v>
      </c>
      <c r="H531">
        <v>1572</v>
      </c>
      <c r="I531">
        <v>4336</v>
      </c>
      <c r="J531">
        <v>20</v>
      </c>
      <c r="K531">
        <v>2.09</v>
      </c>
      <c r="L531">
        <v>12.58</v>
      </c>
      <c r="M531">
        <v>367</v>
      </c>
      <c r="N531">
        <v>99</v>
      </c>
      <c r="O531">
        <v>4.55</v>
      </c>
      <c r="P531">
        <v>21.69</v>
      </c>
      <c r="Q531">
        <v>8.76</v>
      </c>
      <c r="R531">
        <v>30.19</v>
      </c>
      <c r="S531">
        <v>49.97</v>
      </c>
      <c r="T531">
        <v>11.06</v>
      </c>
      <c r="U531">
        <v>2.3199999999999998</v>
      </c>
      <c r="V531">
        <v>13.3</v>
      </c>
      <c r="W531">
        <v>1.7</v>
      </c>
      <c r="X531" s="1">
        <v>43629</v>
      </c>
    </row>
    <row r="532" spans="1:24" x14ac:dyDescent="0.25">
      <c r="A532" t="s">
        <v>369</v>
      </c>
      <c r="B532">
        <v>2019</v>
      </c>
      <c r="D532">
        <v>7.6</v>
      </c>
      <c r="E532">
        <v>7.7</v>
      </c>
      <c r="F532">
        <v>160</v>
      </c>
      <c r="G532">
        <v>1851</v>
      </c>
      <c r="H532">
        <v>1737</v>
      </c>
      <c r="I532">
        <v>4699</v>
      </c>
      <c r="J532">
        <v>24</v>
      </c>
      <c r="K532">
        <v>3.07</v>
      </c>
      <c r="L532">
        <v>34.04</v>
      </c>
      <c r="M532">
        <v>401</v>
      </c>
      <c r="N532">
        <v>117</v>
      </c>
      <c r="O532">
        <v>5.44</v>
      </c>
      <c r="P532">
        <v>23.75</v>
      </c>
      <c r="Q532">
        <v>9.98</v>
      </c>
      <c r="R532">
        <v>30.46</v>
      </c>
      <c r="S532">
        <v>49.44</v>
      </c>
      <c r="T532">
        <v>10.1</v>
      </c>
      <c r="U532">
        <v>2.75</v>
      </c>
      <c r="V532">
        <v>8.56</v>
      </c>
      <c r="W532">
        <v>2.02</v>
      </c>
      <c r="X532" s="1">
        <v>43629</v>
      </c>
    </row>
    <row r="533" spans="1:24" x14ac:dyDescent="0.25">
      <c r="A533" t="s">
        <v>218</v>
      </c>
      <c r="B533">
        <v>2019</v>
      </c>
      <c r="D533">
        <v>8.1</v>
      </c>
      <c r="E533">
        <v>7.8</v>
      </c>
      <c r="F533">
        <v>118</v>
      </c>
      <c r="G533">
        <v>1278</v>
      </c>
      <c r="H533">
        <v>1448</v>
      </c>
      <c r="I533">
        <v>3870</v>
      </c>
      <c r="J533">
        <v>25</v>
      </c>
      <c r="K533">
        <v>4.4400000000000004</v>
      </c>
      <c r="L533">
        <v>2.6</v>
      </c>
      <c r="M533">
        <v>273</v>
      </c>
      <c r="N533">
        <v>85</v>
      </c>
      <c r="O533">
        <v>4.24</v>
      </c>
      <c r="P533">
        <v>18.940000000000001</v>
      </c>
      <c r="Q533">
        <v>8.64</v>
      </c>
      <c r="R533">
        <v>31.84</v>
      </c>
      <c r="S533">
        <v>51.06</v>
      </c>
      <c r="T533">
        <v>8.44</v>
      </c>
      <c r="U533">
        <v>1.1000000000000001</v>
      </c>
      <c r="V533">
        <v>24.63</v>
      </c>
      <c r="W533">
        <v>1.46</v>
      </c>
      <c r="X533" s="1">
        <v>43630</v>
      </c>
    </row>
    <row r="534" spans="1:24" x14ac:dyDescent="0.25">
      <c r="A534" t="s">
        <v>219</v>
      </c>
      <c r="B534">
        <v>2019</v>
      </c>
      <c r="D534">
        <v>8.1</v>
      </c>
      <c r="E534">
        <v>7.8</v>
      </c>
      <c r="F534">
        <v>96</v>
      </c>
      <c r="G534">
        <v>1087</v>
      </c>
      <c r="H534">
        <v>1426</v>
      </c>
      <c r="I534">
        <v>3591</v>
      </c>
      <c r="J534">
        <v>20</v>
      </c>
      <c r="K534">
        <v>4.3899999999999997</v>
      </c>
      <c r="L534">
        <v>2.29</v>
      </c>
      <c r="M534">
        <v>244</v>
      </c>
      <c r="N534">
        <v>86</v>
      </c>
      <c r="O534">
        <v>3.83</v>
      </c>
      <c r="P534">
        <v>17.91</v>
      </c>
      <c r="Q534">
        <v>7.77</v>
      </c>
      <c r="R534">
        <v>33.17</v>
      </c>
      <c r="S534">
        <v>50.11</v>
      </c>
      <c r="T534">
        <v>8.93</v>
      </c>
      <c r="U534">
        <v>1.05</v>
      </c>
      <c r="V534">
        <v>21.16</v>
      </c>
      <c r="W534">
        <v>1.18</v>
      </c>
      <c r="X534" s="1">
        <v>43630</v>
      </c>
    </row>
    <row r="535" spans="1:24" x14ac:dyDescent="0.25">
      <c r="A535" t="s">
        <v>220</v>
      </c>
      <c r="B535">
        <v>2019</v>
      </c>
      <c r="D535">
        <v>7.8</v>
      </c>
      <c r="E535">
        <v>7.8</v>
      </c>
      <c r="F535">
        <v>95</v>
      </c>
      <c r="G535">
        <v>1147</v>
      </c>
      <c r="H535">
        <v>1347</v>
      </c>
      <c r="I535">
        <v>3292</v>
      </c>
      <c r="J535">
        <v>22</v>
      </c>
      <c r="K535">
        <v>3.43</v>
      </c>
      <c r="L535">
        <v>2.5099999999999998</v>
      </c>
      <c r="M535">
        <v>260</v>
      </c>
      <c r="N535">
        <v>85</v>
      </c>
      <c r="O535">
        <v>3.83</v>
      </c>
      <c r="P535">
        <v>16.91</v>
      </c>
      <c r="Q535">
        <v>8.69</v>
      </c>
      <c r="R535">
        <v>33.18</v>
      </c>
      <c r="S535">
        <v>48.66</v>
      </c>
      <c r="T535">
        <v>9.4600000000000009</v>
      </c>
      <c r="U535">
        <v>0.98</v>
      </c>
      <c r="V535">
        <v>18.899999999999999</v>
      </c>
      <c r="W535">
        <v>1.43</v>
      </c>
      <c r="X535" s="1">
        <v>43630</v>
      </c>
    </row>
    <row r="536" spans="1:24" x14ac:dyDescent="0.25">
      <c r="A536" t="s">
        <v>226</v>
      </c>
      <c r="B536">
        <v>2019</v>
      </c>
      <c r="D536">
        <v>7.8</v>
      </c>
      <c r="E536">
        <v>7.75</v>
      </c>
      <c r="F536">
        <v>27</v>
      </c>
      <c r="G536">
        <v>972</v>
      </c>
      <c r="H536">
        <v>697</v>
      </c>
      <c r="I536">
        <v>5098</v>
      </c>
      <c r="J536">
        <v>22</v>
      </c>
      <c r="K536">
        <v>2.2799999999999998</v>
      </c>
      <c r="L536">
        <v>1.7</v>
      </c>
      <c r="M536">
        <v>306</v>
      </c>
      <c r="N536">
        <v>70</v>
      </c>
      <c r="O536">
        <v>4.6100000000000003</v>
      </c>
      <c r="P536">
        <v>18.89</v>
      </c>
      <c r="Q536">
        <v>6.59</v>
      </c>
      <c r="R536">
        <v>15.36</v>
      </c>
      <c r="S536">
        <v>67.45</v>
      </c>
      <c r="T536">
        <v>10.58</v>
      </c>
      <c r="U536">
        <v>1.29</v>
      </c>
      <c r="V536">
        <v>13.38</v>
      </c>
      <c r="W536">
        <v>1.28</v>
      </c>
      <c r="X536" s="1">
        <v>43630</v>
      </c>
    </row>
    <row r="537" spans="1:24" x14ac:dyDescent="0.25">
      <c r="A537" t="s">
        <v>227</v>
      </c>
      <c r="B537">
        <v>2019</v>
      </c>
      <c r="D537">
        <v>7.5</v>
      </c>
      <c r="E537">
        <v>7.75</v>
      </c>
      <c r="F537">
        <v>21</v>
      </c>
      <c r="G537">
        <v>873</v>
      </c>
      <c r="H537">
        <v>646</v>
      </c>
      <c r="I537">
        <v>4293</v>
      </c>
      <c r="J537">
        <v>19</v>
      </c>
      <c r="K537">
        <v>1.66</v>
      </c>
      <c r="L537">
        <v>1.29</v>
      </c>
      <c r="M537">
        <v>327</v>
      </c>
      <c r="N537">
        <v>76</v>
      </c>
      <c r="O537">
        <v>3.64</v>
      </c>
      <c r="P537">
        <v>16.54</v>
      </c>
      <c r="Q537">
        <v>6.76</v>
      </c>
      <c r="R537">
        <v>16.27</v>
      </c>
      <c r="S537">
        <v>64.87</v>
      </c>
      <c r="T537">
        <v>12.08</v>
      </c>
      <c r="U537">
        <v>1.23</v>
      </c>
      <c r="V537">
        <v>10.14</v>
      </c>
      <c r="W537">
        <v>1.38</v>
      </c>
      <c r="X537" s="1">
        <v>43630</v>
      </c>
    </row>
    <row r="538" spans="1:24" x14ac:dyDescent="0.25">
      <c r="A538" t="s">
        <v>228</v>
      </c>
      <c r="B538">
        <v>2019</v>
      </c>
      <c r="D538">
        <v>7.4</v>
      </c>
      <c r="E538">
        <v>7.8</v>
      </c>
      <c r="F538">
        <v>35</v>
      </c>
      <c r="G538">
        <v>723</v>
      </c>
      <c r="H538">
        <v>563</v>
      </c>
      <c r="I538">
        <v>3792</v>
      </c>
      <c r="J538">
        <v>11</v>
      </c>
      <c r="K538">
        <v>1.1000000000000001</v>
      </c>
      <c r="L538">
        <v>1.22</v>
      </c>
      <c r="M538">
        <v>346</v>
      </c>
      <c r="N538">
        <v>93</v>
      </c>
      <c r="O538">
        <v>3.77</v>
      </c>
      <c r="P538">
        <v>14.35</v>
      </c>
      <c r="Q538">
        <v>6.45</v>
      </c>
      <c r="R538">
        <v>16.34</v>
      </c>
      <c r="S538">
        <v>66.05</v>
      </c>
      <c r="T538">
        <v>11.14</v>
      </c>
      <c r="U538">
        <v>1.0900000000000001</v>
      </c>
      <c r="V538">
        <v>6.15</v>
      </c>
      <c r="W538">
        <v>1.27</v>
      </c>
      <c r="X538" s="1">
        <v>43630</v>
      </c>
    </row>
    <row r="539" spans="1:24" x14ac:dyDescent="0.25">
      <c r="A539" t="s">
        <v>370</v>
      </c>
      <c r="B539">
        <v>2019</v>
      </c>
      <c r="D539">
        <v>7.6</v>
      </c>
      <c r="E539">
        <v>7.8</v>
      </c>
      <c r="F539">
        <v>33</v>
      </c>
      <c r="G539">
        <v>729</v>
      </c>
      <c r="H539">
        <v>1036</v>
      </c>
      <c r="I539">
        <v>3655</v>
      </c>
      <c r="J539">
        <v>16</v>
      </c>
      <c r="K539">
        <v>2.57</v>
      </c>
      <c r="L539">
        <v>0.98</v>
      </c>
      <c r="M539">
        <v>200</v>
      </c>
      <c r="N539">
        <v>79</v>
      </c>
      <c r="O539">
        <v>3.49</v>
      </c>
      <c r="P539">
        <v>15.98</v>
      </c>
      <c r="Q539">
        <v>5.84</v>
      </c>
      <c r="R539">
        <v>26.99</v>
      </c>
      <c r="S539">
        <v>57.14</v>
      </c>
      <c r="T539">
        <v>10</v>
      </c>
      <c r="U539">
        <v>0.84</v>
      </c>
      <c r="V539">
        <v>15.24</v>
      </c>
      <c r="W539">
        <v>1.27</v>
      </c>
      <c r="X539" s="1">
        <v>43630</v>
      </c>
    </row>
    <row r="540" spans="1:24" x14ac:dyDescent="0.25">
      <c r="A540" t="s">
        <v>371</v>
      </c>
      <c r="B540">
        <v>2019</v>
      </c>
      <c r="D540">
        <v>7.5</v>
      </c>
      <c r="E540">
        <v>7.75</v>
      </c>
      <c r="F540">
        <v>30</v>
      </c>
      <c r="G540">
        <v>691</v>
      </c>
      <c r="H540">
        <v>914</v>
      </c>
      <c r="I540">
        <v>3239</v>
      </c>
      <c r="J540">
        <v>12</v>
      </c>
      <c r="K540">
        <v>2.09</v>
      </c>
      <c r="L540">
        <v>0.91</v>
      </c>
      <c r="M540">
        <v>206</v>
      </c>
      <c r="N540">
        <v>78</v>
      </c>
      <c r="O540">
        <v>3.23</v>
      </c>
      <c r="P540">
        <v>14.79</v>
      </c>
      <c r="Q540">
        <v>5.98</v>
      </c>
      <c r="R540">
        <v>25.74</v>
      </c>
      <c r="S540">
        <v>54.74</v>
      </c>
      <c r="T540">
        <v>13.52</v>
      </c>
      <c r="U540">
        <v>0.92</v>
      </c>
      <c r="V540">
        <v>6.97</v>
      </c>
      <c r="W540">
        <v>1.39</v>
      </c>
      <c r="X540" s="1">
        <v>43630</v>
      </c>
    </row>
    <row r="541" spans="1:24" x14ac:dyDescent="0.25">
      <c r="A541" t="s">
        <v>372</v>
      </c>
      <c r="B541">
        <v>2019</v>
      </c>
      <c r="D541">
        <v>6.9</v>
      </c>
      <c r="E541">
        <v>7.75</v>
      </c>
      <c r="F541">
        <v>38</v>
      </c>
      <c r="G541">
        <v>701</v>
      </c>
      <c r="H541">
        <v>951</v>
      </c>
      <c r="I541">
        <v>3339</v>
      </c>
      <c r="J541">
        <v>13</v>
      </c>
      <c r="K541">
        <v>1.87</v>
      </c>
      <c r="L541">
        <v>0.84</v>
      </c>
      <c r="M541">
        <v>191</v>
      </c>
      <c r="N541">
        <v>88</v>
      </c>
      <c r="O541">
        <v>3.49</v>
      </c>
      <c r="P541">
        <v>15.2</v>
      </c>
      <c r="Q541">
        <v>5.9</v>
      </c>
      <c r="R541">
        <v>26.05</v>
      </c>
      <c r="S541">
        <v>54.88</v>
      </c>
      <c r="T541">
        <v>13.15</v>
      </c>
      <c r="U541">
        <v>0.8</v>
      </c>
      <c r="V541">
        <v>16.09</v>
      </c>
      <c r="W541">
        <v>2.0499999999999998</v>
      </c>
      <c r="X541" s="1">
        <v>43630</v>
      </c>
    </row>
    <row r="542" spans="1:24" x14ac:dyDescent="0.25">
      <c r="A542" t="s">
        <v>373</v>
      </c>
      <c r="B542">
        <v>2019</v>
      </c>
      <c r="D542">
        <v>8.1</v>
      </c>
      <c r="E542">
        <v>7.8</v>
      </c>
      <c r="F542">
        <v>203</v>
      </c>
      <c r="G542">
        <v>1599</v>
      </c>
      <c r="H542">
        <v>1941</v>
      </c>
      <c r="I542">
        <v>4678</v>
      </c>
      <c r="J542">
        <v>28</v>
      </c>
      <c r="K542">
        <v>6.07</v>
      </c>
      <c r="L542">
        <v>6.03</v>
      </c>
      <c r="M542">
        <v>436</v>
      </c>
      <c r="N542">
        <v>72</v>
      </c>
      <c r="O542">
        <v>4.76</v>
      </c>
      <c r="P542">
        <v>23.43</v>
      </c>
      <c r="Q542">
        <v>8.74</v>
      </c>
      <c r="R542">
        <v>34.51</v>
      </c>
      <c r="S542">
        <v>49.9</v>
      </c>
      <c r="T542">
        <v>6.82</v>
      </c>
      <c r="U542">
        <v>1.55</v>
      </c>
      <c r="V542">
        <v>15.04</v>
      </c>
      <c r="W542">
        <v>1.45</v>
      </c>
      <c r="X542" s="1">
        <v>43633</v>
      </c>
    </row>
    <row r="543" spans="1:24" x14ac:dyDescent="0.25">
      <c r="A543" t="s">
        <v>374</v>
      </c>
      <c r="B543">
        <v>2019</v>
      </c>
      <c r="D543">
        <v>8.1</v>
      </c>
      <c r="E543">
        <v>7.8</v>
      </c>
      <c r="F543">
        <v>231</v>
      </c>
      <c r="G543">
        <v>1766</v>
      </c>
      <c r="H543">
        <v>1836</v>
      </c>
      <c r="I543">
        <v>4657</v>
      </c>
      <c r="J543">
        <v>19</v>
      </c>
      <c r="K543">
        <v>5.69</v>
      </c>
      <c r="L543">
        <v>6.09</v>
      </c>
      <c r="M543">
        <v>450</v>
      </c>
      <c r="N543">
        <v>80</v>
      </c>
      <c r="O543">
        <v>5.05</v>
      </c>
      <c r="P543">
        <v>23.15</v>
      </c>
      <c r="Q543">
        <v>9.77</v>
      </c>
      <c r="R543">
        <v>33.03</v>
      </c>
      <c r="S543">
        <v>50.27</v>
      </c>
      <c r="T543">
        <v>6.9</v>
      </c>
      <c r="U543">
        <v>1.42</v>
      </c>
      <c r="V543">
        <v>8.2200000000000006</v>
      </c>
      <c r="W543">
        <v>1.62</v>
      </c>
      <c r="X543" s="1">
        <v>43633</v>
      </c>
    </row>
    <row r="544" spans="1:24" x14ac:dyDescent="0.25">
      <c r="A544" t="s">
        <v>375</v>
      </c>
      <c r="B544">
        <v>2019</v>
      </c>
      <c r="D544">
        <v>8.3000000000000007</v>
      </c>
      <c r="E544">
        <v>7.8</v>
      </c>
      <c r="F544">
        <v>260</v>
      </c>
      <c r="G544">
        <v>1586</v>
      </c>
      <c r="H544">
        <v>1703</v>
      </c>
      <c r="I544">
        <v>4584</v>
      </c>
      <c r="J544">
        <v>18</v>
      </c>
      <c r="K544">
        <v>5.35</v>
      </c>
      <c r="L544">
        <v>6.52</v>
      </c>
      <c r="M544">
        <v>413</v>
      </c>
      <c r="N544">
        <v>98</v>
      </c>
      <c r="O544">
        <v>4.8499999999999996</v>
      </c>
      <c r="P544">
        <v>22.18</v>
      </c>
      <c r="Q544">
        <v>9.16</v>
      </c>
      <c r="R544">
        <v>31.97</v>
      </c>
      <c r="S544">
        <v>51.64</v>
      </c>
      <c r="T544">
        <v>7.21</v>
      </c>
      <c r="U544">
        <v>1.39</v>
      </c>
      <c r="V544">
        <v>4.91</v>
      </c>
      <c r="W544">
        <v>1.46</v>
      </c>
      <c r="X544" s="1">
        <v>43633</v>
      </c>
    </row>
    <row r="545" spans="1:24" x14ac:dyDescent="0.25">
      <c r="A545" t="s">
        <v>376</v>
      </c>
      <c r="B545">
        <v>2019</v>
      </c>
      <c r="D545">
        <v>8.4</v>
      </c>
      <c r="E545">
        <v>7.8</v>
      </c>
      <c r="F545">
        <v>95</v>
      </c>
      <c r="G545">
        <v>1608</v>
      </c>
      <c r="H545">
        <v>1843</v>
      </c>
      <c r="I545">
        <v>4719</v>
      </c>
      <c r="J545">
        <v>30</v>
      </c>
      <c r="K545">
        <v>6.78</v>
      </c>
      <c r="L545">
        <v>3.71</v>
      </c>
      <c r="M545">
        <v>428</v>
      </c>
      <c r="N545">
        <v>91</v>
      </c>
      <c r="O545">
        <v>5.55</v>
      </c>
      <c r="P545">
        <v>23.13</v>
      </c>
      <c r="Q545">
        <v>8.9</v>
      </c>
      <c r="R545">
        <v>33.18</v>
      </c>
      <c r="S545">
        <v>50.98</v>
      </c>
      <c r="T545">
        <v>6.91</v>
      </c>
      <c r="U545">
        <v>1.27</v>
      </c>
      <c r="V545">
        <v>6.82</v>
      </c>
      <c r="W545">
        <v>1.43</v>
      </c>
      <c r="X545" s="1">
        <v>43633</v>
      </c>
    </row>
    <row r="546" spans="1:24" x14ac:dyDescent="0.25">
      <c r="A546" t="s">
        <v>377</v>
      </c>
      <c r="B546">
        <v>2019</v>
      </c>
      <c r="D546">
        <v>8.4</v>
      </c>
      <c r="E546">
        <v>7.8</v>
      </c>
      <c r="F546">
        <v>78</v>
      </c>
      <c r="G546">
        <v>1176</v>
      </c>
      <c r="H546">
        <v>1726</v>
      </c>
      <c r="I546">
        <v>4312</v>
      </c>
      <c r="J546">
        <v>12</v>
      </c>
      <c r="K546">
        <v>6.51</v>
      </c>
      <c r="L546">
        <v>2.9</v>
      </c>
      <c r="M546">
        <v>381</v>
      </c>
      <c r="N546">
        <v>82</v>
      </c>
      <c r="O546">
        <v>4.97</v>
      </c>
      <c r="P546">
        <v>21.07</v>
      </c>
      <c r="Q546">
        <v>7.15</v>
      </c>
      <c r="R546">
        <v>34.11</v>
      </c>
      <c r="S546">
        <v>51.14</v>
      </c>
      <c r="T546">
        <v>7.59</v>
      </c>
      <c r="U546">
        <v>1.18</v>
      </c>
      <c r="V546">
        <v>3.83</v>
      </c>
      <c r="W546">
        <v>1.47</v>
      </c>
      <c r="X546" s="1">
        <v>43633</v>
      </c>
    </row>
    <row r="547" spans="1:24" x14ac:dyDescent="0.25">
      <c r="A547" t="s">
        <v>378</v>
      </c>
      <c r="B547">
        <v>2019</v>
      </c>
      <c r="D547">
        <v>8.3000000000000007</v>
      </c>
      <c r="E547">
        <v>7.8</v>
      </c>
      <c r="F547">
        <v>112</v>
      </c>
      <c r="G547">
        <v>1413</v>
      </c>
      <c r="H547">
        <v>1687</v>
      </c>
      <c r="I547">
        <v>4683</v>
      </c>
      <c r="J547">
        <v>23</v>
      </c>
      <c r="K547">
        <v>6.37</v>
      </c>
      <c r="L547">
        <v>3.46</v>
      </c>
      <c r="M547">
        <v>371</v>
      </c>
      <c r="N547">
        <v>95</v>
      </c>
      <c r="O547">
        <v>5.21</v>
      </c>
      <c r="P547">
        <v>22.14</v>
      </c>
      <c r="Q547">
        <v>8.17</v>
      </c>
      <c r="R547">
        <v>31.73</v>
      </c>
      <c r="S547">
        <v>52.85</v>
      </c>
      <c r="T547">
        <v>7.22</v>
      </c>
      <c r="U547">
        <v>1.36</v>
      </c>
      <c r="V547">
        <v>7.92</v>
      </c>
      <c r="W547">
        <v>1.41</v>
      </c>
      <c r="X547" s="1">
        <v>43633</v>
      </c>
    </row>
    <row r="548" spans="1:24" x14ac:dyDescent="0.25">
      <c r="A548" t="s">
        <v>379</v>
      </c>
      <c r="B548">
        <v>2019</v>
      </c>
      <c r="D548">
        <v>8.1999999999999993</v>
      </c>
      <c r="E548">
        <v>7.75</v>
      </c>
      <c r="F548">
        <v>117</v>
      </c>
      <c r="G548">
        <v>1893</v>
      </c>
      <c r="H548">
        <v>2156</v>
      </c>
      <c r="I548">
        <v>4514</v>
      </c>
      <c r="J548">
        <v>18</v>
      </c>
      <c r="K548">
        <v>6.72</v>
      </c>
      <c r="L548">
        <v>6.68</v>
      </c>
      <c r="M548">
        <v>360</v>
      </c>
      <c r="N548">
        <v>74</v>
      </c>
      <c r="O548">
        <v>4.5999999999999996</v>
      </c>
      <c r="P548">
        <v>24.69</v>
      </c>
      <c r="Q548">
        <v>9.82</v>
      </c>
      <c r="R548">
        <v>36.369999999999997</v>
      </c>
      <c r="S548">
        <v>45.69</v>
      </c>
      <c r="T548">
        <v>8.09</v>
      </c>
      <c r="U548">
        <v>1.56</v>
      </c>
      <c r="V548">
        <v>22.92</v>
      </c>
      <c r="W548">
        <v>1.1100000000000001</v>
      </c>
      <c r="X548" s="1">
        <v>43633</v>
      </c>
    </row>
    <row r="549" spans="1:24" x14ac:dyDescent="0.25">
      <c r="A549" t="s">
        <v>380</v>
      </c>
      <c r="B549">
        <v>2019</v>
      </c>
      <c r="D549">
        <v>6.8</v>
      </c>
      <c r="E549">
        <v>7.65</v>
      </c>
      <c r="F549">
        <v>468</v>
      </c>
      <c r="G549">
        <v>1480</v>
      </c>
      <c r="H549">
        <v>1963</v>
      </c>
      <c r="I549">
        <v>4237</v>
      </c>
      <c r="J549">
        <v>25</v>
      </c>
      <c r="K549">
        <v>5.13</v>
      </c>
      <c r="L549">
        <v>13.98</v>
      </c>
      <c r="M549">
        <v>330</v>
      </c>
      <c r="N549">
        <v>96</v>
      </c>
      <c r="O549">
        <v>4.29</v>
      </c>
      <c r="P549">
        <v>23.46</v>
      </c>
      <c r="Q549">
        <v>8.08</v>
      </c>
      <c r="R549">
        <v>34.85</v>
      </c>
      <c r="S549">
        <v>45.13</v>
      </c>
      <c r="T549">
        <v>11.93</v>
      </c>
      <c r="U549">
        <v>1.53</v>
      </c>
      <c r="V549">
        <v>31.65</v>
      </c>
      <c r="W549">
        <v>2.5499999999999998</v>
      </c>
      <c r="X549" s="1">
        <v>43633</v>
      </c>
    </row>
    <row r="550" spans="1:24" x14ac:dyDescent="0.25">
      <c r="A550" t="s">
        <v>381</v>
      </c>
      <c r="B550">
        <v>2019</v>
      </c>
      <c r="D550">
        <v>6.8</v>
      </c>
      <c r="E550">
        <v>7.55</v>
      </c>
      <c r="F550">
        <v>319</v>
      </c>
      <c r="G550">
        <v>1318</v>
      </c>
      <c r="H550">
        <v>1775</v>
      </c>
      <c r="I550">
        <v>3998</v>
      </c>
      <c r="J550">
        <v>21</v>
      </c>
      <c r="K550">
        <v>4.62</v>
      </c>
      <c r="L550">
        <v>10.88</v>
      </c>
      <c r="M550">
        <v>317</v>
      </c>
      <c r="N550">
        <v>88</v>
      </c>
      <c r="O550">
        <v>3.89</v>
      </c>
      <c r="P550">
        <v>22.68</v>
      </c>
      <c r="Q550">
        <v>7.45</v>
      </c>
      <c r="R550">
        <v>32.6</v>
      </c>
      <c r="S550">
        <v>44.06</v>
      </c>
      <c r="T550">
        <v>15.87</v>
      </c>
      <c r="U550">
        <v>1.61</v>
      </c>
      <c r="V550">
        <v>35.57</v>
      </c>
      <c r="W550">
        <v>4.21</v>
      </c>
      <c r="X550" s="1">
        <v>43633</v>
      </c>
    </row>
    <row r="551" spans="1:24" x14ac:dyDescent="0.25">
      <c r="A551" t="s">
        <v>382</v>
      </c>
      <c r="B551">
        <v>2019</v>
      </c>
      <c r="D551">
        <v>6.8</v>
      </c>
      <c r="E551">
        <v>7.8</v>
      </c>
      <c r="F551">
        <v>29</v>
      </c>
      <c r="G551">
        <v>873</v>
      </c>
      <c r="H551">
        <v>1399</v>
      </c>
      <c r="I551">
        <v>3261</v>
      </c>
      <c r="J551">
        <v>15</v>
      </c>
      <c r="K551">
        <v>1.68</v>
      </c>
      <c r="L551">
        <v>1.38</v>
      </c>
      <c r="M551">
        <v>265</v>
      </c>
      <c r="N551">
        <v>85</v>
      </c>
      <c r="O551">
        <v>3.79</v>
      </c>
      <c r="P551">
        <v>16.7</v>
      </c>
      <c r="Q551">
        <v>6.7</v>
      </c>
      <c r="R551">
        <v>34.9</v>
      </c>
      <c r="S551">
        <v>48.81</v>
      </c>
      <c r="T551">
        <v>9.58</v>
      </c>
      <c r="U551">
        <v>1.24</v>
      </c>
      <c r="V551">
        <v>2.2000000000000002</v>
      </c>
      <c r="W551">
        <v>1.4</v>
      </c>
      <c r="X551" s="1">
        <v>43633</v>
      </c>
    </row>
    <row r="552" spans="1:24" x14ac:dyDescent="0.25">
      <c r="A552" t="s">
        <v>383</v>
      </c>
      <c r="B552">
        <v>2019</v>
      </c>
      <c r="D552">
        <v>6.7</v>
      </c>
      <c r="E552">
        <v>7.75</v>
      </c>
      <c r="F552">
        <v>17</v>
      </c>
      <c r="G552">
        <v>739</v>
      </c>
      <c r="H552">
        <v>1120</v>
      </c>
      <c r="I552">
        <v>2897</v>
      </c>
      <c r="J552">
        <v>10</v>
      </c>
      <c r="K552">
        <v>1.37</v>
      </c>
      <c r="L552">
        <v>1.25</v>
      </c>
      <c r="M552">
        <v>221</v>
      </c>
      <c r="N552">
        <v>73</v>
      </c>
      <c r="O552">
        <v>3.16</v>
      </c>
      <c r="P552">
        <v>14.85</v>
      </c>
      <c r="Q552">
        <v>6.37</v>
      </c>
      <c r="R552">
        <v>31.41</v>
      </c>
      <c r="S552">
        <v>48.74</v>
      </c>
      <c r="T552">
        <v>13.46</v>
      </c>
      <c r="U552">
        <v>1.05</v>
      </c>
      <c r="V552">
        <v>2.61</v>
      </c>
      <c r="W552">
        <v>1.4</v>
      </c>
      <c r="X552" s="1">
        <v>43633</v>
      </c>
    </row>
    <row r="553" spans="1:24" x14ac:dyDescent="0.25">
      <c r="A553" t="s">
        <v>384</v>
      </c>
      <c r="B553">
        <v>2019</v>
      </c>
      <c r="D553">
        <v>7</v>
      </c>
      <c r="E553">
        <v>7.75</v>
      </c>
      <c r="F553">
        <v>20</v>
      </c>
      <c r="G553">
        <v>701</v>
      </c>
      <c r="H553">
        <v>1175</v>
      </c>
      <c r="I553">
        <v>2876</v>
      </c>
      <c r="J553">
        <v>12</v>
      </c>
      <c r="K553">
        <v>1.5</v>
      </c>
      <c r="L553">
        <v>1.28</v>
      </c>
      <c r="M553">
        <v>225</v>
      </c>
      <c r="N553">
        <v>77</v>
      </c>
      <c r="O553">
        <v>3.19</v>
      </c>
      <c r="P553">
        <v>14.98</v>
      </c>
      <c r="Q553">
        <v>5.99</v>
      </c>
      <c r="R553">
        <v>32.67</v>
      </c>
      <c r="S553">
        <v>47.98</v>
      </c>
      <c r="T553">
        <v>13.34</v>
      </c>
      <c r="U553">
        <v>1.29</v>
      </c>
      <c r="V553">
        <v>3.21</v>
      </c>
      <c r="W553">
        <v>1.58</v>
      </c>
      <c r="X553" s="1">
        <v>43633</v>
      </c>
    </row>
    <row r="554" spans="1:24" x14ac:dyDescent="0.25">
      <c r="A554" t="s">
        <v>385</v>
      </c>
      <c r="B554">
        <v>2019</v>
      </c>
      <c r="D554">
        <v>8</v>
      </c>
      <c r="E554">
        <v>7.8</v>
      </c>
      <c r="F554">
        <v>111</v>
      </c>
      <c r="G554">
        <v>1484</v>
      </c>
      <c r="H554">
        <v>2014</v>
      </c>
      <c r="I554">
        <v>6719</v>
      </c>
      <c r="J554">
        <v>29</v>
      </c>
      <c r="K554">
        <v>5.44</v>
      </c>
      <c r="L554">
        <v>10.54</v>
      </c>
      <c r="M554">
        <v>257</v>
      </c>
      <c r="N554">
        <v>63</v>
      </c>
      <c r="O554">
        <v>4.42</v>
      </c>
      <c r="P554">
        <v>28.69</v>
      </c>
      <c r="Q554">
        <v>6.63</v>
      </c>
      <c r="R554">
        <v>29.24</v>
      </c>
      <c r="S554">
        <v>58.54</v>
      </c>
      <c r="T554">
        <v>5.57</v>
      </c>
      <c r="U554">
        <v>1.52</v>
      </c>
      <c r="V554">
        <v>7.4</v>
      </c>
      <c r="W554">
        <v>1.21</v>
      </c>
      <c r="X554" s="1">
        <v>43633</v>
      </c>
    </row>
    <row r="555" spans="1:24" x14ac:dyDescent="0.25">
      <c r="A555" t="s">
        <v>386</v>
      </c>
      <c r="B555">
        <v>2019</v>
      </c>
      <c r="D555">
        <v>7.8</v>
      </c>
      <c r="E555">
        <v>7.8</v>
      </c>
      <c r="F555">
        <v>46</v>
      </c>
      <c r="G555">
        <v>1060</v>
      </c>
      <c r="H555">
        <v>1934</v>
      </c>
      <c r="I555">
        <v>4159</v>
      </c>
      <c r="J555">
        <v>14</v>
      </c>
      <c r="K555">
        <v>4.58</v>
      </c>
      <c r="L555">
        <v>6.42</v>
      </c>
      <c r="M555">
        <v>284</v>
      </c>
      <c r="N555">
        <v>63</v>
      </c>
      <c r="O555">
        <v>4.1100000000000003</v>
      </c>
      <c r="P555">
        <v>21.41</v>
      </c>
      <c r="Q555">
        <v>6.34</v>
      </c>
      <c r="R555">
        <v>37.619999999999997</v>
      </c>
      <c r="S555">
        <v>48.55</v>
      </c>
      <c r="T555">
        <v>7.47</v>
      </c>
      <c r="U555">
        <v>1.56</v>
      </c>
      <c r="V555">
        <v>6.77</v>
      </c>
      <c r="W555">
        <v>1.22</v>
      </c>
      <c r="X555" s="1">
        <v>43633</v>
      </c>
    </row>
    <row r="556" spans="1:24" x14ac:dyDescent="0.25">
      <c r="A556" t="s">
        <v>387</v>
      </c>
      <c r="B556">
        <v>2019</v>
      </c>
      <c r="D556">
        <v>7.9</v>
      </c>
      <c r="E556">
        <v>7.75</v>
      </c>
      <c r="F556">
        <v>94</v>
      </c>
      <c r="G556">
        <v>1419</v>
      </c>
      <c r="H556">
        <v>2125</v>
      </c>
      <c r="I556">
        <v>4662</v>
      </c>
      <c r="J556">
        <v>40</v>
      </c>
      <c r="K556">
        <v>5.51</v>
      </c>
      <c r="L556">
        <v>7.8</v>
      </c>
      <c r="M556">
        <v>266</v>
      </c>
      <c r="N556">
        <v>84</v>
      </c>
      <c r="O556">
        <v>4.82</v>
      </c>
      <c r="P556">
        <v>24.32</v>
      </c>
      <c r="Q556">
        <v>7.47</v>
      </c>
      <c r="R556">
        <v>36.39</v>
      </c>
      <c r="S556">
        <v>47.9</v>
      </c>
      <c r="T556">
        <v>8.2200000000000006</v>
      </c>
      <c r="U556">
        <v>1.58</v>
      </c>
      <c r="V556">
        <v>10.59</v>
      </c>
      <c r="W556">
        <v>1.31</v>
      </c>
      <c r="X556" s="1">
        <v>43633</v>
      </c>
    </row>
    <row r="557" spans="1:24" x14ac:dyDescent="0.25">
      <c r="A557" t="s">
        <v>388</v>
      </c>
      <c r="B557">
        <v>2019</v>
      </c>
      <c r="D557">
        <v>7.7</v>
      </c>
      <c r="E557">
        <v>7.75</v>
      </c>
      <c r="F557">
        <v>34</v>
      </c>
      <c r="G557">
        <v>1276</v>
      </c>
      <c r="H557">
        <v>1644</v>
      </c>
      <c r="I557">
        <v>4045</v>
      </c>
      <c r="J557">
        <v>23</v>
      </c>
      <c r="K557">
        <v>3.53</v>
      </c>
      <c r="L557">
        <v>5.9</v>
      </c>
      <c r="M557">
        <v>291</v>
      </c>
      <c r="N557">
        <v>70</v>
      </c>
      <c r="O557">
        <v>3.96</v>
      </c>
      <c r="P557">
        <v>20.59</v>
      </c>
      <c r="Q557">
        <v>7.94</v>
      </c>
      <c r="R557">
        <v>33.25</v>
      </c>
      <c r="S557">
        <v>49.09</v>
      </c>
      <c r="T557">
        <v>9.6999999999999993</v>
      </c>
      <c r="U557">
        <v>1.53</v>
      </c>
      <c r="V557">
        <v>8.15</v>
      </c>
      <c r="W557">
        <v>1.26</v>
      </c>
      <c r="X557" s="1">
        <v>43633</v>
      </c>
    </row>
    <row r="558" spans="1:24" x14ac:dyDescent="0.25">
      <c r="A558" t="s">
        <v>389</v>
      </c>
      <c r="B558">
        <v>2019</v>
      </c>
      <c r="D558">
        <v>7.4</v>
      </c>
      <c r="E558">
        <v>7.7</v>
      </c>
      <c r="F558">
        <v>25</v>
      </c>
      <c r="G558">
        <v>1228</v>
      </c>
      <c r="H558">
        <v>1705</v>
      </c>
      <c r="I558">
        <v>4035</v>
      </c>
      <c r="J558">
        <v>36</v>
      </c>
      <c r="K558">
        <v>3.71</v>
      </c>
      <c r="L558">
        <v>2.81</v>
      </c>
      <c r="M558">
        <v>308</v>
      </c>
      <c r="N558">
        <v>72</v>
      </c>
      <c r="O558">
        <v>4.26</v>
      </c>
      <c r="P558">
        <v>21.16</v>
      </c>
      <c r="Q558">
        <v>7.43</v>
      </c>
      <c r="R558">
        <v>33.56</v>
      </c>
      <c r="S558">
        <v>47.65</v>
      </c>
      <c r="T558">
        <v>11.33</v>
      </c>
      <c r="U558">
        <v>1.52</v>
      </c>
      <c r="V558">
        <v>18.8</v>
      </c>
      <c r="W558">
        <v>2.7</v>
      </c>
      <c r="X558" s="1">
        <v>43633</v>
      </c>
    </row>
    <row r="559" spans="1:24" x14ac:dyDescent="0.25">
      <c r="A559" t="s">
        <v>390</v>
      </c>
      <c r="B559">
        <v>2019</v>
      </c>
      <c r="D559">
        <v>8</v>
      </c>
      <c r="E559">
        <v>7.75</v>
      </c>
      <c r="F559">
        <v>32</v>
      </c>
      <c r="G559">
        <v>1342</v>
      </c>
      <c r="H559">
        <v>1740</v>
      </c>
      <c r="I559">
        <v>5802</v>
      </c>
      <c r="J559">
        <v>37</v>
      </c>
      <c r="K559">
        <v>4.6500000000000004</v>
      </c>
      <c r="L559">
        <v>3.04</v>
      </c>
      <c r="M559">
        <v>270</v>
      </c>
      <c r="N559">
        <v>65</v>
      </c>
      <c r="O559">
        <v>4.38</v>
      </c>
      <c r="P559">
        <v>25.47</v>
      </c>
      <c r="Q559">
        <v>6.75</v>
      </c>
      <c r="R559">
        <v>28.45</v>
      </c>
      <c r="S559">
        <v>56.93</v>
      </c>
      <c r="T559">
        <v>7.85</v>
      </c>
      <c r="U559">
        <v>1.58</v>
      </c>
      <c r="V559">
        <v>22.32</v>
      </c>
      <c r="W559">
        <v>1.68</v>
      </c>
      <c r="X559" s="1">
        <v>43633</v>
      </c>
    </row>
    <row r="560" spans="1:24" x14ac:dyDescent="0.25">
      <c r="A560" t="s">
        <v>151</v>
      </c>
      <c r="B560">
        <v>2019</v>
      </c>
      <c r="D560">
        <v>8.3000000000000007</v>
      </c>
      <c r="E560">
        <v>7.75</v>
      </c>
      <c r="F560">
        <v>98</v>
      </c>
      <c r="G560">
        <v>1167</v>
      </c>
      <c r="H560">
        <v>1735</v>
      </c>
      <c r="I560">
        <v>7780</v>
      </c>
      <c r="J560">
        <v>53</v>
      </c>
      <c r="K560">
        <v>5.12</v>
      </c>
      <c r="L560">
        <v>2.35</v>
      </c>
      <c r="M560">
        <v>322</v>
      </c>
      <c r="N560">
        <v>86</v>
      </c>
      <c r="O560">
        <v>5</v>
      </c>
      <c r="P560">
        <v>30.17</v>
      </c>
      <c r="Q560">
        <v>4.95</v>
      </c>
      <c r="R560">
        <v>23.95</v>
      </c>
      <c r="S560">
        <v>64.45</v>
      </c>
      <c r="T560">
        <v>6.62</v>
      </c>
      <c r="U560">
        <v>1.36</v>
      </c>
      <c r="V560">
        <v>15.46</v>
      </c>
      <c r="W560">
        <v>1.75</v>
      </c>
      <c r="X560" s="1">
        <v>43633</v>
      </c>
    </row>
    <row r="561" spans="1:24" x14ac:dyDescent="0.25">
      <c r="A561" t="s">
        <v>152</v>
      </c>
      <c r="B561">
        <v>2019</v>
      </c>
      <c r="D561">
        <v>7.8</v>
      </c>
      <c r="E561">
        <v>7.75</v>
      </c>
      <c r="F561">
        <v>139</v>
      </c>
      <c r="G561">
        <v>1188</v>
      </c>
      <c r="H561">
        <v>1588</v>
      </c>
      <c r="I561">
        <v>4284</v>
      </c>
      <c r="J561">
        <v>51</v>
      </c>
      <c r="K561">
        <v>4.66</v>
      </c>
      <c r="L561">
        <v>2.37</v>
      </c>
      <c r="M561">
        <v>303</v>
      </c>
      <c r="N561">
        <v>100</v>
      </c>
      <c r="O561">
        <v>4.4800000000000004</v>
      </c>
      <c r="P561">
        <v>20.84</v>
      </c>
      <c r="Q561">
        <v>7.3</v>
      </c>
      <c r="R561">
        <v>31.73</v>
      </c>
      <c r="S561">
        <v>51.36</v>
      </c>
      <c r="T561">
        <v>9.59</v>
      </c>
      <c r="U561">
        <v>1.2</v>
      </c>
      <c r="V561">
        <v>20.100000000000001</v>
      </c>
      <c r="W561">
        <v>1.47</v>
      </c>
      <c r="X561" s="1">
        <v>43633</v>
      </c>
    </row>
    <row r="562" spans="1:24" x14ac:dyDescent="0.25">
      <c r="A562" t="s">
        <v>153</v>
      </c>
      <c r="B562">
        <v>2019</v>
      </c>
      <c r="D562">
        <v>7.6</v>
      </c>
      <c r="E562">
        <v>7.75</v>
      </c>
      <c r="F562">
        <v>111</v>
      </c>
      <c r="G562">
        <v>1090</v>
      </c>
      <c r="H562">
        <v>1647</v>
      </c>
      <c r="I562">
        <v>4075</v>
      </c>
      <c r="J562">
        <v>117</v>
      </c>
      <c r="K562">
        <v>5.03</v>
      </c>
      <c r="L562">
        <v>1.96</v>
      </c>
      <c r="M562">
        <v>306</v>
      </c>
      <c r="N562">
        <v>99</v>
      </c>
      <c r="O562">
        <v>4.49</v>
      </c>
      <c r="P562">
        <v>20.440000000000001</v>
      </c>
      <c r="Q562">
        <v>6.83</v>
      </c>
      <c r="R562">
        <v>33.56</v>
      </c>
      <c r="S562">
        <v>49.82</v>
      </c>
      <c r="T562">
        <v>9.7799999999999994</v>
      </c>
      <c r="U562">
        <v>1.1000000000000001</v>
      </c>
      <c r="V562">
        <v>45.36</v>
      </c>
      <c r="W562">
        <v>6.6</v>
      </c>
      <c r="X562" s="1">
        <v>43633</v>
      </c>
    </row>
    <row r="563" spans="1:24" x14ac:dyDescent="0.25">
      <c r="A563" t="s">
        <v>172</v>
      </c>
      <c r="B563">
        <v>2019</v>
      </c>
      <c r="D563">
        <v>7.3</v>
      </c>
      <c r="E563">
        <v>7.8</v>
      </c>
      <c r="F563">
        <v>126</v>
      </c>
      <c r="G563">
        <v>808</v>
      </c>
      <c r="H563">
        <v>338</v>
      </c>
      <c r="I563">
        <v>2794</v>
      </c>
      <c r="J563">
        <v>10</v>
      </c>
      <c r="K563">
        <v>0.77</v>
      </c>
      <c r="L563">
        <v>2.76</v>
      </c>
      <c r="M563">
        <v>164</v>
      </c>
      <c r="N563">
        <v>94</v>
      </c>
      <c r="O563">
        <v>2.35</v>
      </c>
      <c r="P563">
        <v>11.02</v>
      </c>
      <c r="Q563">
        <v>9.39</v>
      </c>
      <c r="R563">
        <v>12.76</v>
      </c>
      <c r="S563">
        <v>63.33</v>
      </c>
      <c r="T563">
        <v>14.5</v>
      </c>
      <c r="U563">
        <v>0.56000000000000005</v>
      </c>
      <c r="V563">
        <v>3.03</v>
      </c>
      <c r="W563">
        <v>1.31</v>
      </c>
      <c r="X563" s="1">
        <v>43627</v>
      </c>
    </row>
    <row r="564" spans="1:24" x14ac:dyDescent="0.25">
      <c r="A564" t="s">
        <v>173</v>
      </c>
      <c r="B564">
        <v>2019</v>
      </c>
      <c r="D564">
        <v>7.4</v>
      </c>
      <c r="E564">
        <v>7.85</v>
      </c>
      <c r="F564">
        <v>124</v>
      </c>
      <c r="G564">
        <v>887</v>
      </c>
      <c r="H564">
        <v>324</v>
      </c>
      <c r="I564">
        <v>2365</v>
      </c>
      <c r="J564">
        <v>13</v>
      </c>
      <c r="K564">
        <v>0.84</v>
      </c>
      <c r="L564">
        <v>2.19</v>
      </c>
      <c r="M564">
        <v>150</v>
      </c>
      <c r="N564">
        <v>93</v>
      </c>
      <c r="O564">
        <v>2.15</v>
      </c>
      <c r="P564">
        <v>9.59</v>
      </c>
      <c r="Q564">
        <v>11.84</v>
      </c>
      <c r="R564">
        <v>14.06</v>
      </c>
      <c r="S564">
        <v>61.59</v>
      </c>
      <c r="T564">
        <v>12.5</v>
      </c>
      <c r="U564">
        <v>0.52</v>
      </c>
      <c r="V564">
        <v>2.94</v>
      </c>
      <c r="W564">
        <v>1.0900000000000001</v>
      </c>
      <c r="X564" s="1">
        <v>43627</v>
      </c>
    </row>
    <row r="565" spans="1:24" x14ac:dyDescent="0.25">
      <c r="A565" t="s">
        <v>174</v>
      </c>
      <c r="B565">
        <v>2019</v>
      </c>
      <c r="D565">
        <v>7.4</v>
      </c>
      <c r="E565">
        <v>7.8</v>
      </c>
      <c r="F565">
        <v>118</v>
      </c>
      <c r="G565">
        <v>983</v>
      </c>
      <c r="H565">
        <v>382</v>
      </c>
      <c r="I565">
        <v>3195</v>
      </c>
      <c r="J565">
        <v>10</v>
      </c>
      <c r="K565">
        <v>0.85</v>
      </c>
      <c r="L565">
        <v>1.92</v>
      </c>
      <c r="M565">
        <v>191</v>
      </c>
      <c r="N565">
        <v>94</v>
      </c>
      <c r="O565">
        <v>2.73</v>
      </c>
      <c r="P565">
        <v>12.43</v>
      </c>
      <c r="Q565">
        <v>10.130000000000001</v>
      </c>
      <c r="R565">
        <v>12.79</v>
      </c>
      <c r="S565">
        <v>64.209999999999994</v>
      </c>
      <c r="T565">
        <v>12.86</v>
      </c>
      <c r="U565">
        <v>0.64</v>
      </c>
      <c r="V565">
        <v>2.71</v>
      </c>
      <c r="W565">
        <v>1.1299999999999999</v>
      </c>
      <c r="X565" s="1">
        <v>43627</v>
      </c>
    </row>
    <row r="566" spans="1:24" x14ac:dyDescent="0.25">
      <c r="A566" t="s">
        <v>176</v>
      </c>
      <c r="B566">
        <v>2019</v>
      </c>
      <c r="D566">
        <v>7.4</v>
      </c>
      <c r="E566">
        <v>7.8</v>
      </c>
      <c r="F566">
        <v>121</v>
      </c>
      <c r="G566">
        <v>1063</v>
      </c>
      <c r="H566">
        <v>626</v>
      </c>
      <c r="I566">
        <v>2750</v>
      </c>
      <c r="J566">
        <v>11</v>
      </c>
      <c r="K566">
        <v>1.03</v>
      </c>
      <c r="L566">
        <v>2.2799999999999998</v>
      </c>
      <c r="M566">
        <v>204</v>
      </c>
      <c r="N566">
        <v>87</v>
      </c>
      <c r="O566">
        <v>2.83</v>
      </c>
      <c r="P566">
        <v>12.44</v>
      </c>
      <c r="Q566">
        <v>10.94</v>
      </c>
      <c r="R566">
        <v>20.95</v>
      </c>
      <c r="S566">
        <v>55.23</v>
      </c>
      <c r="T566">
        <v>12.85</v>
      </c>
      <c r="U566">
        <v>0.68</v>
      </c>
      <c r="V566">
        <v>3.35</v>
      </c>
      <c r="W566">
        <v>1.84</v>
      </c>
      <c r="X566" s="1">
        <v>43627</v>
      </c>
    </row>
    <row r="567" spans="1:24" x14ac:dyDescent="0.25">
      <c r="A567" t="s">
        <v>177</v>
      </c>
      <c r="B567">
        <v>2019</v>
      </c>
      <c r="D567">
        <v>7.3</v>
      </c>
      <c r="E567">
        <v>7.8</v>
      </c>
      <c r="F567">
        <v>105</v>
      </c>
      <c r="G567">
        <v>821</v>
      </c>
      <c r="H567">
        <v>563</v>
      </c>
      <c r="I567">
        <v>2376</v>
      </c>
      <c r="J567">
        <v>8</v>
      </c>
      <c r="K567">
        <v>0.87</v>
      </c>
      <c r="L567">
        <v>1.62</v>
      </c>
      <c r="M567">
        <v>167</v>
      </c>
      <c r="N567">
        <v>85</v>
      </c>
      <c r="O567">
        <v>2.58</v>
      </c>
      <c r="P567">
        <v>10.93</v>
      </c>
      <c r="Q567">
        <v>9.6199999999999992</v>
      </c>
      <c r="R567">
        <v>21.44</v>
      </c>
      <c r="S567">
        <v>54.3</v>
      </c>
      <c r="T567">
        <v>14.62</v>
      </c>
      <c r="U567">
        <v>0.63</v>
      </c>
      <c r="V567">
        <v>2.66</v>
      </c>
      <c r="W567">
        <v>2.69</v>
      </c>
      <c r="X567" s="1">
        <v>43627</v>
      </c>
    </row>
    <row r="568" spans="1:24" x14ac:dyDescent="0.25">
      <c r="A568" t="s">
        <v>178</v>
      </c>
      <c r="B568">
        <v>2019</v>
      </c>
      <c r="D568">
        <v>7.4</v>
      </c>
      <c r="E568">
        <v>7.8</v>
      </c>
      <c r="F568">
        <v>95</v>
      </c>
      <c r="G568">
        <v>881</v>
      </c>
      <c r="H568">
        <v>602</v>
      </c>
      <c r="I568">
        <v>2738</v>
      </c>
      <c r="J568">
        <v>10</v>
      </c>
      <c r="K568">
        <v>1.04</v>
      </c>
      <c r="L568">
        <v>1.44</v>
      </c>
      <c r="M568">
        <v>188</v>
      </c>
      <c r="N568">
        <v>91</v>
      </c>
      <c r="O568">
        <v>2.84</v>
      </c>
      <c r="P568">
        <v>12.08</v>
      </c>
      <c r="Q568">
        <v>9.34</v>
      </c>
      <c r="R568">
        <v>20.75</v>
      </c>
      <c r="S568">
        <v>56.65</v>
      </c>
      <c r="T568">
        <v>13.24</v>
      </c>
      <c r="U568">
        <v>0.79</v>
      </c>
      <c r="V568">
        <v>2.44</v>
      </c>
      <c r="W568">
        <v>0.93</v>
      </c>
      <c r="X568" s="1">
        <v>43627</v>
      </c>
    </row>
    <row r="569" spans="1:24" x14ac:dyDescent="0.25">
      <c r="A569" t="s">
        <v>180</v>
      </c>
      <c r="B569">
        <v>2019</v>
      </c>
      <c r="D569">
        <v>7.4</v>
      </c>
      <c r="E569">
        <v>7.7</v>
      </c>
      <c r="F569">
        <v>65</v>
      </c>
      <c r="G569">
        <v>844</v>
      </c>
      <c r="H569">
        <v>371</v>
      </c>
      <c r="I569">
        <v>1821</v>
      </c>
      <c r="J569">
        <v>17</v>
      </c>
      <c r="K569">
        <v>0.86</v>
      </c>
      <c r="L569">
        <v>1.77</v>
      </c>
      <c r="M569">
        <v>104</v>
      </c>
      <c r="N569">
        <v>85</v>
      </c>
      <c r="O569">
        <v>1.66</v>
      </c>
      <c r="P569">
        <v>9.58</v>
      </c>
      <c r="Q569">
        <v>11.29</v>
      </c>
      <c r="R569">
        <v>16.13</v>
      </c>
      <c r="S569">
        <v>47.51</v>
      </c>
      <c r="T569">
        <v>25.05</v>
      </c>
      <c r="U569">
        <v>0.62</v>
      </c>
      <c r="V569">
        <v>10.63</v>
      </c>
      <c r="W569">
        <v>0.65</v>
      </c>
      <c r="X569" s="1">
        <v>43627</v>
      </c>
    </row>
    <row r="570" spans="1:24" x14ac:dyDescent="0.25">
      <c r="A570" t="s">
        <v>181</v>
      </c>
      <c r="B570">
        <v>2019</v>
      </c>
      <c r="D570">
        <v>7</v>
      </c>
      <c r="E570">
        <v>7.75</v>
      </c>
      <c r="F570">
        <v>143</v>
      </c>
      <c r="G570">
        <v>1223</v>
      </c>
      <c r="H570">
        <v>555</v>
      </c>
      <c r="I570">
        <v>2616</v>
      </c>
      <c r="J570">
        <v>21</v>
      </c>
      <c r="K570">
        <v>1.3</v>
      </c>
      <c r="L570">
        <v>2.81</v>
      </c>
      <c r="M570">
        <v>145</v>
      </c>
      <c r="N570">
        <v>104</v>
      </c>
      <c r="O570">
        <v>2.23</v>
      </c>
      <c r="P570">
        <v>12.42</v>
      </c>
      <c r="Q570">
        <v>12.62</v>
      </c>
      <c r="R570">
        <v>18.61</v>
      </c>
      <c r="S570">
        <v>52.65</v>
      </c>
      <c r="T570">
        <v>16.100000000000001</v>
      </c>
      <c r="U570">
        <v>0.78</v>
      </c>
      <c r="V570">
        <v>18.64</v>
      </c>
      <c r="W570">
        <v>0.52</v>
      </c>
      <c r="X570" s="1">
        <v>43627</v>
      </c>
    </row>
    <row r="571" spans="1:24" x14ac:dyDescent="0.25">
      <c r="A571" t="s">
        <v>182</v>
      </c>
      <c r="B571">
        <v>2019</v>
      </c>
      <c r="D571">
        <v>7</v>
      </c>
      <c r="E571">
        <v>7.65</v>
      </c>
      <c r="F571">
        <v>66</v>
      </c>
      <c r="G571">
        <v>1110</v>
      </c>
      <c r="H571">
        <v>488</v>
      </c>
      <c r="I571">
        <v>2216</v>
      </c>
      <c r="J571">
        <v>19</v>
      </c>
      <c r="K571">
        <v>0.95</v>
      </c>
      <c r="L571">
        <v>1.86</v>
      </c>
      <c r="M571">
        <v>128</v>
      </c>
      <c r="N571">
        <v>99</v>
      </c>
      <c r="O571">
        <v>2.06</v>
      </c>
      <c r="P571">
        <v>11.79</v>
      </c>
      <c r="Q571">
        <v>12.06</v>
      </c>
      <c r="R571">
        <v>17.23</v>
      </c>
      <c r="S571">
        <v>46.96</v>
      </c>
      <c r="T571">
        <v>23.73</v>
      </c>
      <c r="U571">
        <v>0.7</v>
      </c>
      <c r="V571">
        <v>12.21</v>
      </c>
      <c r="W571">
        <v>2.38</v>
      </c>
      <c r="X571" s="1">
        <v>43627</v>
      </c>
    </row>
    <row r="572" spans="1:24" x14ac:dyDescent="0.25">
      <c r="A572" t="s">
        <v>391</v>
      </c>
      <c r="B572">
        <v>2019</v>
      </c>
      <c r="D572">
        <v>7.3</v>
      </c>
      <c r="E572">
        <v>7.85</v>
      </c>
      <c r="F572">
        <v>111</v>
      </c>
      <c r="G572">
        <v>1183</v>
      </c>
      <c r="H572">
        <v>505</v>
      </c>
      <c r="I572">
        <v>1940</v>
      </c>
      <c r="J572">
        <v>15</v>
      </c>
      <c r="K572">
        <v>1.1200000000000001</v>
      </c>
      <c r="L572">
        <v>2.2999999999999998</v>
      </c>
      <c r="M572">
        <v>120</v>
      </c>
      <c r="N572">
        <v>83</v>
      </c>
      <c r="O572">
        <v>1.83</v>
      </c>
      <c r="P572">
        <v>9.67</v>
      </c>
      <c r="Q572">
        <v>15.68</v>
      </c>
      <c r="R572">
        <v>21.75</v>
      </c>
      <c r="S572">
        <v>50.15</v>
      </c>
      <c r="T572">
        <v>12.4</v>
      </c>
      <c r="U572">
        <v>0.65</v>
      </c>
      <c r="V572">
        <v>7.12</v>
      </c>
      <c r="W572">
        <v>1.17</v>
      </c>
      <c r="X572" s="1">
        <v>43627</v>
      </c>
    </row>
    <row r="573" spans="1:24" x14ac:dyDescent="0.25">
      <c r="A573" t="s">
        <v>440</v>
      </c>
      <c r="B573">
        <v>2019</v>
      </c>
      <c r="D573">
        <v>7.4</v>
      </c>
      <c r="E573">
        <v>7.75</v>
      </c>
      <c r="F573">
        <v>86</v>
      </c>
      <c r="G573">
        <v>911</v>
      </c>
      <c r="H573">
        <v>498</v>
      </c>
      <c r="I573">
        <v>1907</v>
      </c>
      <c r="J573">
        <v>12</v>
      </c>
      <c r="K573">
        <v>0.88</v>
      </c>
      <c r="L573">
        <v>2.13</v>
      </c>
      <c r="M573">
        <v>123</v>
      </c>
      <c r="N573">
        <v>87</v>
      </c>
      <c r="O573">
        <v>1.85</v>
      </c>
      <c r="P573">
        <v>10.01</v>
      </c>
      <c r="Q573">
        <v>11.66</v>
      </c>
      <c r="R573">
        <v>20.72</v>
      </c>
      <c r="S573">
        <v>47.62</v>
      </c>
      <c r="T573">
        <v>19.97</v>
      </c>
      <c r="U573">
        <v>0.53</v>
      </c>
      <c r="V573">
        <v>3.1</v>
      </c>
      <c r="W573">
        <v>1.7</v>
      </c>
      <c r="X573" s="1">
        <v>43627</v>
      </c>
    </row>
    <row r="574" spans="1:24" x14ac:dyDescent="0.25">
      <c r="A574" t="s">
        <v>441</v>
      </c>
      <c r="B574">
        <v>2019</v>
      </c>
      <c r="D574">
        <v>6.6</v>
      </c>
      <c r="E574">
        <v>7.75</v>
      </c>
      <c r="F574">
        <v>84</v>
      </c>
      <c r="G574">
        <v>891</v>
      </c>
      <c r="H574">
        <v>527</v>
      </c>
      <c r="I574">
        <v>2042</v>
      </c>
      <c r="J574">
        <v>17</v>
      </c>
      <c r="K574">
        <v>0.86</v>
      </c>
      <c r="L574">
        <v>3.21</v>
      </c>
      <c r="M574">
        <v>114</v>
      </c>
      <c r="N574">
        <v>85</v>
      </c>
      <c r="O574">
        <v>1.82</v>
      </c>
      <c r="P574">
        <v>10.44</v>
      </c>
      <c r="Q574">
        <v>10.93</v>
      </c>
      <c r="R574">
        <v>21.02</v>
      </c>
      <c r="S574">
        <v>48.88</v>
      </c>
      <c r="T574">
        <v>19.149999999999999</v>
      </c>
      <c r="U574">
        <v>0.61</v>
      </c>
      <c r="V574">
        <v>19.43</v>
      </c>
      <c r="W574">
        <v>1.89</v>
      </c>
      <c r="X574" s="1">
        <v>43627</v>
      </c>
    </row>
    <row r="575" spans="1:24" x14ac:dyDescent="0.25">
      <c r="A575" t="s">
        <v>422</v>
      </c>
      <c r="B575">
        <v>2019</v>
      </c>
      <c r="D575">
        <v>8.1999999999999993</v>
      </c>
      <c r="E575">
        <v>7.7</v>
      </c>
      <c r="F575">
        <v>54</v>
      </c>
      <c r="G575">
        <v>1051</v>
      </c>
      <c r="H575">
        <v>489</v>
      </c>
      <c r="I575">
        <v>9696</v>
      </c>
      <c r="J575">
        <v>14</v>
      </c>
      <c r="K575">
        <v>2.14</v>
      </c>
      <c r="L575">
        <v>2.94</v>
      </c>
      <c r="M575">
        <v>285</v>
      </c>
      <c r="N575">
        <v>66</v>
      </c>
      <c r="O575">
        <v>5.09</v>
      </c>
      <c r="P575">
        <v>30.02</v>
      </c>
      <c r="Q575">
        <v>4.4800000000000004</v>
      </c>
      <c r="R575">
        <v>6.78</v>
      </c>
      <c r="S575">
        <v>80.73</v>
      </c>
      <c r="T575">
        <v>7.99</v>
      </c>
      <c r="U575">
        <v>1.44</v>
      </c>
      <c r="V575">
        <v>4.4400000000000004</v>
      </c>
      <c r="W575">
        <v>1.78</v>
      </c>
      <c r="X575" s="1">
        <v>43627</v>
      </c>
    </row>
    <row r="576" spans="1:24" x14ac:dyDescent="0.25">
      <c r="A576" t="s">
        <v>423</v>
      </c>
      <c r="B576">
        <v>2019</v>
      </c>
      <c r="D576">
        <v>8.3000000000000007</v>
      </c>
      <c r="E576">
        <v>7.8</v>
      </c>
      <c r="F576">
        <v>42</v>
      </c>
      <c r="G576">
        <v>964</v>
      </c>
      <c r="H576">
        <v>437</v>
      </c>
      <c r="I576">
        <v>9463</v>
      </c>
      <c r="J576">
        <v>15</v>
      </c>
      <c r="K576">
        <v>2.12</v>
      </c>
      <c r="L576">
        <v>1.35</v>
      </c>
      <c r="M576">
        <v>242</v>
      </c>
      <c r="N576">
        <v>66</v>
      </c>
      <c r="O576">
        <v>4.4000000000000004</v>
      </c>
      <c r="P576">
        <v>28.31</v>
      </c>
      <c r="Q576">
        <v>4.3600000000000003</v>
      </c>
      <c r="R576">
        <v>6.43</v>
      </c>
      <c r="S576">
        <v>83.55</v>
      </c>
      <c r="T576">
        <v>5.65</v>
      </c>
      <c r="U576">
        <v>1.07</v>
      </c>
      <c r="V576">
        <v>14.36</v>
      </c>
      <c r="W576">
        <v>1.1000000000000001</v>
      </c>
      <c r="X576" s="1">
        <v>43627</v>
      </c>
    </row>
    <row r="577" spans="1:24" x14ac:dyDescent="0.25">
      <c r="A577" t="s">
        <v>424</v>
      </c>
      <c r="B577">
        <v>2019</v>
      </c>
      <c r="D577">
        <v>8.1999999999999993</v>
      </c>
      <c r="E577">
        <v>7.8</v>
      </c>
      <c r="F577">
        <v>64</v>
      </c>
      <c r="G577">
        <v>1114</v>
      </c>
      <c r="H577">
        <v>470</v>
      </c>
      <c r="I577">
        <v>8787</v>
      </c>
      <c r="J577">
        <v>33</v>
      </c>
      <c r="K577">
        <v>2.4500000000000002</v>
      </c>
      <c r="L577">
        <v>1.5</v>
      </c>
      <c r="M577">
        <v>244</v>
      </c>
      <c r="N577">
        <v>65</v>
      </c>
      <c r="O577">
        <v>4.43</v>
      </c>
      <c r="P577">
        <v>26.95</v>
      </c>
      <c r="Q577">
        <v>5.29</v>
      </c>
      <c r="R577">
        <v>7.26</v>
      </c>
      <c r="S577">
        <v>81.489999999999995</v>
      </c>
      <c r="T577">
        <v>5.93</v>
      </c>
      <c r="U577">
        <v>1.23</v>
      </c>
      <c r="V577">
        <v>22.63</v>
      </c>
      <c r="W577">
        <v>1.81</v>
      </c>
      <c r="X577" s="1">
        <v>43627</v>
      </c>
    </row>
    <row r="578" spans="1:24" x14ac:dyDescent="0.25">
      <c r="A578" t="s">
        <v>425</v>
      </c>
      <c r="B578">
        <v>2019</v>
      </c>
      <c r="D578">
        <v>7.2</v>
      </c>
      <c r="E578">
        <v>7.75</v>
      </c>
      <c r="F578">
        <v>16</v>
      </c>
      <c r="G578">
        <v>605</v>
      </c>
      <c r="H578">
        <v>302</v>
      </c>
      <c r="I578">
        <v>1585</v>
      </c>
      <c r="J578">
        <v>15</v>
      </c>
      <c r="K578">
        <v>0.63</v>
      </c>
      <c r="L578">
        <v>0.78</v>
      </c>
      <c r="M578">
        <v>71</v>
      </c>
      <c r="N578">
        <v>83</v>
      </c>
      <c r="O578">
        <v>1.36</v>
      </c>
      <c r="P578">
        <v>7.99</v>
      </c>
      <c r="Q578">
        <v>9.69</v>
      </c>
      <c r="R578">
        <v>15.73</v>
      </c>
      <c r="S578">
        <v>49.55</v>
      </c>
      <c r="T578">
        <v>25.01</v>
      </c>
      <c r="U578">
        <v>0.4</v>
      </c>
      <c r="V578">
        <v>4.01</v>
      </c>
      <c r="W578">
        <v>1.0900000000000001</v>
      </c>
      <c r="X578" s="1">
        <v>43627</v>
      </c>
    </row>
    <row r="579" spans="1:24" x14ac:dyDescent="0.25">
      <c r="A579" t="s">
        <v>426</v>
      </c>
      <c r="B579">
        <v>2019</v>
      </c>
      <c r="D579">
        <v>7.3</v>
      </c>
      <c r="E579">
        <v>7.8</v>
      </c>
      <c r="F579">
        <v>22</v>
      </c>
      <c r="G579">
        <v>627</v>
      </c>
      <c r="H579">
        <v>366</v>
      </c>
      <c r="I579">
        <v>1935</v>
      </c>
      <c r="J579">
        <v>19</v>
      </c>
      <c r="K579">
        <v>1.1599999999999999</v>
      </c>
      <c r="L579">
        <v>1.01</v>
      </c>
      <c r="M579">
        <v>60</v>
      </c>
      <c r="N579">
        <v>73</v>
      </c>
      <c r="O579">
        <v>1.3</v>
      </c>
      <c r="P579">
        <v>8.76</v>
      </c>
      <c r="Q579">
        <v>9.16</v>
      </c>
      <c r="R579">
        <v>17.39</v>
      </c>
      <c r="S579">
        <v>55.18</v>
      </c>
      <c r="T579">
        <v>18.25</v>
      </c>
      <c r="U579">
        <v>0.5</v>
      </c>
      <c r="V579">
        <v>4.04</v>
      </c>
      <c r="W579">
        <v>1.67</v>
      </c>
      <c r="X579" s="1">
        <v>43627</v>
      </c>
    </row>
    <row r="580" spans="1:24" x14ac:dyDescent="0.25">
      <c r="A580" t="s">
        <v>427</v>
      </c>
      <c r="B580">
        <v>2019</v>
      </c>
      <c r="D580">
        <v>7.2</v>
      </c>
      <c r="E580">
        <v>7.9</v>
      </c>
      <c r="F580">
        <v>27</v>
      </c>
      <c r="G580">
        <v>727</v>
      </c>
      <c r="H580">
        <v>365</v>
      </c>
      <c r="I580">
        <v>1925</v>
      </c>
      <c r="J580">
        <v>19</v>
      </c>
      <c r="K580">
        <v>1.1299999999999999</v>
      </c>
      <c r="L580">
        <v>1.41</v>
      </c>
      <c r="M580">
        <v>76</v>
      </c>
      <c r="N580">
        <v>78</v>
      </c>
      <c r="O580">
        <v>1.52</v>
      </c>
      <c r="P580">
        <v>8.06</v>
      </c>
      <c r="Q580">
        <v>11.55</v>
      </c>
      <c r="R580">
        <v>18.850000000000001</v>
      </c>
      <c r="S580">
        <v>59.66</v>
      </c>
      <c r="T580">
        <v>9.91</v>
      </c>
      <c r="U580">
        <v>0.53</v>
      </c>
      <c r="V580">
        <v>4.63</v>
      </c>
      <c r="W580">
        <v>1.1299999999999999</v>
      </c>
      <c r="X580" s="1">
        <v>43627</v>
      </c>
    </row>
    <row r="581" spans="1:24" x14ac:dyDescent="0.25">
      <c r="A581" t="s">
        <v>428</v>
      </c>
      <c r="B581">
        <v>2019</v>
      </c>
      <c r="D581">
        <v>7.1</v>
      </c>
      <c r="E581">
        <v>7.9</v>
      </c>
      <c r="F581">
        <v>28</v>
      </c>
      <c r="G581">
        <v>493</v>
      </c>
      <c r="H581">
        <v>245</v>
      </c>
      <c r="I581">
        <v>1673</v>
      </c>
      <c r="J581">
        <v>20</v>
      </c>
      <c r="K581">
        <v>0.87</v>
      </c>
      <c r="L581">
        <v>1.88</v>
      </c>
      <c r="M581">
        <v>70</v>
      </c>
      <c r="N581">
        <v>70</v>
      </c>
      <c r="O581">
        <v>1.35</v>
      </c>
      <c r="P581">
        <v>6.63</v>
      </c>
      <c r="Q581">
        <v>9.52</v>
      </c>
      <c r="R581">
        <v>15.38</v>
      </c>
      <c r="S581">
        <v>63.03</v>
      </c>
      <c r="T581">
        <v>12.05</v>
      </c>
      <c r="U581">
        <v>0.56000000000000005</v>
      </c>
      <c r="V581">
        <v>3.7</v>
      </c>
      <c r="W581">
        <v>0.92</v>
      </c>
      <c r="X581" s="1">
        <v>43627</v>
      </c>
    </row>
    <row r="582" spans="1:24" x14ac:dyDescent="0.25">
      <c r="A582" t="s">
        <v>429</v>
      </c>
      <c r="B582">
        <v>2019</v>
      </c>
      <c r="D582">
        <v>7.2</v>
      </c>
      <c r="E582">
        <v>7.9</v>
      </c>
      <c r="F582">
        <v>14</v>
      </c>
      <c r="G582">
        <v>320</v>
      </c>
      <c r="H582">
        <v>192</v>
      </c>
      <c r="I582">
        <v>1259</v>
      </c>
      <c r="J582">
        <v>12</v>
      </c>
      <c r="K582">
        <v>0.63</v>
      </c>
      <c r="L582">
        <v>1.23</v>
      </c>
      <c r="M582">
        <v>60</v>
      </c>
      <c r="N582">
        <v>62</v>
      </c>
      <c r="O582">
        <v>0.94</v>
      </c>
      <c r="P582">
        <v>5.15</v>
      </c>
      <c r="Q582">
        <v>7.95</v>
      </c>
      <c r="R582">
        <v>15.51</v>
      </c>
      <c r="S582">
        <v>61.02</v>
      </c>
      <c r="T582">
        <v>15.51</v>
      </c>
      <c r="U582">
        <v>0.4</v>
      </c>
      <c r="V582">
        <v>2.68</v>
      </c>
      <c r="W582">
        <v>1.32</v>
      </c>
      <c r="X582" s="1">
        <v>43627</v>
      </c>
    </row>
    <row r="583" spans="1:24" x14ac:dyDescent="0.25">
      <c r="A583" t="s">
        <v>430</v>
      </c>
      <c r="B583">
        <v>2019</v>
      </c>
      <c r="D583">
        <v>6.9</v>
      </c>
      <c r="E583">
        <v>7.85</v>
      </c>
      <c r="F583">
        <v>29</v>
      </c>
      <c r="G583">
        <v>558</v>
      </c>
      <c r="H583">
        <v>259</v>
      </c>
      <c r="I583">
        <v>1633</v>
      </c>
      <c r="J583">
        <v>15</v>
      </c>
      <c r="K583">
        <v>0.95</v>
      </c>
      <c r="L583">
        <v>1.6</v>
      </c>
      <c r="M583">
        <v>74</v>
      </c>
      <c r="N583">
        <v>66</v>
      </c>
      <c r="O583">
        <v>1.36</v>
      </c>
      <c r="P583">
        <v>7.07</v>
      </c>
      <c r="Q583">
        <v>10.1</v>
      </c>
      <c r="R583">
        <v>15.24</v>
      </c>
      <c r="S583">
        <v>57.68</v>
      </c>
      <c r="T583">
        <v>16.95</v>
      </c>
      <c r="U583">
        <v>0.59</v>
      </c>
      <c r="V583">
        <v>8.23</v>
      </c>
      <c r="W583">
        <v>1.25</v>
      </c>
      <c r="X583" s="1">
        <v>43627</v>
      </c>
    </row>
    <row r="584" spans="1:24" x14ac:dyDescent="0.25">
      <c r="A584" t="s">
        <v>431</v>
      </c>
      <c r="B584">
        <v>2019</v>
      </c>
      <c r="D584">
        <v>7.3</v>
      </c>
      <c r="E584">
        <v>7.85</v>
      </c>
      <c r="F584">
        <v>140</v>
      </c>
      <c r="G584">
        <v>1096</v>
      </c>
      <c r="H584">
        <v>1116</v>
      </c>
      <c r="I584">
        <v>2890</v>
      </c>
      <c r="J584">
        <v>77</v>
      </c>
      <c r="K584">
        <v>2.86</v>
      </c>
      <c r="L584">
        <v>42.76</v>
      </c>
      <c r="M584">
        <v>140</v>
      </c>
      <c r="N584">
        <v>70</v>
      </c>
      <c r="O584">
        <v>2.48</v>
      </c>
      <c r="P584">
        <v>14.48</v>
      </c>
      <c r="Q584">
        <v>9.6999999999999993</v>
      </c>
      <c r="R584">
        <v>32.11</v>
      </c>
      <c r="S584">
        <v>49.89</v>
      </c>
      <c r="T584">
        <v>8.2799999999999994</v>
      </c>
      <c r="U584">
        <v>1.2</v>
      </c>
      <c r="V584">
        <v>34.67</v>
      </c>
      <c r="W584">
        <v>1.1399999999999999</v>
      </c>
      <c r="X584" s="1">
        <v>43628</v>
      </c>
    </row>
    <row r="585" spans="1:24" x14ac:dyDescent="0.25">
      <c r="A585" t="s">
        <v>432</v>
      </c>
      <c r="B585">
        <v>2019</v>
      </c>
      <c r="D585">
        <v>7</v>
      </c>
      <c r="E585">
        <v>7.75</v>
      </c>
      <c r="F585">
        <v>118</v>
      </c>
      <c r="G585">
        <v>970</v>
      </c>
      <c r="H585">
        <v>1135</v>
      </c>
      <c r="I585">
        <v>2956</v>
      </c>
      <c r="J585">
        <v>49</v>
      </c>
      <c r="K585">
        <v>2.68</v>
      </c>
      <c r="L585">
        <v>29.1</v>
      </c>
      <c r="M585">
        <v>123</v>
      </c>
      <c r="N585">
        <v>80</v>
      </c>
      <c r="O585">
        <v>2.52</v>
      </c>
      <c r="P585">
        <v>15.36</v>
      </c>
      <c r="Q585">
        <v>8.09</v>
      </c>
      <c r="R585">
        <v>30.78</v>
      </c>
      <c r="S585">
        <v>48.1</v>
      </c>
      <c r="T585">
        <v>13.01</v>
      </c>
      <c r="U585">
        <v>1.6</v>
      </c>
      <c r="V585">
        <v>23.19</v>
      </c>
      <c r="W585">
        <v>1.33</v>
      </c>
      <c r="X585" s="1">
        <v>43628</v>
      </c>
    </row>
    <row r="586" spans="1:24" x14ac:dyDescent="0.25">
      <c r="A586" t="s">
        <v>433</v>
      </c>
      <c r="B586">
        <v>2019</v>
      </c>
      <c r="D586">
        <v>7.1</v>
      </c>
      <c r="E586">
        <v>7.75</v>
      </c>
      <c r="F586">
        <v>130</v>
      </c>
      <c r="G586">
        <v>879</v>
      </c>
      <c r="H586">
        <v>1008</v>
      </c>
      <c r="I586">
        <v>2639</v>
      </c>
      <c r="J586">
        <v>75</v>
      </c>
      <c r="K586">
        <v>2.5299999999999998</v>
      </c>
      <c r="L586">
        <v>18.440000000000001</v>
      </c>
      <c r="M586">
        <v>140</v>
      </c>
      <c r="N586">
        <v>66</v>
      </c>
      <c r="O586">
        <v>2.23</v>
      </c>
      <c r="P586">
        <v>13.92</v>
      </c>
      <c r="Q586">
        <v>8.09</v>
      </c>
      <c r="R586">
        <v>30.16</v>
      </c>
      <c r="S586">
        <v>47.38</v>
      </c>
      <c r="T586">
        <v>14.36</v>
      </c>
      <c r="U586">
        <v>1.19</v>
      </c>
      <c r="V586">
        <v>31.54</v>
      </c>
      <c r="W586">
        <v>0.83</v>
      </c>
      <c r="X586" s="1">
        <v>43628</v>
      </c>
    </row>
    <row r="587" spans="1:24" x14ac:dyDescent="0.25">
      <c r="A587" t="s">
        <v>434</v>
      </c>
      <c r="B587">
        <v>2019</v>
      </c>
      <c r="D587">
        <v>7.6</v>
      </c>
      <c r="E587">
        <v>7.8</v>
      </c>
      <c r="F587">
        <v>94</v>
      </c>
      <c r="G587">
        <v>1172</v>
      </c>
      <c r="H587">
        <v>883</v>
      </c>
      <c r="I587">
        <v>2359</v>
      </c>
      <c r="J587">
        <v>42</v>
      </c>
      <c r="K587">
        <v>2.74</v>
      </c>
      <c r="L587">
        <v>46.57</v>
      </c>
      <c r="M587">
        <v>113</v>
      </c>
      <c r="N587">
        <v>66</v>
      </c>
      <c r="O587">
        <v>2.67</v>
      </c>
      <c r="P587">
        <v>12.67</v>
      </c>
      <c r="Q587">
        <v>11.85</v>
      </c>
      <c r="R587">
        <v>29.01</v>
      </c>
      <c r="S587">
        <v>46.51</v>
      </c>
      <c r="T587">
        <v>12.61</v>
      </c>
      <c r="U587">
        <v>1.1299999999999999</v>
      </c>
      <c r="V587">
        <v>18.2</v>
      </c>
      <c r="W587">
        <v>1.53</v>
      </c>
      <c r="X587" s="1">
        <v>43628</v>
      </c>
    </row>
    <row r="588" spans="1:24" x14ac:dyDescent="0.25">
      <c r="A588" t="s">
        <v>435</v>
      </c>
      <c r="B588">
        <v>2019</v>
      </c>
      <c r="D588">
        <v>7.3</v>
      </c>
      <c r="E588">
        <v>7.85</v>
      </c>
      <c r="F588">
        <v>207</v>
      </c>
      <c r="G588">
        <v>1081</v>
      </c>
      <c r="H588">
        <v>907</v>
      </c>
      <c r="I588">
        <v>2551</v>
      </c>
      <c r="J588">
        <v>36</v>
      </c>
      <c r="K588">
        <v>2.35</v>
      </c>
      <c r="L588">
        <v>33.840000000000003</v>
      </c>
      <c r="M588">
        <v>114</v>
      </c>
      <c r="N588">
        <v>84</v>
      </c>
      <c r="O588">
        <v>2.4300000000000002</v>
      </c>
      <c r="P588">
        <v>12.74</v>
      </c>
      <c r="Q588">
        <v>10.87</v>
      </c>
      <c r="R588">
        <v>29.65</v>
      </c>
      <c r="S588">
        <v>50.04</v>
      </c>
      <c r="T588">
        <v>9.41</v>
      </c>
      <c r="U588">
        <v>1.33</v>
      </c>
      <c r="V588">
        <v>15.14</v>
      </c>
      <c r="W588">
        <v>1.72</v>
      </c>
      <c r="X588" s="1">
        <v>43628</v>
      </c>
    </row>
    <row r="589" spans="1:24" x14ac:dyDescent="0.25">
      <c r="A589" t="s">
        <v>436</v>
      </c>
      <c r="B589">
        <v>2019</v>
      </c>
      <c r="D589">
        <v>7.7</v>
      </c>
      <c r="E589">
        <v>7.85</v>
      </c>
      <c r="F589">
        <v>249</v>
      </c>
      <c r="G589">
        <v>1525</v>
      </c>
      <c r="H589">
        <v>994</v>
      </c>
      <c r="I589">
        <v>2823</v>
      </c>
      <c r="J589">
        <v>32</v>
      </c>
      <c r="K589">
        <v>2.99</v>
      </c>
      <c r="L589">
        <v>18.579999999999998</v>
      </c>
      <c r="M589">
        <v>114</v>
      </c>
      <c r="N589">
        <v>86</v>
      </c>
      <c r="O589">
        <v>2.54</v>
      </c>
      <c r="P589">
        <v>14.35</v>
      </c>
      <c r="Q589">
        <v>13.62</v>
      </c>
      <c r="R589">
        <v>28.85</v>
      </c>
      <c r="S589">
        <v>49.16</v>
      </c>
      <c r="T589">
        <v>8.35</v>
      </c>
      <c r="U589">
        <v>1.31</v>
      </c>
      <c r="V589">
        <v>21.07</v>
      </c>
      <c r="W589">
        <v>2.37</v>
      </c>
      <c r="X589" s="1">
        <v>43628</v>
      </c>
    </row>
    <row r="590" spans="1:24" x14ac:dyDescent="0.25">
      <c r="A590" t="s">
        <v>437</v>
      </c>
      <c r="B590">
        <v>2019</v>
      </c>
      <c r="D590">
        <v>8</v>
      </c>
      <c r="E590">
        <v>7.75</v>
      </c>
      <c r="F590">
        <v>325</v>
      </c>
      <c r="G590">
        <v>1948</v>
      </c>
      <c r="H590">
        <v>1580</v>
      </c>
      <c r="I590">
        <v>9668</v>
      </c>
      <c r="J590">
        <v>133</v>
      </c>
      <c r="K590">
        <v>4.9800000000000004</v>
      </c>
      <c r="L590">
        <v>16.95</v>
      </c>
      <c r="M590">
        <v>190</v>
      </c>
      <c r="N590">
        <v>105</v>
      </c>
      <c r="O590">
        <v>5.19</v>
      </c>
      <c r="P590">
        <v>35.25</v>
      </c>
      <c r="Q590">
        <v>7.08</v>
      </c>
      <c r="R590">
        <v>18.670000000000002</v>
      </c>
      <c r="S590">
        <v>68.56</v>
      </c>
      <c r="T590">
        <v>5.67</v>
      </c>
      <c r="U590">
        <v>2.06</v>
      </c>
      <c r="V590">
        <v>86.14</v>
      </c>
      <c r="W590">
        <v>1.33</v>
      </c>
      <c r="X590" s="1">
        <v>43628</v>
      </c>
    </row>
    <row r="591" spans="1:24" x14ac:dyDescent="0.25">
      <c r="A591" t="s">
        <v>438</v>
      </c>
      <c r="B591">
        <v>2019</v>
      </c>
      <c r="D591">
        <v>8.1999999999999993</v>
      </c>
      <c r="E591">
        <v>7.8</v>
      </c>
      <c r="F591">
        <v>590</v>
      </c>
      <c r="G591">
        <v>2481</v>
      </c>
      <c r="H591">
        <v>2025</v>
      </c>
      <c r="I591">
        <v>10310</v>
      </c>
      <c r="J591">
        <v>116</v>
      </c>
      <c r="K591">
        <v>6.56</v>
      </c>
      <c r="L591">
        <v>23.2</v>
      </c>
      <c r="M591">
        <v>122</v>
      </c>
      <c r="N591">
        <v>169</v>
      </c>
      <c r="O591">
        <v>5.52</v>
      </c>
      <c r="P591">
        <v>38.99</v>
      </c>
      <c r="Q591">
        <v>8.15</v>
      </c>
      <c r="R591">
        <v>21.63</v>
      </c>
      <c r="S591">
        <v>66.099999999999994</v>
      </c>
      <c r="T591">
        <v>4.0999999999999996</v>
      </c>
      <c r="U591">
        <v>2.0699999999999998</v>
      </c>
      <c r="V591">
        <v>37.380000000000003</v>
      </c>
      <c r="W591">
        <v>1.1599999999999999</v>
      </c>
      <c r="X591" s="1">
        <v>43628</v>
      </c>
    </row>
    <row r="592" spans="1:24" x14ac:dyDescent="0.25">
      <c r="A592" t="s">
        <v>439</v>
      </c>
      <c r="B592">
        <v>2019</v>
      </c>
      <c r="D592">
        <v>8.1999999999999993</v>
      </c>
      <c r="E592">
        <v>7.85</v>
      </c>
      <c r="F592">
        <v>495</v>
      </c>
      <c r="G592">
        <v>1980</v>
      </c>
      <c r="H592">
        <v>1830</v>
      </c>
      <c r="I592">
        <v>10450</v>
      </c>
      <c r="J592">
        <v>89</v>
      </c>
      <c r="K592">
        <v>5.89</v>
      </c>
      <c r="L592">
        <v>25.29</v>
      </c>
      <c r="M592">
        <v>135</v>
      </c>
      <c r="N592">
        <v>133</v>
      </c>
      <c r="O592">
        <v>5.0599999999999996</v>
      </c>
      <c r="P592">
        <v>37.479999999999997</v>
      </c>
      <c r="Q592">
        <v>6.77</v>
      </c>
      <c r="R592">
        <v>20.329999999999998</v>
      </c>
      <c r="S592">
        <v>69.680000000000007</v>
      </c>
      <c r="T592">
        <v>3.2</v>
      </c>
      <c r="U592">
        <v>2.15</v>
      </c>
      <c r="V592">
        <v>30</v>
      </c>
      <c r="W592">
        <v>1.06</v>
      </c>
      <c r="X592" s="1">
        <v>43628</v>
      </c>
    </row>
    <row r="593" spans="1:24" x14ac:dyDescent="0.25">
      <c r="A593" t="s">
        <v>392</v>
      </c>
      <c r="B593">
        <v>2019</v>
      </c>
      <c r="D593">
        <v>6.8</v>
      </c>
      <c r="E593">
        <v>7.7</v>
      </c>
      <c r="F593">
        <v>68</v>
      </c>
      <c r="G593">
        <v>1103</v>
      </c>
      <c r="H593">
        <v>1329</v>
      </c>
      <c r="I593">
        <v>4793</v>
      </c>
      <c r="J593">
        <v>21</v>
      </c>
      <c r="K593">
        <v>2.58</v>
      </c>
      <c r="L593">
        <v>3.98</v>
      </c>
      <c r="M593">
        <v>498</v>
      </c>
      <c r="N593">
        <v>83</v>
      </c>
      <c r="O593">
        <v>4.8099999999999996</v>
      </c>
      <c r="P593">
        <v>21.33</v>
      </c>
      <c r="Q593">
        <v>6.62</v>
      </c>
      <c r="R593">
        <v>25.95</v>
      </c>
      <c r="S593">
        <v>56.16</v>
      </c>
      <c r="T593">
        <v>11.24</v>
      </c>
      <c r="U593">
        <v>1.36</v>
      </c>
      <c r="V593">
        <v>7.92</v>
      </c>
      <c r="W593">
        <v>0.6</v>
      </c>
      <c r="X593" s="1">
        <v>43634</v>
      </c>
    </row>
    <row r="594" spans="1:24" x14ac:dyDescent="0.25">
      <c r="A594" t="s">
        <v>393</v>
      </c>
      <c r="B594">
        <v>2019</v>
      </c>
      <c r="D594">
        <v>6.9</v>
      </c>
      <c r="E594">
        <v>7.7</v>
      </c>
      <c r="F594">
        <v>85</v>
      </c>
      <c r="G594">
        <v>1355</v>
      </c>
      <c r="H594">
        <v>1374</v>
      </c>
      <c r="I594">
        <v>4678</v>
      </c>
      <c r="J594">
        <v>23</v>
      </c>
      <c r="K594">
        <v>2.76</v>
      </c>
      <c r="L594">
        <v>5.28</v>
      </c>
      <c r="M594">
        <v>474</v>
      </c>
      <c r="N594">
        <v>97</v>
      </c>
      <c r="O594">
        <v>4.9800000000000004</v>
      </c>
      <c r="P594">
        <v>21.55</v>
      </c>
      <c r="Q594">
        <v>8.0500000000000007</v>
      </c>
      <c r="R594">
        <v>26.55</v>
      </c>
      <c r="S594">
        <v>54.25</v>
      </c>
      <c r="T594">
        <v>11.13</v>
      </c>
      <c r="U594">
        <v>1.59</v>
      </c>
      <c r="V594">
        <v>9.3800000000000008</v>
      </c>
      <c r="W594">
        <v>0.92</v>
      </c>
      <c r="X594" s="1">
        <v>43634</v>
      </c>
    </row>
    <row r="595" spans="1:24" x14ac:dyDescent="0.25">
      <c r="A595" t="s">
        <v>394</v>
      </c>
      <c r="B595">
        <v>2019</v>
      </c>
      <c r="D595">
        <v>6.7</v>
      </c>
      <c r="E595">
        <v>7.65</v>
      </c>
      <c r="F595">
        <v>110</v>
      </c>
      <c r="G595">
        <v>1252</v>
      </c>
      <c r="H595">
        <v>1374</v>
      </c>
      <c r="I595">
        <v>4711</v>
      </c>
      <c r="J595">
        <v>29</v>
      </c>
      <c r="K595">
        <v>2.21</v>
      </c>
      <c r="L595">
        <v>4.12</v>
      </c>
      <c r="M595">
        <v>491</v>
      </c>
      <c r="N595">
        <v>112</v>
      </c>
      <c r="O595">
        <v>5.05</v>
      </c>
      <c r="P595">
        <v>21.9</v>
      </c>
      <c r="Q595">
        <v>7.32</v>
      </c>
      <c r="R595">
        <v>26.13</v>
      </c>
      <c r="S595">
        <v>53.75</v>
      </c>
      <c r="T595">
        <v>12.78</v>
      </c>
      <c r="U595">
        <v>1.56</v>
      </c>
      <c r="V595">
        <v>18.920000000000002</v>
      </c>
      <c r="W595">
        <v>1.17</v>
      </c>
      <c r="X595" s="1">
        <v>43634</v>
      </c>
    </row>
    <row r="596" spans="1:24" x14ac:dyDescent="0.25">
      <c r="A596" t="s">
        <v>395</v>
      </c>
      <c r="B596">
        <v>2019</v>
      </c>
      <c r="D596">
        <v>7.7</v>
      </c>
      <c r="E596">
        <v>7.8</v>
      </c>
      <c r="F596">
        <v>90</v>
      </c>
      <c r="G596">
        <v>1265</v>
      </c>
      <c r="H596">
        <v>1719</v>
      </c>
      <c r="I596">
        <v>4828</v>
      </c>
      <c r="J596">
        <v>25</v>
      </c>
      <c r="K596">
        <v>3.83</v>
      </c>
      <c r="L596">
        <v>5.51</v>
      </c>
      <c r="M596">
        <v>423</v>
      </c>
      <c r="N596">
        <v>75</v>
      </c>
      <c r="O596">
        <v>5.44</v>
      </c>
      <c r="P596">
        <v>22.45</v>
      </c>
      <c r="Q596">
        <v>7.22</v>
      </c>
      <c r="R596">
        <v>31.89</v>
      </c>
      <c r="S596">
        <v>53.75</v>
      </c>
      <c r="T596">
        <v>7.12</v>
      </c>
      <c r="U596">
        <v>1.59</v>
      </c>
      <c r="V596">
        <v>13.67</v>
      </c>
      <c r="W596">
        <v>0.95</v>
      </c>
      <c r="X596" s="1">
        <v>43634</v>
      </c>
    </row>
    <row r="597" spans="1:24" x14ac:dyDescent="0.25">
      <c r="A597" t="s">
        <v>396</v>
      </c>
      <c r="B597">
        <v>2019</v>
      </c>
      <c r="D597">
        <v>7.5</v>
      </c>
      <c r="E597">
        <v>7.7</v>
      </c>
      <c r="F597">
        <v>145</v>
      </c>
      <c r="G597">
        <v>1373</v>
      </c>
      <c r="H597">
        <v>1656</v>
      </c>
      <c r="I597">
        <v>5297</v>
      </c>
      <c r="J597">
        <v>23</v>
      </c>
      <c r="K597">
        <v>3.93</v>
      </c>
      <c r="L597">
        <v>7.66</v>
      </c>
      <c r="M597">
        <v>475</v>
      </c>
      <c r="N597">
        <v>84</v>
      </c>
      <c r="O597">
        <v>6.04</v>
      </c>
      <c r="P597">
        <v>24.3</v>
      </c>
      <c r="Q597">
        <v>7.24</v>
      </c>
      <c r="R597">
        <v>28.39</v>
      </c>
      <c r="S597">
        <v>54.48</v>
      </c>
      <c r="T597">
        <v>9.8699999999999992</v>
      </c>
      <c r="U597">
        <v>1.91</v>
      </c>
      <c r="V597">
        <v>13.54</v>
      </c>
      <c r="W597">
        <v>0.82</v>
      </c>
      <c r="X597" s="1">
        <v>43634</v>
      </c>
    </row>
    <row r="598" spans="1:24" x14ac:dyDescent="0.25">
      <c r="A598" t="s">
        <v>397</v>
      </c>
      <c r="B598">
        <v>2019</v>
      </c>
      <c r="D598">
        <v>7.6</v>
      </c>
      <c r="E598">
        <v>7.7</v>
      </c>
      <c r="F598">
        <v>109</v>
      </c>
      <c r="G598">
        <v>1354</v>
      </c>
      <c r="H598">
        <v>1652</v>
      </c>
      <c r="I598">
        <v>5192</v>
      </c>
      <c r="J598">
        <v>27</v>
      </c>
      <c r="K598">
        <v>4.03</v>
      </c>
      <c r="L598">
        <v>6.07</v>
      </c>
      <c r="M598">
        <v>447</v>
      </c>
      <c r="N598">
        <v>74</v>
      </c>
      <c r="O598">
        <v>5.65</v>
      </c>
      <c r="P598">
        <v>23.99</v>
      </c>
      <c r="Q598">
        <v>7.23</v>
      </c>
      <c r="R598">
        <v>28.68</v>
      </c>
      <c r="S598">
        <v>54.08</v>
      </c>
      <c r="T598">
        <v>10</v>
      </c>
      <c r="U598">
        <v>1.88</v>
      </c>
      <c r="V598">
        <v>18.32</v>
      </c>
      <c r="W598">
        <v>1.1499999999999999</v>
      </c>
      <c r="X598" s="1">
        <v>43634</v>
      </c>
    </row>
    <row r="599" spans="1:24" x14ac:dyDescent="0.25">
      <c r="A599" t="s">
        <v>398</v>
      </c>
      <c r="B599">
        <v>2019</v>
      </c>
      <c r="D599">
        <v>8</v>
      </c>
      <c r="E599">
        <v>7.7</v>
      </c>
      <c r="F599">
        <v>55</v>
      </c>
      <c r="G599">
        <v>1559</v>
      </c>
      <c r="H599">
        <v>1637</v>
      </c>
      <c r="I599">
        <v>6252</v>
      </c>
      <c r="J599">
        <v>23</v>
      </c>
      <c r="K599">
        <v>4.55</v>
      </c>
      <c r="L599">
        <v>4.8499999999999996</v>
      </c>
      <c r="M599">
        <v>302</v>
      </c>
      <c r="N599">
        <v>75</v>
      </c>
      <c r="O599">
        <v>6.15</v>
      </c>
      <c r="P599">
        <v>26.84</v>
      </c>
      <c r="Q599">
        <v>7.44</v>
      </c>
      <c r="R599">
        <v>25.4</v>
      </c>
      <c r="S599">
        <v>58.21</v>
      </c>
      <c r="T599">
        <v>8.93</v>
      </c>
      <c r="U599">
        <v>1.78</v>
      </c>
      <c r="V599">
        <v>19.09</v>
      </c>
      <c r="W599">
        <v>0.78</v>
      </c>
      <c r="X599" s="1">
        <v>43634</v>
      </c>
    </row>
    <row r="600" spans="1:24" x14ac:dyDescent="0.25">
      <c r="A600" t="s">
        <v>399</v>
      </c>
      <c r="B600">
        <v>2019</v>
      </c>
      <c r="D600">
        <v>8.1999999999999993</v>
      </c>
      <c r="E600">
        <v>7.7</v>
      </c>
      <c r="F600">
        <v>23</v>
      </c>
      <c r="G600">
        <v>1103</v>
      </c>
      <c r="H600">
        <v>1722</v>
      </c>
      <c r="I600">
        <v>6971</v>
      </c>
      <c r="J600">
        <v>20</v>
      </c>
      <c r="K600">
        <v>4.04</v>
      </c>
      <c r="L600">
        <v>2.85</v>
      </c>
      <c r="M600">
        <v>268</v>
      </c>
      <c r="N600">
        <v>81</v>
      </c>
      <c r="O600">
        <v>5.21</v>
      </c>
      <c r="P600">
        <v>28.41</v>
      </c>
      <c r="Q600">
        <v>4.97</v>
      </c>
      <c r="R600">
        <v>25.24</v>
      </c>
      <c r="S600">
        <v>61.32</v>
      </c>
      <c r="T600">
        <v>8.44</v>
      </c>
      <c r="U600">
        <v>1.67</v>
      </c>
      <c r="V600">
        <v>8.43</v>
      </c>
      <c r="W600">
        <v>0.67</v>
      </c>
      <c r="X600" s="1">
        <v>43634</v>
      </c>
    </row>
    <row r="601" spans="1:24" x14ac:dyDescent="0.25">
      <c r="A601" t="s">
        <v>400</v>
      </c>
      <c r="B601">
        <v>2019</v>
      </c>
      <c r="D601">
        <v>8</v>
      </c>
      <c r="E601">
        <v>7.7</v>
      </c>
      <c r="F601">
        <v>37</v>
      </c>
      <c r="G601">
        <v>1510</v>
      </c>
      <c r="H601">
        <v>1836</v>
      </c>
      <c r="I601">
        <v>6163</v>
      </c>
      <c r="J601">
        <v>18</v>
      </c>
      <c r="K601">
        <v>4.28</v>
      </c>
      <c r="L601">
        <v>6.68</v>
      </c>
      <c r="M601">
        <v>307</v>
      </c>
      <c r="N601">
        <v>72</v>
      </c>
      <c r="O601">
        <v>5.6</v>
      </c>
      <c r="P601">
        <v>27.39</v>
      </c>
      <c r="Q601">
        <v>7.06</v>
      </c>
      <c r="R601">
        <v>27.92</v>
      </c>
      <c r="S601">
        <v>56.24</v>
      </c>
      <c r="T601">
        <v>8.76</v>
      </c>
      <c r="U601">
        <v>1.98</v>
      </c>
      <c r="V601">
        <v>8.42</v>
      </c>
      <c r="W601">
        <v>0.74</v>
      </c>
      <c r="X601" s="1">
        <v>43634</v>
      </c>
    </row>
    <row r="602" spans="1:24" x14ac:dyDescent="0.25">
      <c r="A602" t="s">
        <v>401</v>
      </c>
      <c r="B602">
        <v>2019</v>
      </c>
      <c r="D602">
        <v>8.1</v>
      </c>
      <c r="E602">
        <v>7.7</v>
      </c>
      <c r="F602">
        <v>29</v>
      </c>
      <c r="G602">
        <v>1427</v>
      </c>
      <c r="H602">
        <v>1869</v>
      </c>
      <c r="I602">
        <v>5749</v>
      </c>
      <c r="J602">
        <v>23</v>
      </c>
      <c r="K602">
        <v>4.99</v>
      </c>
      <c r="L602">
        <v>3.94</v>
      </c>
      <c r="M602">
        <v>312</v>
      </c>
      <c r="N602">
        <v>79</v>
      </c>
      <c r="O602">
        <v>5.66</v>
      </c>
      <c r="P602">
        <v>26.38</v>
      </c>
      <c r="Q602">
        <v>6.93</v>
      </c>
      <c r="R602">
        <v>29.5</v>
      </c>
      <c r="S602">
        <v>54.46</v>
      </c>
      <c r="T602">
        <v>9.09</v>
      </c>
      <c r="U602">
        <v>1.8</v>
      </c>
      <c r="V602">
        <v>14.08</v>
      </c>
      <c r="W602">
        <v>0.81</v>
      </c>
      <c r="X602" s="1">
        <v>43634</v>
      </c>
    </row>
    <row r="603" spans="1:24" x14ac:dyDescent="0.25">
      <c r="A603" t="s">
        <v>402</v>
      </c>
      <c r="B603">
        <v>2019</v>
      </c>
      <c r="D603">
        <v>8.1</v>
      </c>
      <c r="E603">
        <v>7.7</v>
      </c>
      <c r="F603">
        <v>20</v>
      </c>
      <c r="G603">
        <v>1067</v>
      </c>
      <c r="H603">
        <v>1753</v>
      </c>
      <c r="I603">
        <v>5262</v>
      </c>
      <c r="J603">
        <v>17</v>
      </c>
      <c r="K603">
        <v>3.77</v>
      </c>
      <c r="L603">
        <v>3.41</v>
      </c>
      <c r="M603">
        <v>298</v>
      </c>
      <c r="N603">
        <v>73</v>
      </c>
      <c r="O603">
        <v>5.19</v>
      </c>
      <c r="P603">
        <v>24.22</v>
      </c>
      <c r="Q603">
        <v>5.64</v>
      </c>
      <c r="R603">
        <v>30.14</v>
      </c>
      <c r="S603">
        <v>54.29</v>
      </c>
      <c r="T603">
        <v>9.9</v>
      </c>
      <c r="U603">
        <v>1.65</v>
      </c>
      <c r="V603">
        <v>9.8800000000000008</v>
      </c>
      <c r="W603">
        <v>0.84</v>
      </c>
      <c r="X603" s="1">
        <v>43634</v>
      </c>
    </row>
    <row r="604" spans="1:24" x14ac:dyDescent="0.25">
      <c r="A604" t="s">
        <v>403</v>
      </c>
      <c r="B604">
        <v>2019</v>
      </c>
      <c r="D604">
        <v>7.9</v>
      </c>
      <c r="E604">
        <v>7.7</v>
      </c>
      <c r="F604">
        <v>31</v>
      </c>
      <c r="G604">
        <v>1352</v>
      </c>
      <c r="H604">
        <v>1838</v>
      </c>
      <c r="I604">
        <v>5566</v>
      </c>
      <c r="J604">
        <v>23</v>
      </c>
      <c r="K604">
        <v>3.81</v>
      </c>
      <c r="L604">
        <v>4.66</v>
      </c>
      <c r="M604">
        <v>306</v>
      </c>
      <c r="N604">
        <v>76</v>
      </c>
      <c r="O604">
        <v>5.36</v>
      </c>
      <c r="P604">
        <v>25.7</v>
      </c>
      <c r="Q604">
        <v>6.74</v>
      </c>
      <c r="R604">
        <v>29.79</v>
      </c>
      <c r="S604">
        <v>54.12</v>
      </c>
      <c r="T604">
        <v>9.33</v>
      </c>
      <c r="U604">
        <v>1.87</v>
      </c>
      <c r="V604">
        <v>11.18</v>
      </c>
      <c r="W604">
        <v>0.9</v>
      </c>
      <c r="X604" s="1">
        <v>43634</v>
      </c>
    </row>
    <row r="605" spans="1:24" x14ac:dyDescent="0.25">
      <c r="A605" t="s">
        <v>404</v>
      </c>
      <c r="B605">
        <v>2019</v>
      </c>
      <c r="D605">
        <v>6.6</v>
      </c>
      <c r="E605">
        <v>7.65</v>
      </c>
      <c r="F605">
        <v>87</v>
      </c>
      <c r="G605">
        <v>1144</v>
      </c>
      <c r="H605">
        <v>1048</v>
      </c>
      <c r="I605">
        <v>3311</v>
      </c>
      <c r="J605">
        <v>21</v>
      </c>
      <c r="K605">
        <v>1.41</v>
      </c>
      <c r="L605">
        <v>2.1</v>
      </c>
      <c r="M605">
        <v>316</v>
      </c>
      <c r="N605">
        <v>98</v>
      </c>
      <c r="O605">
        <v>3.51</v>
      </c>
      <c r="P605">
        <v>16.91</v>
      </c>
      <c r="Q605">
        <v>8.67</v>
      </c>
      <c r="R605">
        <v>25.82</v>
      </c>
      <c r="S605">
        <v>48.94</v>
      </c>
      <c r="T605">
        <v>16.55</v>
      </c>
      <c r="U605">
        <v>1.48</v>
      </c>
      <c r="V605">
        <v>13.85</v>
      </c>
      <c r="W605">
        <v>0.77</v>
      </c>
      <c r="X605" s="1">
        <v>43634</v>
      </c>
    </row>
    <row r="606" spans="1:24" x14ac:dyDescent="0.25">
      <c r="A606" t="s">
        <v>405</v>
      </c>
      <c r="B606">
        <v>2019</v>
      </c>
      <c r="D606">
        <v>6.7</v>
      </c>
      <c r="E606">
        <v>7.65</v>
      </c>
      <c r="F606">
        <v>68</v>
      </c>
      <c r="G606">
        <v>1322</v>
      </c>
      <c r="H606">
        <v>1237</v>
      </c>
      <c r="I606">
        <v>3574</v>
      </c>
      <c r="J606">
        <v>33</v>
      </c>
      <c r="K606">
        <v>1.81</v>
      </c>
      <c r="L606">
        <v>2.46</v>
      </c>
      <c r="M606">
        <v>328</v>
      </c>
      <c r="N606">
        <v>92</v>
      </c>
      <c r="O606">
        <v>3.73</v>
      </c>
      <c r="P606">
        <v>18.579999999999998</v>
      </c>
      <c r="Q606">
        <v>9.1199999999999992</v>
      </c>
      <c r="R606">
        <v>27.73</v>
      </c>
      <c r="S606">
        <v>48.07</v>
      </c>
      <c r="T606">
        <v>15.06</v>
      </c>
      <c r="U606">
        <v>1.61</v>
      </c>
      <c r="V606">
        <v>21.79</v>
      </c>
      <c r="W606">
        <v>0.57999999999999996</v>
      </c>
      <c r="X606" s="1">
        <v>43634</v>
      </c>
    </row>
    <row r="607" spans="1:24" x14ac:dyDescent="0.25">
      <c r="A607" t="s">
        <v>406</v>
      </c>
      <c r="B607">
        <v>2019</v>
      </c>
      <c r="D607">
        <v>5.8</v>
      </c>
      <c r="E607">
        <v>7.55</v>
      </c>
      <c r="F607">
        <v>95</v>
      </c>
      <c r="G607">
        <v>1069</v>
      </c>
      <c r="H607">
        <v>1112</v>
      </c>
      <c r="I607">
        <v>3253</v>
      </c>
      <c r="J607">
        <v>25</v>
      </c>
      <c r="K607">
        <v>1.28</v>
      </c>
      <c r="L607">
        <v>2.42</v>
      </c>
      <c r="M607">
        <v>326</v>
      </c>
      <c r="N607">
        <v>109</v>
      </c>
      <c r="O607">
        <v>3.44</v>
      </c>
      <c r="P607">
        <v>17.73</v>
      </c>
      <c r="Q607">
        <v>7.72</v>
      </c>
      <c r="R607">
        <v>26.12</v>
      </c>
      <c r="S607">
        <v>45.85</v>
      </c>
      <c r="T607">
        <v>20.29</v>
      </c>
      <c r="U607">
        <v>1.62</v>
      </c>
      <c r="V607">
        <v>34.950000000000003</v>
      </c>
      <c r="W607">
        <v>0.98</v>
      </c>
      <c r="X607" s="1">
        <v>43634</v>
      </c>
    </row>
    <row r="608" spans="1:24" x14ac:dyDescent="0.25">
      <c r="A608" t="s">
        <v>407</v>
      </c>
      <c r="B608">
        <v>2019</v>
      </c>
      <c r="D608">
        <v>7.7</v>
      </c>
      <c r="E608">
        <v>7.75</v>
      </c>
      <c r="F608">
        <v>107</v>
      </c>
      <c r="G608">
        <v>1469</v>
      </c>
      <c r="H608">
        <v>1524</v>
      </c>
      <c r="I608">
        <v>5497</v>
      </c>
      <c r="J608">
        <v>29</v>
      </c>
      <c r="K608">
        <v>3.48</v>
      </c>
      <c r="L608">
        <v>4.5999999999999996</v>
      </c>
      <c r="M608">
        <v>267</v>
      </c>
      <c r="N608">
        <v>63</v>
      </c>
      <c r="O608">
        <v>4.8099999999999996</v>
      </c>
      <c r="P608">
        <v>23.97</v>
      </c>
      <c r="Q608">
        <v>7.85</v>
      </c>
      <c r="R608">
        <v>26.48</v>
      </c>
      <c r="S608">
        <v>57.31</v>
      </c>
      <c r="T608">
        <v>8.34</v>
      </c>
      <c r="U608">
        <v>1.46</v>
      </c>
      <c r="V608">
        <v>32.19</v>
      </c>
      <c r="W608">
        <v>0.53</v>
      </c>
      <c r="X608" s="1">
        <v>43634</v>
      </c>
    </row>
    <row r="609" spans="1:24" x14ac:dyDescent="0.25">
      <c r="A609" t="s">
        <v>408</v>
      </c>
      <c r="B609">
        <v>2019</v>
      </c>
      <c r="D609">
        <v>7.2</v>
      </c>
      <c r="E609">
        <v>7.7</v>
      </c>
      <c r="F609">
        <v>74</v>
      </c>
      <c r="G609">
        <v>1357</v>
      </c>
      <c r="H609">
        <v>1955</v>
      </c>
      <c r="I609">
        <v>6176</v>
      </c>
      <c r="J609">
        <v>22</v>
      </c>
      <c r="K609">
        <v>3.29</v>
      </c>
      <c r="L609">
        <v>2.95</v>
      </c>
      <c r="M609">
        <v>307</v>
      </c>
      <c r="N609">
        <v>66</v>
      </c>
      <c r="O609">
        <v>5.6</v>
      </c>
      <c r="P609">
        <v>27.72</v>
      </c>
      <c r="Q609">
        <v>6.27</v>
      </c>
      <c r="R609">
        <v>29.38</v>
      </c>
      <c r="S609">
        <v>55.68</v>
      </c>
      <c r="T609">
        <v>8.65</v>
      </c>
      <c r="U609">
        <v>1.5</v>
      </c>
      <c r="V609">
        <v>14.28</v>
      </c>
      <c r="W609">
        <v>0.82</v>
      </c>
      <c r="X609" s="1">
        <v>43634</v>
      </c>
    </row>
    <row r="610" spans="1:24" x14ac:dyDescent="0.25">
      <c r="A610" t="s">
        <v>409</v>
      </c>
      <c r="B610">
        <v>2019</v>
      </c>
      <c r="D610">
        <v>7.1</v>
      </c>
      <c r="E610">
        <v>7.6</v>
      </c>
      <c r="F610">
        <v>104</v>
      </c>
      <c r="G610">
        <v>1382</v>
      </c>
      <c r="H610">
        <v>1675</v>
      </c>
      <c r="I610">
        <v>4909</v>
      </c>
      <c r="J610">
        <v>24</v>
      </c>
      <c r="K610">
        <v>3.01</v>
      </c>
      <c r="L610">
        <v>3.95</v>
      </c>
      <c r="M610">
        <v>279</v>
      </c>
      <c r="N610">
        <v>71</v>
      </c>
      <c r="O610">
        <v>4.7</v>
      </c>
      <c r="P610">
        <v>24.22</v>
      </c>
      <c r="Q610">
        <v>7.31</v>
      </c>
      <c r="R610">
        <v>28.81</v>
      </c>
      <c r="S610">
        <v>50.66</v>
      </c>
      <c r="T610">
        <v>13.21</v>
      </c>
      <c r="U610">
        <v>1.51</v>
      </c>
      <c r="V610">
        <v>15.38</v>
      </c>
      <c r="W610">
        <v>0.98</v>
      </c>
      <c r="X610" s="1">
        <v>43634</v>
      </c>
    </row>
    <row r="611" spans="1:24" x14ac:dyDescent="0.25">
      <c r="A611" t="s">
        <v>410</v>
      </c>
      <c r="B611">
        <v>2019</v>
      </c>
      <c r="D611">
        <v>8.3000000000000007</v>
      </c>
      <c r="E611">
        <v>7.85</v>
      </c>
      <c r="F611">
        <v>127</v>
      </c>
      <c r="G611">
        <v>788</v>
      </c>
      <c r="H611">
        <v>1612</v>
      </c>
      <c r="I611">
        <v>2375</v>
      </c>
      <c r="J611">
        <v>18</v>
      </c>
      <c r="K611">
        <v>4.3099999999999996</v>
      </c>
      <c r="L611">
        <v>5.57</v>
      </c>
      <c r="M611">
        <v>140</v>
      </c>
      <c r="N611">
        <v>75</v>
      </c>
      <c r="O611">
        <v>2.2799999999999998</v>
      </c>
      <c r="P611">
        <v>14.86</v>
      </c>
      <c r="Q611">
        <v>6.79</v>
      </c>
      <c r="R611">
        <v>45.18</v>
      </c>
      <c r="S611">
        <v>39.94</v>
      </c>
      <c r="T611">
        <v>8.07</v>
      </c>
      <c r="U611">
        <v>0.5</v>
      </c>
      <c r="V611">
        <v>10.85</v>
      </c>
      <c r="W611">
        <v>0.66</v>
      </c>
      <c r="X611" s="1">
        <v>43635</v>
      </c>
    </row>
    <row r="612" spans="1:24" x14ac:dyDescent="0.25">
      <c r="A612" t="s">
        <v>411</v>
      </c>
      <c r="B612">
        <v>2019</v>
      </c>
      <c r="D612">
        <v>8.1999999999999993</v>
      </c>
      <c r="E612">
        <v>7.85</v>
      </c>
      <c r="F612">
        <v>130</v>
      </c>
      <c r="G612">
        <v>684</v>
      </c>
      <c r="H612">
        <v>1241</v>
      </c>
      <c r="I612">
        <v>2024</v>
      </c>
      <c r="J612">
        <v>16</v>
      </c>
      <c r="K612">
        <v>3.49</v>
      </c>
      <c r="L612">
        <v>3.49</v>
      </c>
      <c r="M612">
        <v>103</v>
      </c>
      <c r="N612">
        <v>67</v>
      </c>
      <c r="O612">
        <v>1.84</v>
      </c>
      <c r="P612">
        <v>12.3</v>
      </c>
      <c r="Q612">
        <v>7.12</v>
      </c>
      <c r="R612">
        <v>42.01</v>
      </c>
      <c r="S612">
        <v>41.11</v>
      </c>
      <c r="T612">
        <v>9.74</v>
      </c>
      <c r="U612">
        <v>0.45</v>
      </c>
      <c r="V612">
        <v>5.45</v>
      </c>
      <c r="W612">
        <v>0.27</v>
      </c>
      <c r="X612" s="1">
        <v>43635</v>
      </c>
    </row>
    <row r="613" spans="1:24" x14ac:dyDescent="0.25">
      <c r="A613" t="s">
        <v>412</v>
      </c>
      <c r="B613">
        <v>2019</v>
      </c>
      <c r="D613">
        <v>8.1</v>
      </c>
      <c r="E613">
        <v>7.85</v>
      </c>
      <c r="F613">
        <v>198</v>
      </c>
      <c r="G613">
        <v>722</v>
      </c>
      <c r="H613">
        <v>1403</v>
      </c>
      <c r="I613">
        <v>2319</v>
      </c>
      <c r="J613">
        <v>16</v>
      </c>
      <c r="K613">
        <v>3.44</v>
      </c>
      <c r="L613">
        <v>2.9</v>
      </c>
      <c r="M613">
        <v>124</v>
      </c>
      <c r="N613">
        <v>86</v>
      </c>
      <c r="O613">
        <v>1.97</v>
      </c>
      <c r="P613">
        <v>13.76</v>
      </c>
      <c r="Q613">
        <v>6.72</v>
      </c>
      <c r="R613">
        <v>42.45</v>
      </c>
      <c r="S613">
        <v>42.1</v>
      </c>
      <c r="T613">
        <v>8.7100000000000009</v>
      </c>
      <c r="U613">
        <v>0.49</v>
      </c>
      <c r="V613">
        <v>4.5</v>
      </c>
      <c r="W613">
        <v>0.62</v>
      </c>
      <c r="X613" s="1">
        <v>43635</v>
      </c>
    </row>
    <row r="614" spans="1:24" x14ac:dyDescent="0.25">
      <c r="A614" t="s">
        <v>413</v>
      </c>
      <c r="B614">
        <v>2019</v>
      </c>
      <c r="D614">
        <v>8.3000000000000007</v>
      </c>
      <c r="E614">
        <v>7.75</v>
      </c>
      <c r="F614">
        <v>31</v>
      </c>
      <c r="G614">
        <v>848</v>
      </c>
      <c r="H614">
        <v>456</v>
      </c>
      <c r="I614">
        <v>11940</v>
      </c>
      <c r="J614">
        <v>26</v>
      </c>
      <c r="K614">
        <v>3.02</v>
      </c>
      <c r="L614">
        <v>1.59</v>
      </c>
      <c r="M614">
        <v>224</v>
      </c>
      <c r="N614">
        <v>47</v>
      </c>
      <c r="O614">
        <v>4.59</v>
      </c>
      <c r="P614">
        <v>34.83</v>
      </c>
      <c r="Q614">
        <v>3.12</v>
      </c>
      <c r="R614">
        <v>5.45</v>
      </c>
      <c r="S614">
        <v>85.68</v>
      </c>
      <c r="T614">
        <v>5.74</v>
      </c>
      <c r="U614">
        <v>1.31</v>
      </c>
      <c r="V614">
        <v>11.78</v>
      </c>
      <c r="W614">
        <v>0.76</v>
      </c>
      <c r="X614" s="1">
        <v>43635</v>
      </c>
    </row>
    <row r="615" spans="1:24" x14ac:dyDescent="0.25">
      <c r="A615" t="s">
        <v>414</v>
      </c>
      <c r="B615">
        <v>2019</v>
      </c>
      <c r="D615">
        <v>8.4</v>
      </c>
      <c r="E615">
        <v>7.8</v>
      </c>
      <c r="F615">
        <v>33</v>
      </c>
      <c r="G615">
        <v>781</v>
      </c>
      <c r="H615">
        <v>420</v>
      </c>
      <c r="I615">
        <v>9998</v>
      </c>
      <c r="J615">
        <v>26</v>
      </c>
      <c r="K615">
        <v>2.67</v>
      </c>
      <c r="L615">
        <v>1.53</v>
      </c>
      <c r="M615">
        <v>214</v>
      </c>
      <c r="N615">
        <v>51</v>
      </c>
      <c r="O615">
        <v>4.0599999999999996</v>
      </c>
      <c r="P615">
        <v>29.34</v>
      </c>
      <c r="Q615">
        <v>3.41</v>
      </c>
      <c r="R615">
        <v>5.96</v>
      </c>
      <c r="S615">
        <v>85.17</v>
      </c>
      <c r="T615">
        <v>5.45</v>
      </c>
      <c r="U615">
        <v>1.07</v>
      </c>
      <c r="V615">
        <v>6.03</v>
      </c>
      <c r="W615">
        <v>0.6</v>
      </c>
      <c r="X615" s="1">
        <v>43635</v>
      </c>
    </row>
    <row r="616" spans="1:24" x14ac:dyDescent="0.25">
      <c r="A616" t="s">
        <v>415</v>
      </c>
      <c r="B616">
        <v>2019</v>
      </c>
      <c r="D616">
        <v>7.8</v>
      </c>
      <c r="E616">
        <v>7.8</v>
      </c>
      <c r="F616">
        <v>33</v>
      </c>
      <c r="G616">
        <v>902</v>
      </c>
      <c r="H616">
        <v>458</v>
      </c>
      <c r="I616">
        <v>11070</v>
      </c>
      <c r="J616">
        <v>20</v>
      </c>
      <c r="K616">
        <v>2.92</v>
      </c>
      <c r="L616">
        <v>2.2000000000000002</v>
      </c>
      <c r="M616">
        <v>233</v>
      </c>
      <c r="N616">
        <v>46</v>
      </c>
      <c r="O616">
        <v>4.34</v>
      </c>
      <c r="P616">
        <v>32.33</v>
      </c>
      <c r="Q616">
        <v>3.57</v>
      </c>
      <c r="R616">
        <v>5.9</v>
      </c>
      <c r="S616">
        <v>85.57</v>
      </c>
      <c r="T616">
        <v>4.9400000000000004</v>
      </c>
      <c r="U616">
        <v>1.36</v>
      </c>
      <c r="V616">
        <v>7.24</v>
      </c>
      <c r="W616">
        <v>0.9</v>
      </c>
      <c r="X616" s="1">
        <v>43635</v>
      </c>
    </row>
    <row r="617" spans="1:24" x14ac:dyDescent="0.25">
      <c r="A617" t="s">
        <v>416</v>
      </c>
      <c r="B617">
        <v>2019</v>
      </c>
      <c r="D617">
        <v>8.1999999999999993</v>
      </c>
      <c r="E617">
        <v>7.75</v>
      </c>
      <c r="F617">
        <v>35</v>
      </c>
      <c r="G617">
        <v>1001</v>
      </c>
      <c r="H617">
        <v>448</v>
      </c>
      <c r="I617">
        <v>10000</v>
      </c>
      <c r="J617">
        <v>20</v>
      </c>
      <c r="K617">
        <v>2.81</v>
      </c>
      <c r="L617">
        <v>3.24</v>
      </c>
      <c r="M617">
        <v>278</v>
      </c>
      <c r="N617">
        <v>50</v>
      </c>
      <c r="O617">
        <v>4.47</v>
      </c>
      <c r="P617">
        <v>30.15</v>
      </c>
      <c r="Q617">
        <v>4.25</v>
      </c>
      <c r="R617">
        <v>6.19</v>
      </c>
      <c r="S617">
        <v>82.91</v>
      </c>
      <c r="T617">
        <v>6.63</v>
      </c>
      <c r="U617">
        <v>1.19</v>
      </c>
      <c r="V617">
        <v>6.75</v>
      </c>
      <c r="W617">
        <v>1.1100000000000001</v>
      </c>
      <c r="X617" s="1">
        <v>43635</v>
      </c>
    </row>
    <row r="618" spans="1:24" x14ac:dyDescent="0.25">
      <c r="A618" t="s">
        <v>417</v>
      </c>
      <c r="B618">
        <v>2019</v>
      </c>
      <c r="D618">
        <v>8.1999999999999993</v>
      </c>
      <c r="E618">
        <v>7.75</v>
      </c>
      <c r="F618">
        <v>31</v>
      </c>
      <c r="G618">
        <v>882</v>
      </c>
      <c r="H618">
        <v>417</v>
      </c>
      <c r="I618">
        <v>10190</v>
      </c>
      <c r="J618">
        <v>15</v>
      </c>
      <c r="K618">
        <v>2.72</v>
      </c>
      <c r="L618">
        <v>2.5299999999999998</v>
      </c>
      <c r="M618">
        <v>248</v>
      </c>
      <c r="N618">
        <v>44</v>
      </c>
      <c r="O618">
        <v>4.3</v>
      </c>
      <c r="P618">
        <v>30.34</v>
      </c>
      <c r="Q618">
        <v>3.72</v>
      </c>
      <c r="R618">
        <v>5.72</v>
      </c>
      <c r="S618">
        <v>83.95</v>
      </c>
      <c r="T618">
        <v>6.59</v>
      </c>
      <c r="U618">
        <v>1.28</v>
      </c>
      <c r="V618">
        <v>4.38</v>
      </c>
      <c r="W618">
        <v>0.74</v>
      </c>
      <c r="X618" s="1">
        <v>43635</v>
      </c>
    </row>
    <row r="619" spans="1:24" x14ac:dyDescent="0.25">
      <c r="A619" t="s">
        <v>418</v>
      </c>
      <c r="B619">
        <v>2019</v>
      </c>
      <c r="D619">
        <v>8.1999999999999993</v>
      </c>
      <c r="E619">
        <v>7.75</v>
      </c>
      <c r="F619">
        <v>28</v>
      </c>
      <c r="G619">
        <v>845</v>
      </c>
      <c r="H619">
        <v>453</v>
      </c>
      <c r="I619">
        <v>9623</v>
      </c>
      <c r="J619">
        <v>14</v>
      </c>
      <c r="K619">
        <v>2.78</v>
      </c>
      <c r="L619">
        <v>3.08</v>
      </c>
      <c r="M619">
        <v>229</v>
      </c>
      <c r="N619">
        <v>49</v>
      </c>
      <c r="O619">
        <v>4.3099999999999996</v>
      </c>
      <c r="P619">
        <v>29.02</v>
      </c>
      <c r="Q619">
        <v>3.73</v>
      </c>
      <c r="R619">
        <v>6.5</v>
      </c>
      <c r="S619">
        <v>82.87</v>
      </c>
      <c r="T619">
        <v>6.88</v>
      </c>
      <c r="U619">
        <v>1.34</v>
      </c>
      <c r="V619">
        <v>6.72</v>
      </c>
      <c r="W619">
        <v>0.56000000000000005</v>
      </c>
      <c r="X619" s="1">
        <v>43635</v>
      </c>
    </row>
    <row r="620" spans="1:24" x14ac:dyDescent="0.25">
      <c r="A620" t="s">
        <v>419</v>
      </c>
      <c r="B620">
        <v>2019</v>
      </c>
      <c r="D620">
        <v>7.7</v>
      </c>
      <c r="E620">
        <v>7.85</v>
      </c>
      <c r="F620">
        <v>13</v>
      </c>
      <c r="G620">
        <v>445</v>
      </c>
      <c r="H620">
        <v>293</v>
      </c>
      <c r="I620">
        <v>2597</v>
      </c>
      <c r="J620">
        <v>11</v>
      </c>
      <c r="K620">
        <v>0.82</v>
      </c>
      <c r="L620">
        <v>0.91</v>
      </c>
      <c r="M620">
        <v>102</v>
      </c>
      <c r="N620">
        <v>69</v>
      </c>
      <c r="O620">
        <v>1.65</v>
      </c>
      <c r="P620">
        <v>9.48</v>
      </c>
      <c r="Q620">
        <v>6.01</v>
      </c>
      <c r="R620">
        <v>12.87</v>
      </c>
      <c r="S620">
        <v>68.45</v>
      </c>
      <c r="T620">
        <v>12.65</v>
      </c>
      <c r="U620">
        <v>0.46</v>
      </c>
      <c r="V620">
        <v>3.72</v>
      </c>
      <c r="W620">
        <v>0.56000000000000005</v>
      </c>
      <c r="X620" s="1">
        <v>43635</v>
      </c>
    </row>
    <row r="621" spans="1:24" x14ac:dyDescent="0.25">
      <c r="A621" t="s">
        <v>420</v>
      </c>
      <c r="B621">
        <v>2019</v>
      </c>
      <c r="D621">
        <v>7.8</v>
      </c>
      <c r="E621">
        <v>7.85</v>
      </c>
      <c r="F621">
        <v>9</v>
      </c>
      <c r="G621">
        <v>415</v>
      </c>
      <c r="H621">
        <v>276</v>
      </c>
      <c r="I621">
        <v>2569</v>
      </c>
      <c r="J621">
        <v>11</v>
      </c>
      <c r="K621">
        <v>0.83</v>
      </c>
      <c r="L621">
        <v>0.76</v>
      </c>
      <c r="M621">
        <v>92</v>
      </c>
      <c r="N621">
        <v>64</v>
      </c>
      <c r="O621">
        <v>1.51</v>
      </c>
      <c r="P621">
        <v>9.3000000000000007</v>
      </c>
      <c r="Q621">
        <v>5.71</v>
      </c>
      <c r="R621">
        <v>12.35</v>
      </c>
      <c r="S621">
        <v>69.02</v>
      </c>
      <c r="T621">
        <v>12.89</v>
      </c>
      <c r="U621">
        <v>0.44</v>
      </c>
      <c r="V621">
        <v>3.15</v>
      </c>
      <c r="W621">
        <v>0.61</v>
      </c>
      <c r="X621" s="1">
        <v>43635</v>
      </c>
    </row>
    <row r="622" spans="1:24" x14ac:dyDescent="0.25">
      <c r="A622" t="s">
        <v>421</v>
      </c>
      <c r="B622">
        <v>2019</v>
      </c>
      <c r="D622">
        <v>7.7</v>
      </c>
      <c r="E622">
        <v>7.8</v>
      </c>
      <c r="F622">
        <v>9</v>
      </c>
      <c r="G622">
        <v>402</v>
      </c>
      <c r="H622">
        <v>294</v>
      </c>
      <c r="I622">
        <v>2313</v>
      </c>
      <c r="J622">
        <v>11</v>
      </c>
      <c r="K622">
        <v>0.73</v>
      </c>
      <c r="L622">
        <v>1.5</v>
      </c>
      <c r="M622">
        <v>85</v>
      </c>
      <c r="N622">
        <v>60</v>
      </c>
      <c r="O622">
        <v>1.31</v>
      </c>
      <c r="P622">
        <v>9.1199999999999992</v>
      </c>
      <c r="Q622">
        <v>5.64</v>
      </c>
      <c r="R622">
        <v>13.42</v>
      </c>
      <c r="S622">
        <v>63.38</v>
      </c>
      <c r="T622">
        <v>17.53</v>
      </c>
      <c r="U622">
        <v>0.41</v>
      </c>
      <c r="V622">
        <v>3.47</v>
      </c>
      <c r="W622">
        <v>2.21</v>
      </c>
      <c r="X622" s="1">
        <v>43635</v>
      </c>
    </row>
    <row r="623" spans="1:24" x14ac:dyDescent="0.25">
      <c r="A623" t="s">
        <v>422</v>
      </c>
      <c r="B623">
        <v>2019</v>
      </c>
      <c r="D623">
        <v>7.9</v>
      </c>
      <c r="E623">
        <v>7.7</v>
      </c>
      <c r="F623">
        <v>54</v>
      </c>
      <c r="G623">
        <v>1166</v>
      </c>
      <c r="H623">
        <v>546</v>
      </c>
      <c r="I623">
        <v>10750</v>
      </c>
      <c r="J623">
        <v>16</v>
      </c>
      <c r="K623">
        <v>2.4</v>
      </c>
      <c r="L623">
        <v>6.7</v>
      </c>
      <c r="M623">
        <v>313</v>
      </c>
      <c r="N623">
        <v>62</v>
      </c>
      <c r="O623">
        <v>5.2</v>
      </c>
      <c r="P623">
        <v>33.04</v>
      </c>
      <c r="Q623">
        <v>4.5199999999999996</v>
      </c>
      <c r="R623">
        <v>6.88</v>
      </c>
      <c r="S623">
        <v>81.319999999999993</v>
      </c>
      <c r="T623">
        <v>7.26</v>
      </c>
      <c r="U623">
        <v>1.36</v>
      </c>
      <c r="V623">
        <v>9.5</v>
      </c>
      <c r="W623">
        <v>2.69</v>
      </c>
      <c r="X623" s="1">
        <v>43667</v>
      </c>
    </row>
    <row r="624" spans="1:24" x14ac:dyDescent="0.25">
      <c r="A624" t="s">
        <v>423</v>
      </c>
      <c r="B624">
        <v>2019</v>
      </c>
      <c r="D624">
        <v>8.1</v>
      </c>
      <c r="E624">
        <v>7.7</v>
      </c>
      <c r="F624">
        <v>49</v>
      </c>
      <c r="G624">
        <v>939</v>
      </c>
      <c r="H624">
        <v>452</v>
      </c>
      <c r="I624">
        <v>9113</v>
      </c>
      <c r="J624">
        <v>24</v>
      </c>
      <c r="K624">
        <v>2.1</v>
      </c>
      <c r="L624">
        <v>5.2</v>
      </c>
      <c r="M624">
        <v>241</v>
      </c>
      <c r="N624">
        <v>64</v>
      </c>
      <c r="O624">
        <v>4.0999999999999996</v>
      </c>
      <c r="P624">
        <v>28.26</v>
      </c>
      <c r="Q624">
        <v>4.25</v>
      </c>
      <c r="R624">
        <v>6.66</v>
      </c>
      <c r="S624">
        <v>80.58</v>
      </c>
      <c r="T624">
        <v>8.48</v>
      </c>
      <c r="U624">
        <v>1.0900000000000001</v>
      </c>
      <c r="V624">
        <v>13.74</v>
      </c>
      <c r="W624">
        <v>3.27</v>
      </c>
      <c r="X624" s="1">
        <v>43667</v>
      </c>
    </row>
    <row r="625" spans="1:24" x14ac:dyDescent="0.25">
      <c r="A625" t="s">
        <v>424</v>
      </c>
      <c r="B625">
        <v>2019</v>
      </c>
      <c r="D625">
        <v>8.1999999999999993</v>
      </c>
      <c r="E625">
        <v>7.75</v>
      </c>
      <c r="F625">
        <v>38</v>
      </c>
      <c r="G625">
        <v>828</v>
      </c>
      <c r="H625">
        <v>424</v>
      </c>
      <c r="I625">
        <v>8031</v>
      </c>
      <c r="J625">
        <v>18</v>
      </c>
      <c r="K625">
        <v>1.9</v>
      </c>
      <c r="L625">
        <v>2.2000000000000002</v>
      </c>
      <c r="M625">
        <v>229</v>
      </c>
      <c r="N625">
        <v>63</v>
      </c>
      <c r="O625">
        <v>3.9</v>
      </c>
      <c r="P625">
        <v>24.9</v>
      </c>
      <c r="Q625">
        <v>4.26</v>
      </c>
      <c r="R625">
        <v>7.09</v>
      </c>
      <c r="S625">
        <v>80.61</v>
      </c>
      <c r="T625">
        <v>8.0299999999999994</v>
      </c>
      <c r="U625">
        <v>1.04</v>
      </c>
      <c r="V625">
        <v>21.64</v>
      </c>
      <c r="W625">
        <v>2.5099999999999998</v>
      </c>
      <c r="X625" s="1">
        <v>43667</v>
      </c>
    </row>
    <row r="626" spans="1:24" x14ac:dyDescent="0.25">
      <c r="A626" t="s">
        <v>425</v>
      </c>
      <c r="B626">
        <v>2019</v>
      </c>
      <c r="D626">
        <v>7.3</v>
      </c>
      <c r="E626">
        <v>7.8</v>
      </c>
      <c r="F626">
        <v>29</v>
      </c>
      <c r="G626">
        <v>735</v>
      </c>
      <c r="H626">
        <v>357</v>
      </c>
      <c r="I626">
        <v>1897</v>
      </c>
      <c r="J626">
        <v>20</v>
      </c>
      <c r="K626">
        <v>0.9</v>
      </c>
      <c r="L626">
        <v>4.9000000000000004</v>
      </c>
      <c r="M626">
        <v>76</v>
      </c>
      <c r="N626">
        <v>87</v>
      </c>
      <c r="O626">
        <v>1.4</v>
      </c>
      <c r="P626">
        <v>8.77</v>
      </c>
      <c r="Q626">
        <v>10.74</v>
      </c>
      <c r="R626">
        <v>16.95</v>
      </c>
      <c r="S626">
        <v>54.06</v>
      </c>
      <c r="T626">
        <v>18.23</v>
      </c>
      <c r="U626">
        <v>0.39</v>
      </c>
      <c r="V626">
        <v>14.42</v>
      </c>
      <c r="W626">
        <v>3.84</v>
      </c>
      <c r="X626" s="1">
        <v>43667</v>
      </c>
    </row>
    <row r="627" spans="1:24" x14ac:dyDescent="0.25">
      <c r="A627" t="s">
        <v>426</v>
      </c>
      <c r="B627">
        <v>2019</v>
      </c>
      <c r="D627">
        <v>7.1</v>
      </c>
      <c r="E627">
        <v>7.8</v>
      </c>
      <c r="F627">
        <v>23</v>
      </c>
      <c r="G627">
        <v>668</v>
      </c>
      <c r="H627">
        <v>365</v>
      </c>
      <c r="I627">
        <v>1810</v>
      </c>
      <c r="J627">
        <v>16</v>
      </c>
      <c r="K627">
        <v>0.8</v>
      </c>
      <c r="L627">
        <v>2.9</v>
      </c>
      <c r="M627">
        <v>61</v>
      </c>
      <c r="N627">
        <v>94</v>
      </c>
      <c r="O627">
        <v>1.3</v>
      </c>
      <c r="P627">
        <v>8.5</v>
      </c>
      <c r="Q627">
        <v>10.07</v>
      </c>
      <c r="R627">
        <v>17.88</v>
      </c>
      <c r="S627">
        <v>53.22</v>
      </c>
      <c r="T627">
        <v>18.809999999999999</v>
      </c>
      <c r="U627">
        <v>0.39</v>
      </c>
      <c r="V627">
        <v>9.6</v>
      </c>
      <c r="W627">
        <v>3.26</v>
      </c>
      <c r="X627" s="1">
        <v>43667</v>
      </c>
    </row>
    <row r="628" spans="1:24" x14ac:dyDescent="0.25">
      <c r="A628" t="s">
        <v>427</v>
      </c>
      <c r="B628">
        <v>2019</v>
      </c>
      <c r="D628">
        <v>7.3</v>
      </c>
      <c r="E628">
        <v>7.75</v>
      </c>
      <c r="F628">
        <v>36</v>
      </c>
      <c r="G628">
        <v>842</v>
      </c>
      <c r="H628">
        <v>374</v>
      </c>
      <c r="I628">
        <v>2051</v>
      </c>
      <c r="J628">
        <v>16</v>
      </c>
      <c r="K628">
        <v>0.9</v>
      </c>
      <c r="L628">
        <v>3.1</v>
      </c>
      <c r="M628">
        <v>82</v>
      </c>
      <c r="N628">
        <v>96</v>
      </c>
      <c r="O628">
        <v>1.5</v>
      </c>
      <c r="P628">
        <v>9.76</v>
      </c>
      <c r="Q628">
        <v>11.05</v>
      </c>
      <c r="R628">
        <v>15.95</v>
      </c>
      <c r="S628">
        <v>52.5</v>
      </c>
      <c r="T628">
        <v>20.48</v>
      </c>
      <c r="U628">
        <v>0.42</v>
      </c>
      <c r="V628">
        <v>9.42</v>
      </c>
      <c r="W628">
        <v>3.18</v>
      </c>
      <c r="X628" s="1">
        <v>43667</v>
      </c>
    </row>
    <row r="629" spans="1:24" x14ac:dyDescent="0.25">
      <c r="A629" t="s">
        <v>428</v>
      </c>
      <c r="B629">
        <v>2019</v>
      </c>
      <c r="D629">
        <v>6.7</v>
      </c>
      <c r="E629">
        <v>7.8</v>
      </c>
      <c r="F629">
        <v>42</v>
      </c>
      <c r="G629">
        <v>401</v>
      </c>
      <c r="H629">
        <v>225</v>
      </c>
      <c r="I629">
        <v>1671</v>
      </c>
      <c r="J629">
        <v>13</v>
      </c>
      <c r="K629">
        <v>0.6</v>
      </c>
      <c r="L629">
        <v>2.9</v>
      </c>
      <c r="M629">
        <v>63</v>
      </c>
      <c r="N629">
        <v>80</v>
      </c>
      <c r="O629">
        <v>1.2</v>
      </c>
      <c r="P629">
        <v>7.22</v>
      </c>
      <c r="Q629">
        <v>7.11</v>
      </c>
      <c r="R629">
        <v>12.96</v>
      </c>
      <c r="S629">
        <v>57.78</v>
      </c>
      <c r="T629">
        <v>22.13</v>
      </c>
      <c r="U629">
        <v>0.47</v>
      </c>
      <c r="V629">
        <v>9.48</v>
      </c>
      <c r="W629">
        <v>4.3099999999999996</v>
      </c>
      <c r="X629" s="1">
        <v>43667</v>
      </c>
    </row>
    <row r="630" spans="1:24" x14ac:dyDescent="0.25">
      <c r="A630" t="s">
        <v>429</v>
      </c>
      <c r="B630">
        <v>2019</v>
      </c>
      <c r="D630">
        <v>7</v>
      </c>
      <c r="E630">
        <v>7.85</v>
      </c>
      <c r="F630">
        <v>34</v>
      </c>
      <c r="G630">
        <v>304</v>
      </c>
      <c r="H630">
        <v>185</v>
      </c>
      <c r="I630">
        <v>1298</v>
      </c>
      <c r="J630">
        <v>18</v>
      </c>
      <c r="K630">
        <v>0.5</v>
      </c>
      <c r="L630">
        <v>6.9</v>
      </c>
      <c r="M630">
        <v>55</v>
      </c>
      <c r="N630">
        <v>77</v>
      </c>
      <c r="O630">
        <v>1</v>
      </c>
      <c r="P630">
        <v>5.6</v>
      </c>
      <c r="Q630">
        <v>6.95</v>
      </c>
      <c r="R630">
        <v>13.75</v>
      </c>
      <c r="S630">
        <v>57.88</v>
      </c>
      <c r="T630">
        <v>21.4</v>
      </c>
      <c r="U630">
        <v>0.35</v>
      </c>
      <c r="V630">
        <v>16.04</v>
      </c>
      <c r="W630">
        <v>2.99</v>
      </c>
      <c r="X630" s="1">
        <v>43667</v>
      </c>
    </row>
    <row r="631" spans="1:24" x14ac:dyDescent="0.25">
      <c r="A631" t="s">
        <v>430</v>
      </c>
      <c r="B631">
        <v>2019</v>
      </c>
      <c r="D631">
        <v>7.1</v>
      </c>
      <c r="E631">
        <v>7.85</v>
      </c>
      <c r="F631">
        <v>38</v>
      </c>
      <c r="G631">
        <v>459</v>
      </c>
      <c r="H631">
        <v>241</v>
      </c>
      <c r="I631">
        <v>1835</v>
      </c>
      <c r="J631">
        <v>16</v>
      </c>
      <c r="K631">
        <v>1</v>
      </c>
      <c r="L631">
        <v>3.2</v>
      </c>
      <c r="M631">
        <v>77</v>
      </c>
      <c r="N631">
        <v>77</v>
      </c>
      <c r="O631">
        <v>1.3</v>
      </c>
      <c r="P631">
        <v>7.38</v>
      </c>
      <c r="Q631">
        <v>7.97</v>
      </c>
      <c r="R631">
        <v>13.6</v>
      </c>
      <c r="S631">
        <v>62.16</v>
      </c>
      <c r="T631">
        <v>16.25</v>
      </c>
      <c r="U631">
        <v>0.61</v>
      </c>
      <c r="V631">
        <v>7.92</v>
      </c>
      <c r="W631">
        <v>4.34</v>
      </c>
      <c r="X631" s="1">
        <v>43667</v>
      </c>
    </row>
    <row r="632" spans="1:24" x14ac:dyDescent="0.25">
      <c r="A632" t="s">
        <v>361</v>
      </c>
      <c r="B632">
        <v>2019</v>
      </c>
      <c r="D632">
        <v>7.8</v>
      </c>
      <c r="E632">
        <v>7.65</v>
      </c>
      <c r="F632">
        <v>208</v>
      </c>
      <c r="G632">
        <v>1888</v>
      </c>
      <c r="H632">
        <v>2168</v>
      </c>
      <c r="I632">
        <v>5986</v>
      </c>
      <c r="J632">
        <v>36</v>
      </c>
      <c r="K632">
        <v>4.5</v>
      </c>
      <c r="L632">
        <v>17.2</v>
      </c>
      <c r="M632">
        <v>406</v>
      </c>
      <c r="N632">
        <v>79</v>
      </c>
      <c r="O632">
        <v>5.5</v>
      </c>
      <c r="P632">
        <v>29.21</v>
      </c>
      <c r="Q632">
        <v>8.2799999999999994</v>
      </c>
      <c r="R632">
        <v>30.91</v>
      </c>
      <c r="S632">
        <v>51.21</v>
      </c>
      <c r="T632">
        <v>9.58</v>
      </c>
      <c r="U632">
        <v>2.3199999999999998</v>
      </c>
      <c r="V632">
        <v>32.28</v>
      </c>
      <c r="W632">
        <v>2.59</v>
      </c>
      <c r="X632" s="1">
        <v>43671</v>
      </c>
    </row>
    <row r="633" spans="1:24" x14ac:dyDescent="0.25">
      <c r="A633" t="s">
        <v>362</v>
      </c>
      <c r="B633">
        <v>2019</v>
      </c>
      <c r="D633">
        <v>7.6</v>
      </c>
      <c r="E633">
        <v>7.7</v>
      </c>
      <c r="F633">
        <v>257</v>
      </c>
      <c r="G633">
        <v>1737</v>
      </c>
      <c r="H633">
        <v>2321</v>
      </c>
      <c r="I633">
        <v>6331</v>
      </c>
      <c r="J633">
        <v>36</v>
      </c>
      <c r="K633">
        <v>5</v>
      </c>
      <c r="L633">
        <v>26.2</v>
      </c>
      <c r="M633">
        <v>365</v>
      </c>
      <c r="N633">
        <v>87</v>
      </c>
      <c r="O633">
        <v>6</v>
      </c>
      <c r="P633">
        <v>30.12</v>
      </c>
      <c r="Q633">
        <v>7.39</v>
      </c>
      <c r="R633">
        <v>32.1</v>
      </c>
      <c r="S633">
        <v>52.53</v>
      </c>
      <c r="T633">
        <v>7.96</v>
      </c>
      <c r="U633">
        <v>2.78</v>
      </c>
      <c r="V633">
        <v>23.33</v>
      </c>
      <c r="W633">
        <v>3.27</v>
      </c>
      <c r="X633" s="1">
        <v>43671</v>
      </c>
    </row>
    <row r="634" spans="1:24" x14ac:dyDescent="0.25">
      <c r="A634" t="s">
        <v>363</v>
      </c>
      <c r="B634">
        <v>2019</v>
      </c>
      <c r="D634">
        <v>7.8</v>
      </c>
      <c r="E634">
        <v>7.75</v>
      </c>
      <c r="F634">
        <v>219</v>
      </c>
      <c r="G634">
        <v>1689</v>
      </c>
      <c r="H634">
        <v>2351</v>
      </c>
      <c r="I634">
        <v>6508</v>
      </c>
      <c r="J634">
        <v>31</v>
      </c>
      <c r="K634">
        <v>4.7</v>
      </c>
      <c r="L634">
        <v>23</v>
      </c>
      <c r="M634">
        <v>394</v>
      </c>
      <c r="N634">
        <v>91</v>
      </c>
      <c r="O634">
        <v>6.6</v>
      </c>
      <c r="P634">
        <v>30.23</v>
      </c>
      <c r="Q634">
        <v>7.16</v>
      </c>
      <c r="R634">
        <v>32.4</v>
      </c>
      <c r="S634">
        <v>53.81</v>
      </c>
      <c r="T634">
        <v>6.61</v>
      </c>
      <c r="U634">
        <v>2.59</v>
      </c>
      <c r="V634">
        <v>15.98</v>
      </c>
      <c r="W634">
        <v>3.13</v>
      </c>
      <c r="X634" s="1">
        <v>43671</v>
      </c>
    </row>
    <row r="635" spans="1:24" x14ac:dyDescent="0.25">
      <c r="A635" t="s">
        <v>364</v>
      </c>
      <c r="B635">
        <v>2019</v>
      </c>
      <c r="D635">
        <v>7.5</v>
      </c>
      <c r="E635">
        <v>7.65</v>
      </c>
      <c r="F635">
        <v>128</v>
      </c>
      <c r="G635">
        <v>1693</v>
      </c>
      <c r="H635">
        <v>2036</v>
      </c>
      <c r="I635">
        <v>5162</v>
      </c>
      <c r="J635">
        <v>38</v>
      </c>
      <c r="K635">
        <v>3.8</v>
      </c>
      <c r="L635">
        <v>12.1</v>
      </c>
      <c r="M635">
        <v>438</v>
      </c>
      <c r="N635">
        <v>77</v>
      </c>
      <c r="O635">
        <v>6.1</v>
      </c>
      <c r="P635">
        <v>26.35</v>
      </c>
      <c r="Q635">
        <v>8.23</v>
      </c>
      <c r="R635">
        <v>32.18</v>
      </c>
      <c r="S635">
        <v>48.95</v>
      </c>
      <c r="T635">
        <v>10.62</v>
      </c>
      <c r="U635">
        <v>2.42</v>
      </c>
      <c r="V635">
        <v>37.15</v>
      </c>
      <c r="W635">
        <v>2.57</v>
      </c>
      <c r="X635" s="1">
        <v>43671</v>
      </c>
    </row>
    <row r="636" spans="1:24" x14ac:dyDescent="0.25">
      <c r="A636" t="s">
        <v>365</v>
      </c>
      <c r="B636">
        <v>2019</v>
      </c>
      <c r="D636">
        <v>7.5</v>
      </c>
      <c r="E636">
        <v>7.6</v>
      </c>
      <c r="F636">
        <v>148</v>
      </c>
      <c r="G636">
        <v>1906</v>
      </c>
      <c r="H636">
        <v>2015</v>
      </c>
      <c r="I636">
        <v>5328</v>
      </c>
      <c r="J636">
        <v>44</v>
      </c>
      <c r="K636">
        <v>3.9</v>
      </c>
      <c r="L636">
        <v>15.3</v>
      </c>
      <c r="M636">
        <v>471</v>
      </c>
      <c r="N636">
        <v>84</v>
      </c>
      <c r="O636">
        <v>6.7</v>
      </c>
      <c r="P636">
        <v>27.35</v>
      </c>
      <c r="Q636">
        <v>8.93</v>
      </c>
      <c r="R636">
        <v>30.68</v>
      </c>
      <c r="S636">
        <v>48.68</v>
      </c>
      <c r="T636">
        <v>11.69</v>
      </c>
      <c r="U636">
        <v>2.4700000000000002</v>
      </c>
      <c r="V636">
        <v>30.51</v>
      </c>
      <c r="W636">
        <v>2.5</v>
      </c>
      <c r="X636" s="1">
        <v>43671</v>
      </c>
    </row>
    <row r="637" spans="1:24" x14ac:dyDescent="0.25">
      <c r="A637" t="s">
        <v>366</v>
      </c>
      <c r="B637">
        <v>2019</v>
      </c>
      <c r="D637">
        <v>7.5</v>
      </c>
      <c r="E637">
        <v>7.6</v>
      </c>
      <c r="F637">
        <v>184</v>
      </c>
      <c r="G637">
        <v>1922</v>
      </c>
      <c r="H637">
        <v>2192</v>
      </c>
      <c r="I637">
        <v>5650</v>
      </c>
      <c r="J637">
        <v>40</v>
      </c>
      <c r="K637">
        <v>4</v>
      </c>
      <c r="L637">
        <v>15.7</v>
      </c>
      <c r="M637">
        <v>486</v>
      </c>
      <c r="N637">
        <v>83</v>
      </c>
      <c r="O637">
        <v>6.8</v>
      </c>
      <c r="P637">
        <v>28.92</v>
      </c>
      <c r="Q637">
        <v>8.51</v>
      </c>
      <c r="R637">
        <v>31.57</v>
      </c>
      <c r="S637">
        <v>48.83</v>
      </c>
      <c r="T637">
        <v>11.06</v>
      </c>
      <c r="U637">
        <v>2.41</v>
      </c>
      <c r="V637">
        <v>37.42</v>
      </c>
      <c r="W637">
        <v>2.41</v>
      </c>
      <c r="X637" s="1">
        <v>43671</v>
      </c>
    </row>
    <row r="638" spans="1:24" x14ac:dyDescent="0.25">
      <c r="A638" t="s">
        <v>367</v>
      </c>
      <c r="B638">
        <v>2019</v>
      </c>
      <c r="D638">
        <v>7.5</v>
      </c>
      <c r="E638">
        <v>7.65</v>
      </c>
      <c r="F638">
        <v>154</v>
      </c>
      <c r="G638">
        <v>2075</v>
      </c>
      <c r="H638">
        <v>1864</v>
      </c>
      <c r="I638">
        <v>4657</v>
      </c>
      <c r="J638">
        <v>31</v>
      </c>
      <c r="K638">
        <v>2.9</v>
      </c>
      <c r="L638">
        <v>19.100000000000001</v>
      </c>
      <c r="M638">
        <v>410</v>
      </c>
      <c r="N638">
        <v>122</v>
      </c>
      <c r="O638">
        <v>5.8</v>
      </c>
      <c r="P638">
        <v>24.86</v>
      </c>
      <c r="Q638">
        <v>10.69</v>
      </c>
      <c r="R638">
        <v>31.22</v>
      </c>
      <c r="S638">
        <v>46.81</v>
      </c>
      <c r="T638">
        <v>11.25</v>
      </c>
      <c r="U638">
        <v>2.16</v>
      </c>
      <c r="V638">
        <v>24.31</v>
      </c>
      <c r="W638">
        <v>2.64</v>
      </c>
      <c r="X638" s="1">
        <v>43671</v>
      </c>
    </row>
    <row r="639" spans="1:24" x14ac:dyDescent="0.25">
      <c r="A639" t="s">
        <v>368</v>
      </c>
      <c r="B639">
        <v>2019</v>
      </c>
      <c r="D639">
        <v>7.1</v>
      </c>
      <c r="E639">
        <v>7.6</v>
      </c>
      <c r="F639">
        <v>212</v>
      </c>
      <c r="G639">
        <v>1637</v>
      </c>
      <c r="H639">
        <v>1903</v>
      </c>
      <c r="I639">
        <v>5111</v>
      </c>
      <c r="J639">
        <v>48</v>
      </c>
      <c r="K639">
        <v>2.7</v>
      </c>
      <c r="L639">
        <v>15.7</v>
      </c>
      <c r="M639">
        <v>428</v>
      </c>
      <c r="N639">
        <v>130</v>
      </c>
      <c r="O639">
        <v>5.4</v>
      </c>
      <c r="P639">
        <v>26</v>
      </c>
      <c r="Q639">
        <v>8.07</v>
      </c>
      <c r="R639">
        <v>30.49</v>
      </c>
      <c r="S639">
        <v>49.13</v>
      </c>
      <c r="T639">
        <v>12.3</v>
      </c>
      <c r="U639">
        <v>2.1800000000000002</v>
      </c>
      <c r="V639">
        <v>66.83</v>
      </c>
      <c r="W639">
        <v>2.6</v>
      </c>
      <c r="X639" s="1">
        <v>43671</v>
      </c>
    </row>
    <row r="640" spans="1:24" x14ac:dyDescent="0.25">
      <c r="A640" t="s">
        <v>369</v>
      </c>
      <c r="B640">
        <v>2019</v>
      </c>
      <c r="D640">
        <v>7.4</v>
      </c>
      <c r="E640">
        <v>7.65</v>
      </c>
      <c r="F640">
        <v>188</v>
      </c>
      <c r="G640">
        <v>1728</v>
      </c>
      <c r="H640">
        <v>1839</v>
      </c>
      <c r="I640">
        <v>5170</v>
      </c>
      <c r="J640">
        <v>46</v>
      </c>
      <c r="K640">
        <v>2.8</v>
      </c>
      <c r="L640">
        <v>25.5</v>
      </c>
      <c r="M640">
        <v>410</v>
      </c>
      <c r="N640">
        <v>127</v>
      </c>
      <c r="O640">
        <v>5.8</v>
      </c>
      <c r="P640">
        <v>25.6</v>
      </c>
      <c r="Q640">
        <v>8.65</v>
      </c>
      <c r="R640">
        <v>29.92</v>
      </c>
      <c r="S640">
        <v>50.48</v>
      </c>
      <c r="T640">
        <v>10.93</v>
      </c>
      <c r="U640">
        <v>2.2000000000000002</v>
      </c>
      <c r="V640">
        <v>24.95</v>
      </c>
      <c r="W640">
        <v>2.58</v>
      </c>
      <c r="X640" s="1">
        <v>43671</v>
      </c>
    </row>
    <row r="641" spans="1:24" x14ac:dyDescent="0.25">
      <c r="A641" t="s">
        <v>392</v>
      </c>
      <c r="B641">
        <v>2019</v>
      </c>
      <c r="D641">
        <v>7.3</v>
      </c>
      <c r="E641">
        <v>7.8</v>
      </c>
      <c r="F641">
        <v>85</v>
      </c>
      <c r="G641">
        <v>1174</v>
      </c>
      <c r="H641">
        <v>1258</v>
      </c>
      <c r="I641">
        <v>4678</v>
      </c>
      <c r="J641">
        <v>12</v>
      </c>
      <c r="K641">
        <v>2.5</v>
      </c>
      <c r="L641">
        <v>3.4</v>
      </c>
      <c r="M641">
        <v>470</v>
      </c>
      <c r="N641">
        <v>79</v>
      </c>
      <c r="O641">
        <v>8.1999999999999993</v>
      </c>
      <c r="P641">
        <v>20</v>
      </c>
      <c r="Q641">
        <v>7.5</v>
      </c>
      <c r="R641">
        <v>26.2</v>
      </c>
      <c r="S641">
        <v>58.4</v>
      </c>
      <c r="T641">
        <v>8</v>
      </c>
      <c r="U641">
        <v>1.41</v>
      </c>
      <c r="V641">
        <v>2.63</v>
      </c>
      <c r="W641">
        <v>2.5099999999999998</v>
      </c>
      <c r="X641" s="1">
        <v>43676</v>
      </c>
    </row>
    <row r="642" spans="1:24" x14ac:dyDescent="0.25">
      <c r="A642" t="s">
        <v>393</v>
      </c>
      <c r="B642">
        <v>2019</v>
      </c>
      <c r="D642">
        <v>6.7</v>
      </c>
      <c r="E642">
        <v>7.75</v>
      </c>
      <c r="F642">
        <v>130</v>
      </c>
      <c r="G642">
        <v>1260</v>
      </c>
      <c r="H642">
        <v>1184</v>
      </c>
      <c r="I642">
        <v>4162</v>
      </c>
      <c r="J642">
        <v>19</v>
      </c>
      <c r="K642">
        <v>2</v>
      </c>
      <c r="L642">
        <v>3.9</v>
      </c>
      <c r="M642">
        <v>451</v>
      </c>
      <c r="N642">
        <v>96</v>
      </c>
      <c r="O642">
        <v>4.5999999999999996</v>
      </c>
      <c r="P642">
        <v>19</v>
      </c>
      <c r="Q642">
        <v>8.5</v>
      </c>
      <c r="R642">
        <v>26</v>
      </c>
      <c r="S642">
        <v>54.9</v>
      </c>
      <c r="T642">
        <v>10.6</v>
      </c>
      <c r="U642">
        <v>1.43</v>
      </c>
      <c r="V642">
        <v>11.68</v>
      </c>
      <c r="W642">
        <v>1.94</v>
      </c>
      <c r="X642" s="1">
        <v>43676</v>
      </c>
    </row>
    <row r="643" spans="1:24" x14ac:dyDescent="0.25">
      <c r="A643" t="s">
        <v>394</v>
      </c>
      <c r="B643">
        <v>2019</v>
      </c>
      <c r="D643">
        <v>7.2</v>
      </c>
      <c r="E643">
        <v>7.75</v>
      </c>
      <c r="F643">
        <v>96</v>
      </c>
      <c r="G643">
        <v>1342</v>
      </c>
      <c r="H643">
        <v>1330</v>
      </c>
      <c r="I643">
        <v>4690</v>
      </c>
      <c r="J643">
        <v>18</v>
      </c>
      <c r="K643">
        <v>2.8</v>
      </c>
      <c r="L643">
        <v>3.8</v>
      </c>
      <c r="M643">
        <v>487</v>
      </c>
      <c r="N643">
        <v>89</v>
      </c>
      <c r="O643">
        <v>5.4</v>
      </c>
      <c r="P643">
        <v>21</v>
      </c>
      <c r="Q643">
        <v>8.1999999999999993</v>
      </c>
      <c r="R643">
        <v>26.4</v>
      </c>
      <c r="S643">
        <v>55.9</v>
      </c>
      <c r="T643">
        <v>9.5</v>
      </c>
      <c r="U643">
        <v>1.44</v>
      </c>
      <c r="V643">
        <v>5.73</v>
      </c>
      <c r="W643">
        <v>2.33</v>
      </c>
      <c r="X643" s="1">
        <v>43676</v>
      </c>
    </row>
    <row r="644" spans="1:24" x14ac:dyDescent="0.25">
      <c r="A644" t="s">
        <v>395</v>
      </c>
      <c r="B644">
        <v>2019</v>
      </c>
      <c r="D644">
        <v>8</v>
      </c>
      <c r="E644">
        <v>7.8</v>
      </c>
      <c r="F644">
        <v>50</v>
      </c>
      <c r="G644">
        <v>1040</v>
      </c>
      <c r="H644">
        <v>1523</v>
      </c>
      <c r="I644">
        <v>4636</v>
      </c>
      <c r="J644">
        <v>16</v>
      </c>
      <c r="K644">
        <v>3.8</v>
      </c>
      <c r="L644">
        <v>6.6</v>
      </c>
      <c r="M644">
        <v>421</v>
      </c>
      <c r="N644">
        <v>67</v>
      </c>
      <c r="O644">
        <v>8.1</v>
      </c>
      <c r="P644">
        <v>20.9</v>
      </c>
      <c r="Q644">
        <v>6.4</v>
      </c>
      <c r="R644">
        <v>30.4</v>
      </c>
      <c r="S644">
        <v>55.5</v>
      </c>
      <c r="T644">
        <v>7.7</v>
      </c>
      <c r="U644">
        <v>1.52</v>
      </c>
      <c r="V644">
        <v>6.95</v>
      </c>
      <c r="W644">
        <v>1.28</v>
      </c>
      <c r="X644" s="1">
        <v>43676</v>
      </c>
    </row>
    <row r="645" spans="1:24" x14ac:dyDescent="0.25">
      <c r="A645" t="s">
        <v>396</v>
      </c>
      <c r="B645">
        <v>2019</v>
      </c>
      <c r="D645">
        <v>7.9</v>
      </c>
      <c r="E645">
        <v>7.8</v>
      </c>
      <c r="F645">
        <v>65</v>
      </c>
      <c r="G645">
        <v>1422</v>
      </c>
      <c r="H645">
        <v>1516</v>
      </c>
      <c r="I645">
        <v>5023</v>
      </c>
      <c r="J645">
        <v>18</v>
      </c>
      <c r="K645">
        <v>3.9</v>
      </c>
      <c r="L645">
        <v>4.0999999999999996</v>
      </c>
      <c r="M645">
        <v>459</v>
      </c>
      <c r="N645">
        <v>63</v>
      </c>
      <c r="O645">
        <v>9.8000000000000007</v>
      </c>
      <c r="P645">
        <v>22.3</v>
      </c>
      <c r="Q645">
        <v>8.1999999999999993</v>
      </c>
      <c r="R645">
        <v>28.3</v>
      </c>
      <c r="S645">
        <v>56.3</v>
      </c>
      <c r="T645">
        <v>7.2</v>
      </c>
      <c r="U645">
        <v>1.67</v>
      </c>
      <c r="V645">
        <v>10.38</v>
      </c>
      <c r="W645">
        <v>1.63</v>
      </c>
      <c r="X645" s="1">
        <v>43676</v>
      </c>
    </row>
    <row r="646" spans="1:24" x14ac:dyDescent="0.25">
      <c r="A646" t="s">
        <v>397</v>
      </c>
      <c r="B646">
        <v>2019</v>
      </c>
      <c r="D646">
        <v>8</v>
      </c>
      <c r="E646">
        <v>7.8</v>
      </c>
      <c r="F646">
        <v>84</v>
      </c>
      <c r="G646">
        <v>1336</v>
      </c>
      <c r="H646">
        <v>1643</v>
      </c>
      <c r="I646">
        <v>5076</v>
      </c>
      <c r="J646">
        <v>19</v>
      </c>
      <c r="K646">
        <v>4</v>
      </c>
      <c r="L646">
        <v>4.3</v>
      </c>
      <c r="M646">
        <v>458</v>
      </c>
      <c r="N646">
        <v>65</v>
      </c>
      <c r="O646">
        <v>10.1</v>
      </c>
      <c r="P646">
        <v>22.8</v>
      </c>
      <c r="Q646">
        <v>7.5</v>
      </c>
      <c r="R646">
        <v>30</v>
      </c>
      <c r="S646">
        <v>55.5</v>
      </c>
      <c r="T646">
        <v>7</v>
      </c>
      <c r="U646">
        <v>1.46</v>
      </c>
      <c r="V646">
        <v>10.72</v>
      </c>
      <c r="W646">
        <v>1.19</v>
      </c>
      <c r="X646" s="1">
        <v>43676</v>
      </c>
    </row>
    <row r="647" spans="1:24" x14ac:dyDescent="0.25">
      <c r="A647" t="s">
        <v>398</v>
      </c>
      <c r="B647">
        <v>2019</v>
      </c>
      <c r="D647">
        <v>8.1999999999999993</v>
      </c>
      <c r="E647">
        <v>7.75</v>
      </c>
      <c r="F647">
        <v>65</v>
      </c>
      <c r="G647">
        <v>1891</v>
      </c>
      <c r="H647">
        <v>1798</v>
      </c>
      <c r="I647">
        <v>7011</v>
      </c>
      <c r="J647">
        <v>22</v>
      </c>
      <c r="K647">
        <v>4.4000000000000004</v>
      </c>
      <c r="L647">
        <v>5.3</v>
      </c>
      <c r="M647">
        <v>347</v>
      </c>
      <c r="N647">
        <v>74</v>
      </c>
      <c r="O647">
        <v>7.9</v>
      </c>
      <c r="P647">
        <v>29.4</v>
      </c>
      <c r="Q647">
        <v>8.1999999999999993</v>
      </c>
      <c r="R647">
        <v>25.4</v>
      </c>
      <c r="S647">
        <v>59.5</v>
      </c>
      <c r="T647">
        <v>6.8</v>
      </c>
      <c r="U647">
        <v>1.79</v>
      </c>
      <c r="V647">
        <v>12.9</v>
      </c>
      <c r="W647">
        <v>1.66</v>
      </c>
      <c r="X647" s="1">
        <v>43676</v>
      </c>
    </row>
    <row r="648" spans="1:24" x14ac:dyDescent="0.25">
      <c r="A648" t="s">
        <v>399</v>
      </c>
      <c r="B648">
        <v>2019</v>
      </c>
      <c r="D648">
        <v>8.4</v>
      </c>
      <c r="E648">
        <v>7.7</v>
      </c>
      <c r="F648">
        <v>14</v>
      </c>
      <c r="G648">
        <v>1154</v>
      </c>
      <c r="H648">
        <v>1966</v>
      </c>
      <c r="I648">
        <v>8260</v>
      </c>
      <c r="J648">
        <v>24</v>
      </c>
      <c r="K648">
        <v>4.5</v>
      </c>
      <c r="L648">
        <v>2.2999999999999998</v>
      </c>
      <c r="M648">
        <v>325</v>
      </c>
      <c r="N648">
        <v>63</v>
      </c>
      <c r="O648">
        <v>7.4</v>
      </c>
      <c r="P648">
        <v>32.700000000000003</v>
      </c>
      <c r="Q648">
        <v>4.5</v>
      </c>
      <c r="R648">
        <v>25</v>
      </c>
      <c r="S648">
        <v>63.1</v>
      </c>
      <c r="T648">
        <v>7.3</v>
      </c>
      <c r="U648">
        <v>1.59</v>
      </c>
      <c r="V648">
        <v>7.93</v>
      </c>
      <c r="W648">
        <v>1.49</v>
      </c>
      <c r="X648" s="1">
        <v>43676</v>
      </c>
    </row>
    <row r="649" spans="1:24" x14ac:dyDescent="0.25">
      <c r="A649" t="s">
        <v>400</v>
      </c>
      <c r="B649">
        <v>2019</v>
      </c>
      <c r="D649">
        <v>8.3000000000000007</v>
      </c>
      <c r="E649">
        <v>7.8</v>
      </c>
      <c r="F649">
        <v>25</v>
      </c>
      <c r="G649">
        <v>1902</v>
      </c>
      <c r="H649">
        <v>1736</v>
      </c>
      <c r="I649">
        <v>6281</v>
      </c>
      <c r="J649">
        <v>18</v>
      </c>
      <c r="K649">
        <v>3.8</v>
      </c>
      <c r="L649">
        <v>3.8</v>
      </c>
      <c r="M649">
        <v>343</v>
      </c>
      <c r="N649">
        <v>73</v>
      </c>
      <c r="O649">
        <v>8.4</v>
      </c>
      <c r="P649">
        <v>27</v>
      </c>
      <c r="Q649">
        <v>9</v>
      </c>
      <c r="R649">
        <v>26.8</v>
      </c>
      <c r="S649">
        <v>58.2</v>
      </c>
      <c r="T649">
        <v>5.9</v>
      </c>
      <c r="U649">
        <v>1.66</v>
      </c>
      <c r="V649">
        <v>8.6300000000000008</v>
      </c>
      <c r="W649">
        <v>1.1200000000000001</v>
      </c>
      <c r="X649" s="1">
        <v>43676</v>
      </c>
    </row>
    <row r="650" spans="1:24" x14ac:dyDescent="0.25">
      <c r="A650" t="s">
        <v>401</v>
      </c>
      <c r="B650">
        <v>2019</v>
      </c>
      <c r="D650">
        <v>8.3000000000000007</v>
      </c>
      <c r="E650">
        <v>7.8</v>
      </c>
      <c r="F650">
        <v>18</v>
      </c>
      <c r="G650">
        <v>1339</v>
      </c>
      <c r="H650">
        <v>2068</v>
      </c>
      <c r="I650">
        <v>6344</v>
      </c>
      <c r="J650">
        <v>16</v>
      </c>
      <c r="K650">
        <v>4.7</v>
      </c>
      <c r="L650">
        <v>2.8</v>
      </c>
      <c r="M650">
        <v>368</v>
      </c>
      <c r="N650">
        <v>76</v>
      </c>
      <c r="O650">
        <v>15</v>
      </c>
      <c r="P650">
        <v>27.8</v>
      </c>
      <c r="Q650">
        <v>6.2</v>
      </c>
      <c r="R650">
        <v>31</v>
      </c>
      <c r="S650">
        <v>57.1</v>
      </c>
      <c r="T650">
        <v>5.8</v>
      </c>
      <c r="U650">
        <v>1.66</v>
      </c>
      <c r="V650">
        <v>4.75</v>
      </c>
      <c r="W650">
        <v>0.95</v>
      </c>
      <c r="X650" s="1">
        <v>43676</v>
      </c>
    </row>
    <row r="651" spans="1:24" x14ac:dyDescent="0.25">
      <c r="A651" t="s">
        <v>402</v>
      </c>
      <c r="B651">
        <v>2019</v>
      </c>
      <c r="D651">
        <v>8.3000000000000007</v>
      </c>
      <c r="E651">
        <v>7.8</v>
      </c>
      <c r="F651">
        <v>19</v>
      </c>
      <c r="G651">
        <v>1376</v>
      </c>
      <c r="H651">
        <v>1916</v>
      </c>
      <c r="I651">
        <v>5938</v>
      </c>
      <c r="J651">
        <v>17</v>
      </c>
      <c r="K651">
        <v>4.2</v>
      </c>
      <c r="L651">
        <v>2.7</v>
      </c>
      <c r="M651">
        <v>353</v>
      </c>
      <c r="N651">
        <v>73</v>
      </c>
      <c r="O651">
        <v>9.9</v>
      </c>
      <c r="P651">
        <v>26.2</v>
      </c>
      <c r="Q651">
        <v>6.7</v>
      </c>
      <c r="R651">
        <v>30.5</v>
      </c>
      <c r="S651">
        <v>56.7</v>
      </c>
      <c r="T651">
        <v>6.1</v>
      </c>
      <c r="U651">
        <v>1.57</v>
      </c>
      <c r="V651">
        <v>5.47</v>
      </c>
      <c r="W651">
        <v>1.29</v>
      </c>
      <c r="X651" s="1">
        <v>43676</v>
      </c>
    </row>
    <row r="652" spans="1:24" x14ac:dyDescent="0.25">
      <c r="A652" t="s">
        <v>403</v>
      </c>
      <c r="B652">
        <v>2019</v>
      </c>
      <c r="D652">
        <v>8.3000000000000007</v>
      </c>
      <c r="E652">
        <v>7.75</v>
      </c>
      <c r="F652">
        <v>17</v>
      </c>
      <c r="G652">
        <v>1153</v>
      </c>
      <c r="H652">
        <v>1897</v>
      </c>
      <c r="I652">
        <v>5927</v>
      </c>
      <c r="J652">
        <v>18</v>
      </c>
      <c r="K652">
        <v>4.3</v>
      </c>
      <c r="L652">
        <v>3.6</v>
      </c>
      <c r="M652">
        <v>360</v>
      </c>
      <c r="N652">
        <v>76</v>
      </c>
      <c r="O652">
        <v>9.3000000000000007</v>
      </c>
      <c r="P652">
        <v>26.2</v>
      </c>
      <c r="Q652">
        <v>5.6</v>
      </c>
      <c r="R652">
        <v>30.2</v>
      </c>
      <c r="S652">
        <v>56.6</v>
      </c>
      <c r="T652">
        <v>7.6</v>
      </c>
      <c r="U652">
        <v>1.59</v>
      </c>
      <c r="V652">
        <v>4.33</v>
      </c>
      <c r="W652">
        <v>1.94</v>
      </c>
      <c r="X652" s="1">
        <v>43676</v>
      </c>
    </row>
    <row r="653" spans="1:24" x14ac:dyDescent="0.25">
      <c r="A653" t="s">
        <v>404</v>
      </c>
      <c r="B653">
        <v>2019</v>
      </c>
      <c r="D653">
        <v>5.3</v>
      </c>
      <c r="E653">
        <v>7.65</v>
      </c>
      <c r="F653">
        <v>98</v>
      </c>
      <c r="G653">
        <v>1235</v>
      </c>
      <c r="H653">
        <v>1046</v>
      </c>
      <c r="I653">
        <v>3124</v>
      </c>
      <c r="J653">
        <v>26</v>
      </c>
      <c r="K653">
        <v>1.1000000000000001</v>
      </c>
      <c r="L653">
        <v>1.2</v>
      </c>
      <c r="M653">
        <v>327</v>
      </c>
      <c r="N653">
        <v>117</v>
      </c>
      <c r="O653">
        <v>4.0999999999999996</v>
      </c>
      <c r="P653">
        <v>16.600000000000001</v>
      </c>
      <c r="Q653">
        <v>9.6</v>
      </c>
      <c r="R653">
        <v>26.3</v>
      </c>
      <c r="S653">
        <v>47.2</v>
      </c>
      <c r="T653">
        <v>16.899999999999999</v>
      </c>
      <c r="U653">
        <v>1.4</v>
      </c>
      <c r="V653">
        <v>23.46</v>
      </c>
      <c r="W653">
        <v>2.83</v>
      </c>
      <c r="X653" s="1">
        <v>43676</v>
      </c>
    </row>
    <row r="654" spans="1:24" x14ac:dyDescent="0.25">
      <c r="A654" t="s">
        <v>405</v>
      </c>
      <c r="B654">
        <v>2019</v>
      </c>
      <c r="D654">
        <v>6.1</v>
      </c>
      <c r="E654">
        <v>7.65</v>
      </c>
      <c r="F654">
        <v>77</v>
      </c>
      <c r="G654">
        <v>1190</v>
      </c>
      <c r="H654">
        <v>1250</v>
      </c>
      <c r="I654">
        <v>3587</v>
      </c>
      <c r="J654">
        <v>23</v>
      </c>
      <c r="K654">
        <v>1.4</v>
      </c>
      <c r="L654">
        <v>1.4</v>
      </c>
      <c r="M654">
        <v>349</v>
      </c>
      <c r="N654">
        <v>100</v>
      </c>
      <c r="O654">
        <v>3.7</v>
      </c>
      <c r="P654">
        <v>18.5</v>
      </c>
      <c r="Q654">
        <v>8.1999999999999993</v>
      </c>
      <c r="R654">
        <v>28.2</v>
      </c>
      <c r="S654">
        <v>48.5</v>
      </c>
      <c r="T654">
        <v>15.1</v>
      </c>
      <c r="U654">
        <v>1.47</v>
      </c>
      <c r="V654">
        <v>12.58</v>
      </c>
      <c r="W654">
        <v>2.79</v>
      </c>
      <c r="X654" s="1">
        <v>43676</v>
      </c>
    </row>
    <row r="655" spans="1:24" x14ac:dyDescent="0.25">
      <c r="A655" t="s">
        <v>406</v>
      </c>
      <c r="B655">
        <v>2019</v>
      </c>
      <c r="D655">
        <v>5.6</v>
      </c>
      <c r="E655">
        <v>7.65</v>
      </c>
      <c r="F655">
        <v>54</v>
      </c>
      <c r="G655">
        <v>1057</v>
      </c>
      <c r="H655">
        <v>1174</v>
      </c>
      <c r="I655">
        <v>3548</v>
      </c>
      <c r="J655">
        <v>23</v>
      </c>
      <c r="K655">
        <v>1.2</v>
      </c>
      <c r="L655">
        <v>1.3</v>
      </c>
      <c r="M655">
        <v>345</v>
      </c>
      <c r="N655">
        <v>106</v>
      </c>
      <c r="O655">
        <v>3.7</v>
      </c>
      <c r="P655">
        <v>17.899999999999999</v>
      </c>
      <c r="Q655">
        <v>7.6</v>
      </c>
      <c r="R655">
        <v>27.3</v>
      </c>
      <c r="S655">
        <v>49.5</v>
      </c>
      <c r="T655">
        <v>15.6</v>
      </c>
      <c r="U655">
        <v>1.47</v>
      </c>
      <c r="V655">
        <v>28.61</v>
      </c>
      <c r="W655">
        <v>3.17</v>
      </c>
      <c r="X655" s="1">
        <v>43676</v>
      </c>
    </row>
    <row r="656" spans="1:24" x14ac:dyDescent="0.25">
      <c r="A656" t="s">
        <v>407</v>
      </c>
      <c r="B656">
        <v>2019</v>
      </c>
      <c r="D656">
        <v>8.1999999999999993</v>
      </c>
      <c r="E656">
        <v>7.7</v>
      </c>
      <c r="F656">
        <v>61</v>
      </c>
      <c r="G656">
        <v>1026</v>
      </c>
      <c r="H656">
        <v>1595</v>
      </c>
      <c r="I656">
        <v>6538</v>
      </c>
      <c r="J656">
        <v>14</v>
      </c>
      <c r="K656">
        <v>4</v>
      </c>
      <c r="L656">
        <v>2.9</v>
      </c>
      <c r="M656">
        <v>298</v>
      </c>
      <c r="N656">
        <v>65</v>
      </c>
      <c r="O656">
        <v>5.7</v>
      </c>
      <c r="P656">
        <v>26.7</v>
      </c>
      <c r="Q656">
        <v>4.9000000000000004</v>
      </c>
      <c r="R656">
        <v>24.9</v>
      </c>
      <c r="S656">
        <v>61.2</v>
      </c>
      <c r="T656">
        <v>9</v>
      </c>
      <c r="U656">
        <v>1.46</v>
      </c>
      <c r="V656">
        <v>5.49</v>
      </c>
      <c r="W656">
        <v>1.53</v>
      </c>
      <c r="X656" s="1">
        <v>43676</v>
      </c>
    </row>
    <row r="657" spans="1:24" x14ac:dyDescent="0.25">
      <c r="A657" t="s">
        <v>408</v>
      </c>
      <c r="B657">
        <v>2019</v>
      </c>
      <c r="D657">
        <v>7.3</v>
      </c>
      <c r="E657">
        <v>7.7</v>
      </c>
      <c r="F657">
        <v>61</v>
      </c>
      <c r="G657">
        <v>1304</v>
      </c>
      <c r="H657">
        <v>1832</v>
      </c>
      <c r="I657">
        <v>5344</v>
      </c>
      <c r="J657">
        <v>15</v>
      </c>
      <c r="K657">
        <v>3</v>
      </c>
      <c r="L657">
        <v>1.8</v>
      </c>
      <c r="M657">
        <v>314</v>
      </c>
      <c r="N657">
        <v>72</v>
      </c>
      <c r="O657">
        <v>5.6</v>
      </c>
      <c r="P657">
        <v>25.1</v>
      </c>
      <c r="Q657">
        <v>6.7</v>
      </c>
      <c r="R657">
        <v>30.5</v>
      </c>
      <c r="S657">
        <v>53.3</v>
      </c>
      <c r="T657">
        <v>9.6</v>
      </c>
      <c r="U657">
        <v>1.61</v>
      </c>
      <c r="V657">
        <v>8.8699999999999992</v>
      </c>
      <c r="W657">
        <v>1.0900000000000001</v>
      </c>
      <c r="X657" s="1">
        <v>43676</v>
      </c>
    </row>
    <row r="658" spans="1:24" x14ac:dyDescent="0.25">
      <c r="A658" t="s">
        <v>409</v>
      </c>
      <c r="B658">
        <v>2019</v>
      </c>
      <c r="D658">
        <v>7.4</v>
      </c>
      <c r="E658">
        <v>7.7</v>
      </c>
      <c r="F658">
        <v>58</v>
      </c>
      <c r="G658">
        <v>1046</v>
      </c>
      <c r="H658">
        <v>1604</v>
      </c>
      <c r="I658">
        <v>4994</v>
      </c>
      <c r="J658">
        <v>13</v>
      </c>
      <c r="K658">
        <v>3.3</v>
      </c>
      <c r="L658">
        <v>2.2000000000000002</v>
      </c>
      <c r="M658">
        <v>300</v>
      </c>
      <c r="N658">
        <v>68</v>
      </c>
      <c r="O658">
        <v>11.2</v>
      </c>
      <c r="P658">
        <v>22.9</v>
      </c>
      <c r="Q658">
        <v>5.9</v>
      </c>
      <c r="R658">
        <v>29.2</v>
      </c>
      <c r="S658">
        <v>54.5</v>
      </c>
      <c r="T658">
        <v>10.5</v>
      </c>
      <c r="U658">
        <v>1.5</v>
      </c>
      <c r="V658">
        <v>9.39</v>
      </c>
      <c r="W658">
        <v>1.79</v>
      </c>
      <c r="X658" s="1">
        <v>43676</v>
      </c>
    </row>
    <row r="659" spans="1:24" x14ac:dyDescent="0.25">
      <c r="A659" t="s">
        <v>208</v>
      </c>
      <c r="B659">
        <v>2019</v>
      </c>
      <c r="D659">
        <v>8.1999999999999993</v>
      </c>
      <c r="E659">
        <v>7.85</v>
      </c>
      <c r="F659">
        <v>46</v>
      </c>
      <c r="G659">
        <v>793</v>
      </c>
      <c r="H659">
        <v>667</v>
      </c>
      <c r="I659">
        <v>8099</v>
      </c>
      <c r="J659">
        <v>22</v>
      </c>
      <c r="K659">
        <v>2.6</v>
      </c>
      <c r="L659">
        <v>9.1999999999999993</v>
      </c>
      <c r="M659">
        <v>93</v>
      </c>
      <c r="N659">
        <v>59</v>
      </c>
      <c r="O659">
        <v>2</v>
      </c>
      <c r="P659">
        <v>25.24</v>
      </c>
      <c r="Q659">
        <v>4.0199999999999996</v>
      </c>
      <c r="R659">
        <v>11</v>
      </c>
      <c r="S659">
        <v>80.2</v>
      </c>
      <c r="T659">
        <v>4.75</v>
      </c>
      <c r="U659">
        <v>0.48</v>
      </c>
      <c r="V659">
        <v>11.02</v>
      </c>
      <c r="W659">
        <v>1.84</v>
      </c>
      <c r="X659" s="1">
        <v>43668</v>
      </c>
    </row>
    <row r="660" spans="1:24" x14ac:dyDescent="0.25">
      <c r="A660" t="s">
        <v>209</v>
      </c>
      <c r="B660">
        <v>2019</v>
      </c>
      <c r="D660">
        <v>7.9</v>
      </c>
      <c r="E660">
        <v>7.8</v>
      </c>
      <c r="F660">
        <v>123</v>
      </c>
      <c r="G660">
        <v>1077</v>
      </c>
      <c r="H660">
        <v>771</v>
      </c>
      <c r="I660">
        <v>5042</v>
      </c>
      <c r="J660">
        <v>37</v>
      </c>
      <c r="K660">
        <v>3.9</v>
      </c>
      <c r="L660">
        <v>13</v>
      </c>
      <c r="M660">
        <v>109</v>
      </c>
      <c r="N660">
        <v>80</v>
      </c>
      <c r="O660">
        <v>2.2999999999999998</v>
      </c>
      <c r="P660">
        <v>18.79</v>
      </c>
      <c r="Q660">
        <v>7.34</v>
      </c>
      <c r="R660">
        <v>17.079999999999998</v>
      </c>
      <c r="S660">
        <v>67.05</v>
      </c>
      <c r="T660">
        <v>8.51</v>
      </c>
      <c r="U660">
        <v>0.62</v>
      </c>
      <c r="V660">
        <v>37.26</v>
      </c>
      <c r="W660">
        <v>2.17</v>
      </c>
      <c r="X660" s="1">
        <v>43668</v>
      </c>
    </row>
    <row r="661" spans="1:24" x14ac:dyDescent="0.25">
      <c r="A661" t="s">
        <v>210</v>
      </c>
      <c r="B661">
        <v>2019</v>
      </c>
      <c r="D661">
        <v>8</v>
      </c>
      <c r="E661">
        <v>7.9</v>
      </c>
      <c r="F661">
        <v>76</v>
      </c>
      <c r="G661">
        <v>757</v>
      </c>
      <c r="H661">
        <v>659</v>
      </c>
      <c r="I661">
        <v>1987</v>
      </c>
      <c r="J661">
        <v>16</v>
      </c>
      <c r="K661">
        <v>2.5</v>
      </c>
      <c r="L661">
        <v>3.1</v>
      </c>
      <c r="M661">
        <v>96</v>
      </c>
      <c r="N661">
        <v>86</v>
      </c>
      <c r="O661">
        <v>1.8</v>
      </c>
      <c r="P661">
        <v>9.48</v>
      </c>
      <c r="Q661">
        <v>10.23</v>
      </c>
      <c r="R661">
        <v>28.95</v>
      </c>
      <c r="S661">
        <v>52.37</v>
      </c>
      <c r="T661">
        <v>8.43</v>
      </c>
      <c r="U661">
        <v>0.44</v>
      </c>
      <c r="V661">
        <v>19.43</v>
      </c>
      <c r="W661">
        <v>1.5</v>
      </c>
      <c r="X661" s="1">
        <v>43668</v>
      </c>
    </row>
    <row r="662" spans="1:24" x14ac:dyDescent="0.25">
      <c r="A662" t="s">
        <v>212</v>
      </c>
      <c r="B662">
        <v>2019</v>
      </c>
      <c r="D662">
        <v>7.9</v>
      </c>
      <c r="E662">
        <v>7.9</v>
      </c>
      <c r="F662">
        <v>36</v>
      </c>
      <c r="G662">
        <v>885</v>
      </c>
      <c r="H662">
        <v>771</v>
      </c>
      <c r="I662">
        <v>2149</v>
      </c>
      <c r="J662">
        <v>225</v>
      </c>
      <c r="K662">
        <v>2.7</v>
      </c>
      <c r="L662">
        <v>4.5</v>
      </c>
      <c r="M662">
        <v>102</v>
      </c>
      <c r="N662">
        <v>72</v>
      </c>
      <c r="O662">
        <v>1.8</v>
      </c>
      <c r="P662">
        <v>10.51</v>
      </c>
      <c r="Q662">
        <v>10.78</v>
      </c>
      <c r="R662">
        <v>30.53</v>
      </c>
      <c r="S662">
        <v>51.07</v>
      </c>
      <c r="T662">
        <v>7.6</v>
      </c>
      <c r="U662">
        <v>0.52</v>
      </c>
      <c r="V662">
        <v>6.09</v>
      </c>
      <c r="W662">
        <v>2.76</v>
      </c>
      <c r="X662" s="1">
        <v>43668</v>
      </c>
    </row>
    <row r="663" spans="1:24" x14ac:dyDescent="0.25">
      <c r="A663" t="s">
        <v>262</v>
      </c>
      <c r="B663">
        <v>2019</v>
      </c>
      <c r="D663">
        <v>8.1</v>
      </c>
      <c r="E663">
        <v>7.85</v>
      </c>
      <c r="F663">
        <v>53</v>
      </c>
      <c r="G663">
        <v>1150</v>
      </c>
      <c r="H663">
        <v>658</v>
      </c>
      <c r="I663">
        <v>2360</v>
      </c>
      <c r="J663">
        <v>24</v>
      </c>
      <c r="K663">
        <v>2.6</v>
      </c>
      <c r="L663">
        <v>2.1</v>
      </c>
      <c r="M663">
        <v>109</v>
      </c>
      <c r="N663">
        <v>75</v>
      </c>
      <c r="O663">
        <v>1.8</v>
      </c>
      <c r="P663">
        <v>11.31</v>
      </c>
      <c r="Q663">
        <v>13.02</v>
      </c>
      <c r="R663">
        <v>24.22</v>
      </c>
      <c r="S663">
        <v>52.13</v>
      </c>
      <c r="T663">
        <v>10.6</v>
      </c>
      <c r="U663">
        <v>0.6</v>
      </c>
      <c r="V663">
        <v>4.8600000000000003</v>
      </c>
      <c r="W663">
        <v>2.08</v>
      </c>
      <c r="X663" s="1">
        <v>43668</v>
      </c>
    </row>
    <row r="664" spans="1:24" x14ac:dyDescent="0.25">
      <c r="A664" t="s">
        <v>213</v>
      </c>
      <c r="B664">
        <v>2019</v>
      </c>
      <c r="D664">
        <v>7.7</v>
      </c>
      <c r="E664">
        <v>7.8</v>
      </c>
      <c r="F664">
        <v>49</v>
      </c>
      <c r="G664">
        <v>771</v>
      </c>
      <c r="H664">
        <v>748</v>
      </c>
      <c r="I664">
        <v>2401</v>
      </c>
      <c r="J664">
        <v>14</v>
      </c>
      <c r="K664">
        <v>2.5</v>
      </c>
      <c r="L664">
        <v>1.6</v>
      </c>
      <c r="M664">
        <v>117</v>
      </c>
      <c r="N664">
        <v>75</v>
      </c>
      <c r="O664">
        <v>1.8</v>
      </c>
      <c r="P664">
        <v>11.7</v>
      </c>
      <c r="Q664">
        <v>8.44</v>
      </c>
      <c r="R664">
        <v>26.62</v>
      </c>
      <c r="S664">
        <v>51.26</v>
      </c>
      <c r="T664">
        <v>13.66</v>
      </c>
      <c r="U664">
        <v>0.59</v>
      </c>
      <c r="V664">
        <v>7.47</v>
      </c>
      <c r="W664">
        <v>2.58</v>
      </c>
      <c r="X664" s="1">
        <v>43668</v>
      </c>
    </row>
    <row r="665" spans="1:24" x14ac:dyDescent="0.25">
      <c r="A665" t="s">
        <v>215</v>
      </c>
      <c r="B665">
        <v>2019</v>
      </c>
      <c r="D665">
        <v>8.6</v>
      </c>
      <c r="E665">
        <v>7.9</v>
      </c>
      <c r="F665">
        <v>44</v>
      </c>
      <c r="G665">
        <v>377</v>
      </c>
      <c r="H665">
        <v>222</v>
      </c>
      <c r="I665">
        <v>8601</v>
      </c>
      <c r="J665">
        <v>13</v>
      </c>
      <c r="K665">
        <v>0.8</v>
      </c>
      <c r="L665">
        <v>0.6</v>
      </c>
      <c r="M665">
        <v>70</v>
      </c>
      <c r="N665">
        <v>51</v>
      </c>
      <c r="O665">
        <v>1.5</v>
      </c>
      <c r="P665">
        <v>23.71</v>
      </c>
      <c r="Q665">
        <v>2.0299999999999998</v>
      </c>
      <c r="R665">
        <v>3.9</v>
      </c>
      <c r="S665">
        <v>90.68</v>
      </c>
      <c r="T665">
        <v>3.37</v>
      </c>
      <c r="U665">
        <v>0.35</v>
      </c>
      <c r="V665">
        <v>1.86</v>
      </c>
      <c r="W665">
        <v>1.76</v>
      </c>
      <c r="X665" s="1">
        <v>43668</v>
      </c>
    </row>
    <row r="666" spans="1:24" x14ac:dyDescent="0.25">
      <c r="A666" t="s">
        <v>216</v>
      </c>
      <c r="B666">
        <v>2019</v>
      </c>
      <c r="D666">
        <v>8.5</v>
      </c>
      <c r="E666">
        <v>7.9</v>
      </c>
      <c r="F666">
        <v>31</v>
      </c>
      <c r="G666">
        <v>366</v>
      </c>
      <c r="H666">
        <v>223</v>
      </c>
      <c r="I666">
        <v>7596</v>
      </c>
      <c r="J666">
        <v>14</v>
      </c>
      <c r="K666">
        <v>0.8</v>
      </c>
      <c r="L666">
        <v>0.8</v>
      </c>
      <c r="M666">
        <v>75</v>
      </c>
      <c r="N666">
        <v>54</v>
      </c>
      <c r="O666">
        <v>1.5</v>
      </c>
      <c r="P666">
        <v>21.18</v>
      </c>
      <c r="Q666">
        <v>2.21</v>
      </c>
      <c r="R666">
        <v>4.38</v>
      </c>
      <c r="S666">
        <v>89.62</v>
      </c>
      <c r="T666">
        <v>3.77</v>
      </c>
      <c r="U666">
        <v>0.4</v>
      </c>
      <c r="V666">
        <v>0.36</v>
      </c>
      <c r="W666">
        <v>1.56</v>
      </c>
      <c r="X666" s="1">
        <v>43668</v>
      </c>
    </row>
    <row r="667" spans="1:24" x14ac:dyDescent="0.25">
      <c r="A667" t="s">
        <v>217</v>
      </c>
      <c r="B667">
        <v>2019</v>
      </c>
      <c r="D667">
        <v>8.3000000000000007</v>
      </c>
      <c r="E667">
        <v>7.85</v>
      </c>
      <c r="F667">
        <v>44</v>
      </c>
      <c r="G667">
        <v>394</v>
      </c>
      <c r="H667">
        <v>225</v>
      </c>
      <c r="I667">
        <v>6162</v>
      </c>
      <c r="J667">
        <v>12</v>
      </c>
      <c r="K667">
        <v>0.9</v>
      </c>
      <c r="L667">
        <v>0.6</v>
      </c>
      <c r="M667">
        <v>101</v>
      </c>
      <c r="N667">
        <v>65</v>
      </c>
      <c r="O667">
        <v>1.7</v>
      </c>
      <c r="P667">
        <v>18.04</v>
      </c>
      <c r="Q667">
        <v>2.79</v>
      </c>
      <c r="R667">
        <v>5.19</v>
      </c>
      <c r="S667">
        <v>85.35</v>
      </c>
      <c r="T667">
        <v>6.64</v>
      </c>
      <c r="U667">
        <v>0.43</v>
      </c>
      <c r="V667">
        <v>1.7</v>
      </c>
      <c r="W667">
        <v>1.3</v>
      </c>
      <c r="X667" s="1">
        <v>43668</v>
      </c>
    </row>
    <row r="668" spans="1:24" x14ac:dyDescent="0.25">
      <c r="A668" t="s">
        <v>410</v>
      </c>
      <c r="B668">
        <v>2019</v>
      </c>
      <c r="D668">
        <v>7.8</v>
      </c>
      <c r="E668">
        <v>7.8</v>
      </c>
      <c r="F668">
        <v>166</v>
      </c>
      <c r="G668">
        <v>777</v>
      </c>
      <c r="H668">
        <v>1652</v>
      </c>
      <c r="I668">
        <v>2409</v>
      </c>
      <c r="J668">
        <v>91</v>
      </c>
      <c r="K668">
        <v>4.3</v>
      </c>
      <c r="L668">
        <v>2.5</v>
      </c>
      <c r="M668">
        <v>152</v>
      </c>
      <c r="N668">
        <v>86</v>
      </c>
      <c r="O668">
        <v>2.2999999999999998</v>
      </c>
      <c r="P668">
        <v>15.5</v>
      </c>
      <c r="Q668">
        <v>6.42</v>
      </c>
      <c r="R668">
        <v>44.4</v>
      </c>
      <c r="S668">
        <v>38.840000000000003</v>
      </c>
      <c r="T668">
        <v>10.32</v>
      </c>
      <c r="U668">
        <v>0.57999999999999996</v>
      </c>
      <c r="V668">
        <v>58.77</v>
      </c>
      <c r="W668">
        <v>1.35</v>
      </c>
      <c r="X668" s="1">
        <v>43669</v>
      </c>
    </row>
    <row r="669" spans="1:24" x14ac:dyDescent="0.25">
      <c r="A669" t="s">
        <v>411</v>
      </c>
      <c r="B669">
        <v>2019</v>
      </c>
      <c r="D669">
        <v>8.5</v>
      </c>
      <c r="E669">
        <v>7.9</v>
      </c>
      <c r="F669">
        <v>82</v>
      </c>
      <c r="G669">
        <v>615</v>
      </c>
      <c r="H669">
        <v>1295</v>
      </c>
      <c r="I669">
        <v>2064</v>
      </c>
      <c r="J669">
        <v>42</v>
      </c>
      <c r="K669">
        <v>3.4</v>
      </c>
      <c r="L669">
        <v>1.3</v>
      </c>
      <c r="M669">
        <v>118</v>
      </c>
      <c r="N669">
        <v>69</v>
      </c>
      <c r="O669">
        <v>2.1</v>
      </c>
      <c r="P669">
        <v>12.14</v>
      </c>
      <c r="Q669">
        <v>6.49</v>
      </c>
      <c r="R669">
        <v>44.43</v>
      </c>
      <c r="S669">
        <v>42.48</v>
      </c>
      <c r="T669">
        <v>6.58</v>
      </c>
      <c r="U669">
        <v>0.4</v>
      </c>
      <c r="V669">
        <v>3.1</v>
      </c>
      <c r="W669">
        <v>1.27</v>
      </c>
      <c r="X669" s="1">
        <v>43669</v>
      </c>
    </row>
    <row r="670" spans="1:24" x14ac:dyDescent="0.25">
      <c r="A670" t="s">
        <v>412</v>
      </c>
      <c r="B670">
        <v>2019</v>
      </c>
      <c r="D670">
        <v>8.3000000000000007</v>
      </c>
      <c r="E670">
        <v>7.9</v>
      </c>
      <c r="F670">
        <v>143</v>
      </c>
      <c r="G670">
        <v>766</v>
      </c>
      <c r="H670">
        <v>1398</v>
      </c>
      <c r="I670">
        <v>1967</v>
      </c>
      <c r="J670">
        <v>57</v>
      </c>
      <c r="K670">
        <v>4.3</v>
      </c>
      <c r="L670">
        <v>1.7</v>
      </c>
      <c r="M670">
        <v>130</v>
      </c>
      <c r="N670">
        <v>81</v>
      </c>
      <c r="O670">
        <v>2.1</v>
      </c>
      <c r="P670">
        <v>12.52</v>
      </c>
      <c r="Q670">
        <v>7.84</v>
      </c>
      <c r="R670">
        <v>46.5</v>
      </c>
      <c r="S670">
        <v>39.26</v>
      </c>
      <c r="T670">
        <v>6.38</v>
      </c>
      <c r="U670">
        <v>0.39</v>
      </c>
      <c r="V670">
        <v>12.08</v>
      </c>
      <c r="W670">
        <v>1.27</v>
      </c>
      <c r="X670" s="1">
        <v>43669</v>
      </c>
    </row>
    <row r="671" spans="1:24" x14ac:dyDescent="0.25">
      <c r="A671" t="s">
        <v>413</v>
      </c>
      <c r="B671">
        <v>2019</v>
      </c>
      <c r="D671">
        <v>8.3000000000000007</v>
      </c>
      <c r="E671">
        <v>7.75</v>
      </c>
      <c r="F671">
        <v>36</v>
      </c>
      <c r="G671">
        <v>910</v>
      </c>
      <c r="H671">
        <v>437</v>
      </c>
      <c r="I671">
        <v>11860</v>
      </c>
      <c r="J671">
        <v>19</v>
      </c>
      <c r="K671">
        <v>3.2</v>
      </c>
      <c r="L671">
        <v>4</v>
      </c>
      <c r="M671">
        <v>232</v>
      </c>
      <c r="N671">
        <v>51</v>
      </c>
      <c r="O671">
        <v>4.7</v>
      </c>
      <c r="P671">
        <v>34.630000000000003</v>
      </c>
      <c r="Q671">
        <v>3.36</v>
      </c>
      <c r="R671">
        <v>5.25</v>
      </c>
      <c r="S671">
        <v>85.6</v>
      </c>
      <c r="T671">
        <v>5.77</v>
      </c>
      <c r="U671">
        <v>1.1599999999999999</v>
      </c>
      <c r="V671">
        <v>10.01</v>
      </c>
      <c r="W671">
        <v>2.4500000000000002</v>
      </c>
      <c r="X671" s="1">
        <v>43669</v>
      </c>
    </row>
    <row r="672" spans="1:24" x14ac:dyDescent="0.25">
      <c r="A672" t="s">
        <v>414</v>
      </c>
      <c r="B672">
        <v>2019</v>
      </c>
      <c r="D672">
        <v>8.3000000000000007</v>
      </c>
      <c r="E672">
        <v>7.75</v>
      </c>
      <c r="F672">
        <v>36</v>
      </c>
      <c r="G672">
        <v>841</v>
      </c>
      <c r="H672">
        <v>391</v>
      </c>
      <c r="I672">
        <v>9954</v>
      </c>
      <c r="J672">
        <v>14</v>
      </c>
      <c r="K672">
        <v>2.9</v>
      </c>
      <c r="L672">
        <v>1.3</v>
      </c>
      <c r="M672">
        <v>220</v>
      </c>
      <c r="N672">
        <v>52</v>
      </c>
      <c r="O672">
        <v>4.0999999999999996</v>
      </c>
      <c r="P672">
        <v>29.59</v>
      </c>
      <c r="Q672">
        <v>3.64</v>
      </c>
      <c r="R672">
        <v>5.5</v>
      </c>
      <c r="S672">
        <v>84.09</v>
      </c>
      <c r="T672">
        <v>6.75</v>
      </c>
      <c r="U672">
        <v>1.05</v>
      </c>
      <c r="V672">
        <v>9.4700000000000006</v>
      </c>
      <c r="W672">
        <v>1.87</v>
      </c>
      <c r="X672" s="1">
        <v>43669</v>
      </c>
    </row>
    <row r="673" spans="1:24" x14ac:dyDescent="0.25">
      <c r="A673" t="s">
        <v>415</v>
      </c>
      <c r="B673">
        <v>2019</v>
      </c>
      <c r="D673">
        <v>8.3000000000000007</v>
      </c>
      <c r="E673">
        <v>7.8</v>
      </c>
      <c r="F673">
        <v>35</v>
      </c>
      <c r="G673">
        <v>1003</v>
      </c>
      <c r="H673">
        <v>442</v>
      </c>
      <c r="I673">
        <v>11340</v>
      </c>
      <c r="J673">
        <v>21</v>
      </c>
      <c r="K673">
        <v>3.2</v>
      </c>
      <c r="L673">
        <v>1.2</v>
      </c>
      <c r="M673">
        <v>257</v>
      </c>
      <c r="N673">
        <v>50</v>
      </c>
      <c r="O673">
        <v>4.8</v>
      </c>
      <c r="P673">
        <v>33.07</v>
      </c>
      <c r="Q673">
        <v>3.88</v>
      </c>
      <c r="R673">
        <v>5.56</v>
      </c>
      <c r="S673">
        <v>85.7</v>
      </c>
      <c r="T673">
        <v>4.83</v>
      </c>
      <c r="U673">
        <v>1.34</v>
      </c>
      <c r="V673">
        <v>27.12</v>
      </c>
      <c r="W673">
        <v>1.74</v>
      </c>
      <c r="X673" s="1">
        <v>43669</v>
      </c>
    </row>
    <row r="674" spans="1:24" x14ac:dyDescent="0.25">
      <c r="A674" t="s">
        <v>416</v>
      </c>
      <c r="B674">
        <v>2019</v>
      </c>
      <c r="D674">
        <v>8.4</v>
      </c>
      <c r="E674">
        <v>7.8</v>
      </c>
      <c r="F674">
        <v>37</v>
      </c>
      <c r="G674">
        <v>1068</v>
      </c>
      <c r="H674">
        <v>424</v>
      </c>
      <c r="I674">
        <v>9190</v>
      </c>
      <c r="J674">
        <v>15</v>
      </c>
      <c r="K674">
        <v>2.9</v>
      </c>
      <c r="L674">
        <v>1.2</v>
      </c>
      <c r="M674">
        <v>270</v>
      </c>
      <c r="N674">
        <v>56</v>
      </c>
      <c r="O674">
        <v>4.5999999999999996</v>
      </c>
      <c r="P674">
        <v>27.71</v>
      </c>
      <c r="Q674">
        <v>4.9400000000000004</v>
      </c>
      <c r="R674">
        <v>6.37</v>
      </c>
      <c r="S674">
        <v>82.9</v>
      </c>
      <c r="T674">
        <v>5.77</v>
      </c>
      <c r="U674">
        <v>1.05</v>
      </c>
      <c r="V674">
        <v>11.82</v>
      </c>
      <c r="W674">
        <v>2.4</v>
      </c>
      <c r="X674" s="1">
        <v>43669</v>
      </c>
    </row>
    <row r="675" spans="1:24" x14ac:dyDescent="0.25">
      <c r="A675" t="s">
        <v>417</v>
      </c>
      <c r="B675">
        <v>2019</v>
      </c>
      <c r="D675">
        <v>8.3000000000000007</v>
      </c>
      <c r="E675">
        <v>7.75</v>
      </c>
      <c r="F675">
        <v>29</v>
      </c>
      <c r="G675">
        <v>955</v>
      </c>
      <c r="H675">
        <v>425</v>
      </c>
      <c r="I675">
        <v>10820</v>
      </c>
      <c r="J675">
        <v>12</v>
      </c>
      <c r="K675">
        <v>3</v>
      </c>
      <c r="L675">
        <v>1.3</v>
      </c>
      <c r="M675">
        <v>282</v>
      </c>
      <c r="N675">
        <v>47</v>
      </c>
      <c r="O675">
        <v>4.8</v>
      </c>
      <c r="P675">
        <v>32.04</v>
      </c>
      <c r="Q675">
        <v>3.82</v>
      </c>
      <c r="R675">
        <v>5.52</v>
      </c>
      <c r="S675">
        <v>84.41</v>
      </c>
      <c r="T675">
        <v>6.24</v>
      </c>
      <c r="U675">
        <v>1.22</v>
      </c>
      <c r="V675">
        <v>4.68</v>
      </c>
      <c r="W675">
        <v>1.68</v>
      </c>
      <c r="X675" s="1">
        <v>43669</v>
      </c>
    </row>
    <row r="676" spans="1:24" x14ac:dyDescent="0.25">
      <c r="A676" t="s">
        <v>418</v>
      </c>
      <c r="B676">
        <v>2019</v>
      </c>
      <c r="D676">
        <v>8.3000000000000007</v>
      </c>
      <c r="E676">
        <v>7.75</v>
      </c>
      <c r="F676">
        <v>36</v>
      </c>
      <c r="G676">
        <v>930</v>
      </c>
      <c r="H676">
        <v>457</v>
      </c>
      <c r="I676">
        <v>10810</v>
      </c>
      <c r="J676">
        <v>15</v>
      </c>
      <c r="K676">
        <v>3.1</v>
      </c>
      <c r="L676">
        <v>1.3</v>
      </c>
      <c r="M676">
        <v>258</v>
      </c>
      <c r="N676">
        <v>51</v>
      </c>
      <c r="O676">
        <v>4.9000000000000004</v>
      </c>
      <c r="P676">
        <v>32.119999999999997</v>
      </c>
      <c r="Q676">
        <v>3.71</v>
      </c>
      <c r="R676">
        <v>5.92</v>
      </c>
      <c r="S676">
        <v>84.13</v>
      </c>
      <c r="T676">
        <v>6.22</v>
      </c>
      <c r="U676">
        <v>1.1599999999999999</v>
      </c>
      <c r="V676">
        <v>8.89</v>
      </c>
      <c r="W676">
        <v>1.54</v>
      </c>
      <c r="X676" s="1">
        <v>43669</v>
      </c>
    </row>
    <row r="677" spans="1:24" x14ac:dyDescent="0.25">
      <c r="A677" t="s">
        <v>419</v>
      </c>
      <c r="B677">
        <v>2019</v>
      </c>
      <c r="D677">
        <v>7.8</v>
      </c>
      <c r="E677">
        <v>7.85</v>
      </c>
      <c r="F677">
        <v>21</v>
      </c>
      <c r="G677">
        <v>519</v>
      </c>
      <c r="H677">
        <v>305</v>
      </c>
      <c r="I677">
        <v>3027</v>
      </c>
      <c r="J677">
        <v>6</v>
      </c>
      <c r="K677">
        <v>0.9</v>
      </c>
      <c r="L677">
        <v>0.7</v>
      </c>
      <c r="M677">
        <v>119</v>
      </c>
      <c r="N677">
        <v>76</v>
      </c>
      <c r="O677">
        <v>2</v>
      </c>
      <c r="P677">
        <v>10.7</v>
      </c>
      <c r="Q677">
        <v>6.21</v>
      </c>
      <c r="R677">
        <v>11.87</v>
      </c>
      <c r="S677">
        <v>70.69</v>
      </c>
      <c r="T677">
        <v>11.21</v>
      </c>
      <c r="U677">
        <v>0.42</v>
      </c>
      <c r="V677">
        <v>6.77</v>
      </c>
      <c r="W677">
        <v>1.73</v>
      </c>
      <c r="X677" s="1">
        <v>43669</v>
      </c>
    </row>
    <row r="678" spans="1:24" x14ac:dyDescent="0.25">
      <c r="A678" t="s">
        <v>420</v>
      </c>
      <c r="B678">
        <v>2019</v>
      </c>
      <c r="D678">
        <v>7.8</v>
      </c>
      <c r="E678">
        <v>7.9</v>
      </c>
      <c r="F678">
        <v>12</v>
      </c>
      <c r="G678">
        <v>454</v>
      </c>
      <c r="H678">
        <v>276</v>
      </c>
      <c r="I678">
        <v>2624</v>
      </c>
      <c r="J678">
        <v>7</v>
      </c>
      <c r="K678">
        <v>1</v>
      </c>
      <c r="L678">
        <v>0.6</v>
      </c>
      <c r="M678">
        <v>98</v>
      </c>
      <c r="N678">
        <v>70</v>
      </c>
      <c r="O678">
        <v>1.6</v>
      </c>
      <c r="P678">
        <v>9.09</v>
      </c>
      <c r="Q678">
        <v>6.4</v>
      </c>
      <c r="R678">
        <v>12.64</v>
      </c>
      <c r="S678">
        <v>72.150000000000006</v>
      </c>
      <c r="T678">
        <v>8.7899999999999991</v>
      </c>
      <c r="U678">
        <v>0.39</v>
      </c>
      <c r="V678">
        <v>49.72</v>
      </c>
      <c r="W678">
        <v>4.8099999999999996</v>
      </c>
      <c r="X678" s="1">
        <v>43669</v>
      </c>
    </row>
    <row r="679" spans="1:24" x14ac:dyDescent="0.25">
      <c r="A679" t="s">
        <v>421</v>
      </c>
      <c r="B679">
        <v>2019</v>
      </c>
      <c r="D679">
        <v>7.7</v>
      </c>
      <c r="E679">
        <v>7.85</v>
      </c>
      <c r="F679">
        <v>11</v>
      </c>
      <c r="G679">
        <v>433</v>
      </c>
      <c r="H679">
        <v>272</v>
      </c>
      <c r="I679">
        <v>2314</v>
      </c>
      <c r="J679">
        <v>7</v>
      </c>
      <c r="K679">
        <v>0.9</v>
      </c>
      <c r="L679">
        <v>0.6</v>
      </c>
      <c r="M679">
        <v>88</v>
      </c>
      <c r="N679">
        <v>70</v>
      </c>
      <c r="O679">
        <v>1.6</v>
      </c>
      <c r="P679">
        <v>8.67</v>
      </c>
      <c r="Q679">
        <v>6.4</v>
      </c>
      <c r="R679">
        <v>13.06</v>
      </c>
      <c r="S679">
        <v>66.69</v>
      </c>
      <c r="T679">
        <v>13.83</v>
      </c>
      <c r="U679">
        <v>0.31</v>
      </c>
      <c r="V679">
        <v>7.44</v>
      </c>
      <c r="W679">
        <v>1.17</v>
      </c>
      <c r="X679" s="1">
        <v>43669</v>
      </c>
    </row>
    <row r="680" spans="1:24" x14ac:dyDescent="0.25">
      <c r="A680" t="s">
        <v>431</v>
      </c>
      <c r="B680">
        <v>2019</v>
      </c>
      <c r="D680">
        <v>7.5</v>
      </c>
      <c r="E680">
        <v>7.75</v>
      </c>
      <c r="F680">
        <v>150</v>
      </c>
      <c r="G680">
        <v>1242</v>
      </c>
      <c r="H680">
        <v>1234</v>
      </c>
      <c r="I680">
        <v>3242</v>
      </c>
      <c r="J680">
        <v>42</v>
      </c>
      <c r="K680">
        <v>3.3</v>
      </c>
      <c r="L680">
        <v>29.6</v>
      </c>
      <c r="M680">
        <v>169</v>
      </c>
      <c r="N680">
        <v>84</v>
      </c>
      <c r="O680">
        <v>2.9</v>
      </c>
      <c r="P680">
        <v>16.829999999999998</v>
      </c>
      <c r="Q680">
        <v>9.4499999999999993</v>
      </c>
      <c r="R680">
        <v>30.53</v>
      </c>
      <c r="S680">
        <v>48.13</v>
      </c>
      <c r="T680">
        <v>11.87</v>
      </c>
      <c r="U680">
        <v>1.46</v>
      </c>
      <c r="V680">
        <v>6.2</v>
      </c>
      <c r="W680">
        <v>1.48</v>
      </c>
      <c r="X680" s="1">
        <v>43670</v>
      </c>
    </row>
    <row r="681" spans="1:24" x14ac:dyDescent="0.25">
      <c r="A681" t="s">
        <v>432</v>
      </c>
      <c r="B681">
        <v>2019</v>
      </c>
      <c r="D681">
        <v>7.8</v>
      </c>
      <c r="E681">
        <v>7.85</v>
      </c>
      <c r="F681">
        <v>140</v>
      </c>
      <c r="G681">
        <v>970</v>
      </c>
      <c r="H681">
        <v>1216</v>
      </c>
      <c r="I681">
        <v>3193</v>
      </c>
      <c r="J681">
        <v>36</v>
      </c>
      <c r="K681">
        <v>3.5</v>
      </c>
      <c r="L681">
        <v>22.8</v>
      </c>
      <c r="M681">
        <v>152</v>
      </c>
      <c r="N681">
        <v>81</v>
      </c>
      <c r="O681">
        <v>2.7</v>
      </c>
      <c r="P681">
        <v>15.49</v>
      </c>
      <c r="Q681">
        <v>8.02</v>
      </c>
      <c r="R681">
        <v>32.700000000000003</v>
      </c>
      <c r="S681">
        <v>51.52</v>
      </c>
      <c r="T681">
        <v>7.74</v>
      </c>
      <c r="U681">
        <v>1.24</v>
      </c>
      <c r="V681">
        <v>10.73</v>
      </c>
      <c r="W681">
        <v>2.2999999999999998</v>
      </c>
      <c r="X681" s="1">
        <v>43670</v>
      </c>
    </row>
    <row r="682" spans="1:24" x14ac:dyDescent="0.25">
      <c r="A682" t="s">
        <v>433</v>
      </c>
      <c r="B682">
        <v>2019</v>
      </c>
      <c r="D682">
        <v>7.4</v>
      </c>
      <c r="E682">
        <v>7.8</v>
      </c>
      <c r="F682">
        <v>98</v>
      </c>
      <c r="G682">
        <v>886</v>
      </c>
      <c r="H682">
        <v>1125</v>
      </c>
      <c r="I682">
        <v>2878</v>
      </c>
      <c r="J682">
        <v>48</v>
      </c>
      <c r="K682">
        <v>3.1</v>
      </c>
      <c r="L682">
        <v>19.3</v>
      </c>
      <c r="M682">
        <v>163</v>
      </c>
      <c r="N682">
        <v>72</v>
      </c>
      <c r="O682">
        <v>2.4</v>
      </c>
      <c r="P682">
        <v>14.61</v>
      </c>
      <c r="Q682">
        <v>7.77</v>
      </c>
      <c r="R682">
        <v>32.06</v>
      </c>
      <c r="S682">
        <v>49.21</v>
      </c>
      <c r="T682">
        <v>10.94</v>
      </c>
      <c r="U682">
        <v>1.18</v>
      </c>
      <c r="V682">
        <v>7.01</v>
      </c>
      <c r="W682">
        <v>1.85</v>
      </c>
      <c r="X682" s="1">
        <v>43670</v>
      </c>
    </row>
    <row r="683" spans="1:24" x14ac:dyDescent="0.25">
      <c r="A683" t="s">
        <v>434</v>
      </c>
      <c r="B683">
        <v>2019</v>
      </c>
      <c r="D683">
        <v>7.5</v>
      </c>
      <c r="E683">
        <v>7.8</v>
      </c>
      <c r="F683">
        <v>209</v>
      </c>
      <c r="G683">
        <v>1281</v>
      </c>
      <c r="H683">
        <v>994</v>
      </c>
      <c r="I683">
        <v>2960</v>
      </c>
      <c r="J683">
        <v>30</v>
      </c>
      <c r="K683">
        <v>3.1</v>
      </c>
      <c r="L683">
        <v>15.9</v>
      </c>
      <c r="M683">
        <v>129</v>
      </c>
      <c r="N683">
        <v>86</v>
      </c>
      <c r="O683">
        <v>2.9</v>
      </c>
      <c r="P683">
        <v>14.78</v>
      </c>
      <c r="Q683">
        <v>11.1</v>
      </c>
      <c r="R683">
        <v>28.01</v>
      </c>
      <c r="S683">
        <v>50.05</v>
      </c>
      <c r="T683">
        <v>10.82</v>
      </c>
      <c r="U683">
        <v>1.17</v>
      </c>
      <c r="V683">
        <v>13.22</v>
      </c>
      <c r="W683">
        <v>1.92</v>
      </c>
      <c r="X683" s="1">
        <v>43670</v>
      </c>
    </row>
    <row r="684" spans="1:24" x14ac:dyDescent="0.25">
      <c r="A684" t="s">
        <v>435</v>
      </c>
      <c r="B684">
        <v>2019</v>
      </c>
      <c r="D684">
        <v>7.6</v>
      </c>
      <c r="E684">
        <v>7.75</v>
      </c>
      <c r="F684">
        <v>150</v>
      </c>
      <c r="G684">
        <v>1045</v>
      </c>
      <c r="H684">
        <v>1046</v>
      </c>
      <c r="I684">
        <v>3008</v>
      </c>
      <c r="J684">
        <v>35</v>
      </c>
      <c r="K684">
        <v>3.4</v>
      </c>
      <c r="L684">
        <v>14.4</v>
      </c>
      <c r="M684">
        <v>131</v>
      </c>
      <c r="N684">
        <v>89</v>
      </c>
      <c r="O684">
        <v>3.1</v>
      </c>
      <c r="P684">
        <v>15.21</v>
      </c>
      <c r="Q684">
        <v>8.8000000000000007</v>
      </c>
      <c r="R684">
        <v>28.63</v>
      </c>
      <c r="S684">
        <v>49.41</v>
      </c>
      <c r="T684">
        <v>13.14</v>
      </c>
      <c r="U684">
        <v>1.17</v>
      </c>
      <c r="V684">
        <v>12.81</v>
      </c>
      <c r="W684">
        <v>2.67</v>
      </c>
      <c r="X684" s="1">
        <v>43670</v>
      </c>
    </row>
    <row r="685" spans="1:24" x14ac:dyDescent="0.25">
      <c r="A685" t="s">
        <v>436</v>
      </c>
      <c r="B685">
        <v>2019</v>
      </c>
      <c r="D685">
        <v>7.9</v>
      </c>
      <c r="E685">
        <v>7.85</v>
      </c>
      <c r="F685">
        <v>197</v>
      </c>
      <c r="G685">
        <v>1207</v>
      </c>
      <c r="H685">
        <v>997</v>
      </c>
      <c r="I685">
        <v>2711</v>
      </c>
      <c r="J685">
        <v>40</v>
      </c>
      <c r="K685">
        <v>3.1</v>
      </c>
      <c r="L685">
        <v>13.4</v>
      </c>
      <c r="M685">
        <v>118</v>
      </c>
      <c r="N685">
        <v>84</v>
      </c>
      <c r="O685">
        <v>2.5</v>
      </c>
      <c r="P685">
        <v>13.67</v>
      </c>
      <c r="Q685">
        <v>11.31</v>
      </c>
      <c r="R685">
        <v>30.36</v>
      </c>
      <c r="S685">
        <v>49.54</v>
      </c>
      <c r="T685">
        <v>8.77</v>
      </c>
      <c r="U685">
        <v>1.1599999999999999</v>
      </c>
      <c r="V685">
        <v>16.100000000000001</v>
      </c>
      <c r="W685">
        <v>1.35</v>
      </c>
      <c r="X685" s="1">
        <v>43670</v>
      </c>
    </row>
    <row r="686" spans="1:24" x14ac:dyDescent="0.25">
      <c r="A686" t="s">
        <v>437</v>
      </c>
      <c r="B686">
        <v>2019</v>
      </c>
      <c r="D686">
        <v>7.8</v>
      </c>
      <c r="E686">
        <v>7.8</v>
      </c>
      <c r="F686">
        <v>368</v>
      </c>
      <c r="G686">
        <v>1955</v>
      </c>
      <c r="H686">
        <v>1536</v>
      </c>
      <c r="I686">
        <v>9108</v>
      </c>
      <c r="J686">
        <v>119</v>
      </c>
      <c r="K686">
        <v>4.9000000000000004</v>
      </c>
      <c r="L686">
        <v>18.100000000000001</v>
      </c>
      <c r="M686">
        <v>196</v>
      </c>
      <c r="N686">
        <v>107</v>
      </c>
      <c r="O686">
        <v>5</v>
      </c>
      <c r="P686">
        <v>33.270000000000003</v>
      </c>
      <c r="Q686">
        <v>7.53</v>
      </c>
      <c r="R686">
        <v>19.23</v>
      </c>
      <c r="S686">
        <v>68.42</v>
      </c>
      <c r="T686">
        <v>4.8</v>
      </c>
      <c r="U686">
        <v>2.04</v>
      </c>
      <c r="V686">
        <v>18.63</v>
      </c>
      <c r="W686">
        <v>1.38</v>
      </c>
      <c r="X686" s="1">
        <v>43670</v>
      </c>
    </row>
    <row r="687" spans="1:24" x14ac:dyDescent="0.25">
      <c r="A687" t="s">
        <v>438</v>
      </c>
      <c r="B687">
        <v>2019</v>
      </c>
      <c r="D687">
        <v>8</v>
      </c>
      <c r="E687">
        <v>7.8</v>
      </c>
      <c r="F687">
        <v>626</v>
      </c>
      <c r="G687">
        <v>2052</v>
      </c>
      <c r="H687">
        <v>2161</v>
      </c>
      <c r="I687">
        <v>9333</v>
      </c>
      <c r="J687">
        <v>183</v>
      </c>
      <c r="K687">
        <v>7</v>
      </c>
      <c r="L687">
        <v>22.8</v>
      </c>
      <c r="M687">
        <v>138</v>
      </c>
      <c r="N687">
        <v>183</v>
      </c>
      <c r="O687">
        <v>5.9</v>
      </c>
      <c r="P687">
        <v>36.56</v>
      </c>
      <c r="Q687">
        <v>7.19</v>
      </c>
      <c r="R687">
        <v>24.62</v>
      </c>
      <c r="S687">
        <v>63.8</v>
      </c>
      <c r="T687">
        <v>4.37</v>
      </c>
      <c r="U687">
        <v>2.0699999999999998</v>
      </c>
      <c r="V687">
        <v>74.78</v>
      </c>
      <c r="W687">
        <v>1.85</v>
      </c>
      <c r="X687" s="1">
        <v>43670</v>
      </c>
    </row>
    <row r="688" spans="1:24" x14ac:dyDescent="0.25">
      <c r="A688" t="s">
        <v>439</v>
      </c>
      <c r="B688">
        <v>2019</v>
      </c>
      <c r="D688">
        <v>7.8</v>
      </c>
      <c r="E688">
        <v>7.75</v>
      </c>
      <c r="F688">
        <v>518</v>
      </c>
      <c r="G688">
        <v>2260</v>
      </c>
      <c r="H688">
        <v>1933</v>
      </c>
      <c r="I688">
        <v>9824</v>
      </c>
      <c r="J688">
        <v>158</v>
      </c>
      <c r="K688">
        <v>6.1</v>
      </c>
      <c r="L688">
        <v>20.7</v>
      </c>
      <c r="M688">
        <v>156</v>
      </c>
      <c r="N688">
        <v>148</v>
      </c>
      <c r="O688">
        <v>5.3</v>
      </c>
      <c r="P688">
        <v>37.51</v>
      </c>
      <c r="Q688">
        <v>7.72</v>
      </c>
      <c r="R688">
        <v>21.47</v>
      </c>
      <c r="S688">
        <v>65.47</v>
      </c>
      <c r="T688">
        <v>5.33</v>
      </c>
      <c r="U688">
        <v>2.02</v>
      </c>
      <c r="V688">
        <v>69.459999999999994</v>
      </c>
      <c r="W688">
        <v>1.45</v>
      </c>
      <c r="X688" s="1">
        <v>43670</v>
      </c>
    </row>
    <row r="689" spans="1:24" x14ac:dyDescent="0.25">
      <c r="A689" t="s">
        <v>218</v>
      </c>
      <c r="B689">
        <v>2019</v>
      </c>
      <c r="D689">
        <v>7.6</v>
      </c>
      <c r="E689">
        <v>7.75</v>
      </c>
      <c r="F689">
        <v>108</v>
      </c>
      <c r="G689">
        <v>1238</v>
      </c>
      <c r="H689">
        <v>1596</v>
      </c>
      <c r="I689">
        <v>4151</v>
      </c>
      <c r="J689">
        <v>29</v>
      </c>
      <c r="K689">
        <v>5</v>
      </c>
      <c r="L689">
        <v>2.6</v>
      </c>
      <c r="M689">
        <v>286</v>
      </c>
      <c r="N689">
        <v>90</v>
      </c>
      <c r="O689">
        <v>4.8</v>
      </c>
      <c r="P689">
        <v>20.61</v>
      </c>
      <c r="Q689">
        <v>7.69</v>
      </c>
      <c r="R689">
        <v>32.25</v>
      </c>
      <c r="S689">
        <v>50.34</v>
      </c>
      <c r="T689">
        <v>9.6999999999999993</v>
      </c>
      <c r="U689">
        <v>1.24</v>
      </c>
      <c r="V689">
        <v>50.04</v>
      </c>
      <c r="W689">
        <v>2.33</v>
      </c>
      <c r="X689" s="1">
        <v>43672</v>
      </c>
    </row>
    <row r="690" spans="1:24" x14ac:dyDescent="0.25">
      <c r="A690" t="s">
        <v>219</v>
      </c>
      <c r="B690">
        <v>2019</v>
      </c>
      <c r="D690">
        <v>8.1</v>
      </c>
      <c r="E690">
        <v>7.75</v>
      </c>
      <c r="F690">
        <v>97</v>
      </c>
      <c r="G690">
        <v>947</v>
      </c>
      <c r="H690">
        <v>1586</v>
      </c>
      <c r="I690">
        <v>3639</v>
      </c>
      <c r="J690">
        <v>33</v>
      </c>
      <c r="K690">
        <v>4.8</v>
      </c>
      <c r="L690">
        <v>2.7</v>
      </c>
      <c r="M690">
        <v>237</v>
      </c>
      <c r="N690">
        <v>95</v>
      </c>
      <c r="O690">
        <v>4.3</v>
      </c>
      <c r="P690">
        <v>18.91</v>
      </c>
      <c r="Q690">
        <v>6.41</v>
      </c>
      <c r="R690">
        <v>34.92</v>
      </c>
      <c r="S690">
        <v>48.08</v>
      </c>
      <c r="T690">
        <v>10.57</v>
      </c>
      <c r="U690">
        <v>1.1399999999999999</v>
      </c>
      <c r="V690">
        <v>39.299999999999997</v>
      </c>
      <c r="W690">
        <v>1.91</v>
      </c>
      <c r="X690" s="1">
        <v>43672</v>
      </c>
    </row>
    <row r="691" spans="1:24" x14ac:dyDescent="0.25">
      <c r="A691" t="s">
        <v>220</v>
      </c>
      <c r="B691">
        <v>2019</v>
      </c>
      <c r="D691">
        <v>7.8</v>
      </c>
      <c r="E691">
        <v>7.8</v>
      </c>
      <c r="F691">
        <v>92</v>
      </c>
      <c r="G691">
        <v>1026</v>
      </c>
      <c r="H691">
        <v>1389</v>
      </c>
      <c r="I691">
        <v>3121</v>
      </c>
      <c r="J691">
        <v>38</v>
      </c>
      <c r="K691">
        <v>4.3</v>
      </c>
      <c r="L691">
        <v>2.4</v>
      </c>
      <c r="M691">
        <v>219</v>
      </c>
      <c r="N691">
        <v>94</v>
      </c>
      <c r="O691">
        <v>3.6</v>
      </c>
      <c r="P691">
        <v>16.5</v>
      </c>
      <c r="Q691">
        <v>7.96</v>
      </c>
      <c r="R691">
        <v>35.06</v>
      </c>
      <c r="S691">
        <v>47.27</v>
      </c>
      <c r="T691">
        <v>9.69</v>
      </c>
      <c r="U691">
        <v>0.95</v>
      </c>
      <c r="V691">
        <v>94.44</v>
      </c>
      <c r="W691">
        <v>1.78</v>
      </c>
      <c r="X691" s="1">
        <v>43672</v>
      </c>
    </row>
    <row r="692" spans="1:24" x14ac:dyDescent="0.25">
      <c r="A692" t="s">
        <v>226</v>
      </c>
      <c r="B692">
        <v>2019</v>
      </c>
      <c r="D692">
        <v>7.6</v>
      </c>
      <c r="E692">
        <v>7.75</v>
      </c>
      <c r="F692">
        <v>24</v>
      </c>
      <c r="G692">
        <v>939</v>
      </c>
      <c r="H692">
        <v>742</v>
      </c>
      <c r="I692">
        <v>5002</v>
      </c>
      <c r="J692">
        <v>22</v>
      </c>
      <c r="K692">
        <v>2.2999999999999998</v>
      </c>
      <c r="L692">
        <v>1.4</v>
      </c>
      <c r="M692">
        <v>303</v>
      </c>
      <c r="N692">
        <v>78</v>
      </c>
      <c r="O692">
        <v>4.2</v>
      </c>
      <c r="P692">
        <v>18.8</v>
      </c>
      <c r="Q692">
        <v>6.4</v>
      </c>
      <c r="R692">
        <v>16.440000000000001</v>
      </c>
      <c r="S692">
        <v>66.510000000000005</v>
      </c>
      <c r="T692">
        <v>10.63</v>
      </c>
      <c r="U692">
        <v>1.35</v>
      </c>
      <c r="V692">
        <v>20.6</v>
      </c>
      <c r="W692">
        <v>2.98</v>
      </c>
      <c r="X692" s="1">
        <v>43672</v>
      </c>
    </row>
    <row r="693" spans="1:24" x14ac:dyDescent="0.25">
      <c r="A693" t="s">
        <v>227</v>
      </c>
      <c r="B693">
        <v>2019</v>
      </c>
      <c r="D693">
        <v>7.8</v>
      </c>
      <c r="E693">
        <v>7.75</v>
      </c>
      <c r="F693">
        <v>24</v>
      </c>
      <c r="G693">
        <v>837</v>
      </c>
      <c r="H693">
        <v>712</v>
      </c>
      <c r="I693">
        <v>4611</v>
      </c>
      <c r="J693">
        <v>16</v>
      </c>
      <c r="K693">
        <v>1.8</v>
      </c>
      <c r="L693">
        <v>1.3</v>
      </c>
      <c r="M693">
        <v>344</v>
      </c>
      <c r="N693">
        <v>86</v>
      </c>
      <c r="O693">
        <v>4.3</v>
      </c>
      <c r="P693">
        <v>17.559999999999999</v>
      </c>
      <c r="Q693">
        <v>6.1</v>
      </c>
      <c r="R693">
        <v>16.88</v>
      </c>
      <c r="S693">
        <v>65.61</v>
      </c>
      <c r="T693">
        <v>11.38</v>
      </c>
      <c r="U693">
        <v>1.31</v>
      </c>
      <c r="V693">
        <v>13.66</v>
      </c>
      <c r="W693">
        <v>2.21</v>
      </c>
      <c r="X693" s="1">
        <v>43672</v>
      </c>
    </row>
    <row r="694" spans="1:24" x14ac:dyDescent="0.25">
      <c r="A694" t="s">
        <v>228</v>
      </c>
      <c r="B694">
        <v>2019</v>
      </c>
      <c r="D694">
        <v>7.5</v>
      </c>
      <c r="E694">
        <v>7.75</v>
      </c>
      <c r="F694">
        <v>56</v>
      </c>
      <c r="G694">
        <v>831</v>
      </c>
      <c r="H694">
        <v>661</v>
      </c>
      <c r="I694">
        <v>4307</v>
      </c>
      <c r="J694">
        <v>14</v>
      </c>
      <c r="K694">
        <v>1.4</v>
      </c>
      <c r="L694">
        <v>1.5</v>
      </c>
      <c r="M694">
        <v>363</v>
      </c>
      <c r="N694">
        <v>111</v>
      </c>
      <c r="O694">
        <v>4.5999999999999996</v>
      </c>
      <c r="P694">
        <v>16.579999999999998</v>
      </c>
      <c r="Q694">
        <v>6.42</v>
      </c>
      <c r="R694">
        <v>16.600000000000001</v>
      </c>
      <c r="S694">
        <v>64.91</v>
      </c>
      <c r="T694">
        <v>12.05</v>
      </c>
      <c r="U694">
        <v>1.17</v>
      </c>
      <c r="V694">
        <v>12.03</v>
      </c>
      <c r="W694">
        <v>1.81</v>
      </c>
      <c r="X694" s="1">
        <v>43672</v>
      </c>
    </row>
    <row r="695" spans="1:24" x14ac:dyDescent="0.25">
      <c r="A695" t="s">
        <v>370</v>
      </c>
      <c r="B695">
        <v>2019</v>
      </c>
      <c r="D695">
        <v>8</v>
      </c>
      <c r="E695">
        <v>7.8</v>
      </c>
      <c r="F695">
        <v>36</v>
      </c>
      <c r="G695">
        <v>808</v>
      </c>
      <c r="H695">
        <v>1120</v>
      </c>
      <c r="I695">
        <v>3987</v>
      </c>
      <c r="J695">
        <v>13</v>
      </c>
      <c r="K695">
        <v>3</v>
      </c>
      <c r="L695">
        <v>1.1000000000000001</v>
      </c>
      <c r="M695">
        <v>206</v>
      </c>
      <c r="N695">
        <v>93</v>
      </c>
      <c r="O695">
        <v>5.6</v>
      </c>
      <c r="P695">
        <v>17.27</v>
      </c>
      <c r="Q695">
        <v>5.99</v>
      </c>
      <c r="R695">
        <v>27.02</v>
      </c>
      <c r="S695">
        <v>57.71</v>
      </c>
      <c r="T695">
        <v>9.26</v>
      </c>
      <c r="U695">
        <v>0.91</v>
      </c>
      <c r="V695">
        <v>12.23</v>
      </c>
      <c r="W695">
        <v>2.02</v>
      </c>
      <c r="X695" s="1">
        <v>43672</v>
      </c>
    </row>
    <row r="696" spans="1:24" x14ac:dyDescent="0.25">
      <c r="A696" t="s">
        <v>371</v>
      </c>
      <c r="B696">
        <v>2019</v>
      </c>
      <c r="D696">
        <v>7.7</v>
      </c>
      <c r="E696">
        <v>7.75</v>
      </c>
      <c r="F696">
        <v>35</v>
      </c>
      <c r="G696">
        <v>721</v>
      </c>
      <c r="H696">
        <v>1060</v>
      </c>
      <c r="I696">
        <v>4131</v>
      </c>
      <c r="J696">
        <v>12</v>
      </c>
      <c r="K696">
        <v>2.6</v>
      </c>
      <c r="L696">
        <v>1</v>
      </c>
      <c r="M696">
        <v>225</v>
      </c>
      <c r="N696">
        <v>87</v>
      </c>
      <c r="O696">
        <v>3.9</v>
      </c>
      <c r="P696">
        <v>17.66</v>
      </c>
      <c r="Q696">
        <v>5.23</v>
      </c>
      <c r="R696">
        <v>24.99</v>
      </c>
      <c r="S696">
        <v>58.45</v>
      </c>
      <c r="T696">
        <v>11.31</v>
      </c>
      <c r="U696">
        <v>1</v>
      </c>
      <c r="V696">
        <v>15.9</v>
      </c>
      <c r="W696">
        <v>2.42</v>
      </c>
      <c r="X696" s="1">
        <v>43672</v>
      </c>
    </row>
    <row r="697" spans="1:24" x14ac:dyDescent="0.25">
      <c r="A697" t="s">
        <v>372</v>
      </c>
      <c r="B697">
        <v>2019</v>
      </c>
      <c r="D697">
        <v>7.4</v>
      </c>
      <c r="E697">
        <v>7.75</v>
      </c>
      <c r="F697">
        <v>39</v>
      </c>
      <c r="G697">
        <v>678</v>
      </c>
      <c r="H697">
        <v>958</v>
      </c>
      <c r="I697">
        <v>3558</v>
      </c>
      <c r="J697">
        <v>16</v>
      </c>
      <c r="K697">
        <v>2.1</v>
      </c>
      <c r="L697">
        <v>0.9</v>
      </c>
      <c r="M697">
        <v>186</v>
      </c>
      <c r="N697">
        <v>95</v>
      </c>
      <c r="O697">
        <v>4.2</v>
      </c>
      <c r="P697">
        <v>15.75</v>
      </c>
      <c r="Q697">
        <v>5.51</v>
      </c>
      <c r="R697">
        <v>25.33</v>
      </c>
      <c r="S697">
        <v>56.45</v>
      </c>
      <c r="T697">
        <v>12.69</v>
      </c>
      <c r="U697">
        <v>0.89</v>
      </c>
      <c r="V697">
        <v>24.68</v>
      </c>
      <c r="W697">
        <v>2.14</v>
      </c>
      <c r="X697" s="1">
        <v>43672</v>
      </c>
    </row>
    <row r="698" spans="1:24" x14ac:dyDescent="0.25">
      <c r="A698" t="s">
        <v>373</v>
      </c>
      <c r="B698">
        <v>2019</v>
      </c>
      <c r="D698">
        <v>8.1</v>
      </c>
      <c r="E698">
        <v>7.65</v>
      </c>
      <c r="F698">
        <v>198</v>
      </c>
      <c r="G698">
        <v>1560</v>
      </c>
      <c r="H698">
        <v>1754</v>
      </c>
      <c r="I698">
        <v>4560</v>
      </c>
      <c r="J698">
        <v>28</v>
      </c>
      <c r="K698">
        <v>5.5</v>
      </c>
      <c r="L698">
        <v>4.9000000000000004</v>
      </c>
      <c r="M698">
        <v>426</v>
      </c>
      <c r="N698">
        <v>76</v>
      </c>
      <c r="O698">
        <v>6.1</v>
      </c>
      <c r="P698">
        <v>23.5</v>
      </c>
      <c r="Q698">
        <v>8.5</v>
      </c>
      <c r="R698">
        <v>31.08</v>
      </c>
      <c r="S698">
        <v>48.49</v>
      </c>
      <c r="T698">
        <v>11.91</v>
      </c>
      <c r="U698">
        <v>1.69</v>
      </c>
      <c r="V698">
        <v>17.190000000000001</v>
      </c>
      <c r="W698">
        <v>1.7</v>
      </c>
      <c r="X698" s="1">
        <v>43675</v>
      </c>
    </row>
    <row r="699" spans="1:24" x14ac:dyDescent="0.25">
      <c r="A699" t="s">
        <v>374</v>
      </c>
      <c r="B699">
        <v>2019</v>
      </c>
      <c r="D699">
        <v>8</v>
      </c>
      <c r="E699">
        <v>7.8</v>
      </c>
      <c r="F699">
        <v>210</v>
      </c>
      <c r="G699">
        <v>1379</v>
      </c>
      <c r="H699">
        <v>1720</v>
      </c>
      <c r="I699">
        <v>4514</v>
      </c>
      <c r="J699">
        <v>26</v>
      </c>
      <c r="K699">
        <v>4.9000000000000004</v>
      </c>
      <c r="L699">
        <v>5.4</v>
      </c>
      <c r="M699">
        <v>434</v>
      </c>
      <c r="N699">
        <v>80</v>
      </c>
      <c r="O699">
        <v>5.5</v>
      </c>
      <c r="P699">
        <v>21.81</v>
      </c>
      <c r="Q699">
        <v>8.1</v>
      </c>
      <c r="R699">
        <v>32.840000000000003</v>
      </c>
      <c r="S699">
        <v>51.71</v>
      </c>
      <c r="T699">
        <v>7.33</v>
      </c>
      <c r="U699">
        <v>1.61</v>
      </c>
      <c r="V699">
        <v>12.71</v>
      </c>
      <c r="W699">
        <v>1.64</v>
      </c>
      <c r="X699" s="1">
        <v>43675</v>
      </c>
    </row>
    <row r="700" spans="1:24" x14ac:dyDescent="0.25">
      <c r="A700" t="s">
        <v>375</v>
      </c>
      <c r="B700">
        <v>2019</v>
      </c>
      <c r="D700">
        <v>8.1999999999999993</v>
      </c>
      <c r="E700">
        <v>7.75</v>
      </c>
      <c r="F700">
        <v>278</v>
      </c>
      <c r="G700">
        <v>1425</v>
      </c>
      <c r="H700">
        <v>2002</v>
      </c>
      <c r="I700">
        <v>5116</v>
      </c>
      <c r="J700">
        <v>33</v>
      </c>
      <c r="K700">
        <v>6.1</v>
      </c>
      <c r="L700">
        <v>7.1</v>
      </c>
      <c r="M700">
        <v>431</v>
      </c>
      <c r="N700">
        <v>109</v>
      </c>
      <c r="O700">
        <v>6.4</v>
      </c>
      <c r="P700">
        <v>24.95</v>
      </c>
      <c r="Q700">
        <v>7.31</v>
      </c>
      <c r="R700">
        <v>33.42</v>
      </c>
      <c r="S700">
        <v>51.24</v>
      </c>
      <c r="T700">
        <v>8.01</v>
      </c>
      <c r="U700">
        <v>1.56</v>
      </c>
      <c r="V700">
        <v>18.97</v>
      </c>
      <c r="W700">
        <v>1.58</v>
      </c>
      <c r="X700" s="1">
        <v>43675</v>
      </c>
    </row>
    <row r="701" spans="1:24" x14ac:dyDescent="0.25">
      <c r="A701" t="s">
        <v>376</v>
      </c>
      <c r="B701">
        <v>2019</v>
      </c>
      <c r="D701">
        <v>8.3000000000000007</v>
      </c>
      <c r="E701">
        <v>7.8</v>
      </c>
      <c r="F701">
        <v>100</v>
      </c>
      <c r="G701">
        <v>1535</v>
      </c>
      <c r="H701">
        <v>1833</v>
      </c>
      <c r="I701">
        <v>4814</v>
      </c>
      <c r="J701">
        <v>42</v>
      </c>
      <c r="K701">
        <v>7.4</v>
      </c>
      <c r="L701">
        <v>3.7</v>
      </c>
      <c r="M701">
        <v>426</v>
      </c>
      <c r="N701">
        <v>94</v>
      </c>
      <c r="O701">
        <v>6.6</v>
      </c>
      <c r="P701">
        <v>23.24</v>
      </c>
      <c r="Q701">
        <v>8.4600000000000009</v>
      </c>
      <c r="R701">
        <v>32.86</v>
      </c>
      <c r="S701">
        <v>51.78</v>
      </c>
      <c r="T701">
        <v>6.88</v>
      </c>
      <c r="U701">
        <v>1.42</v>
      </c>
      <c r="V701">
        <v>23.44</v>
      </c>
      <c r="W701">
        <v>1.39</v>
      </c>
      <c r="X701" s="1">
        <v>43675</v>
      </c>
    </row>
    <row r="702" spans="1:24" x14ac:dyDescent="0.25">
      <c r="A702" t="s">
        <v>377</v>
      </c>
      <c r="B702">
        <v>2019</v>
      </c>
      <c r="D702">
        <v>8.4</v>
      </c>
      <c r="E702">
        <v>7.75</v>
      </c>
      <c r="F702">
        <v>78</v>
      </c>
      <c r="G702">
        <v>1103</v>
      </c>
      <c r="H702">
        <v>1881</v>
      </c>
      <c r="I702">
        <v>4492</v>
      </c>
      <c r="J702">
        <v>22</v>
      </c>
      <c r="K702">
        <v>7.2</v>
      </c>
      <c r="L702">
        <v>3.8</v>
      </c>
      <c r="M702">
        <v>400</v>
      </c>
      <c r="N702">
        <v>92</v>
      </c>
      <c r="O702">
        <v>6</v>
      </c>
      <c r="P702">
        <v>22.48</v>
      </c>
      <c r="Q702">
        <v>6.29</v>
      </c>
      <c r="R702">
        <v>34.86</v>
      </c>
      <c r="S702">
        <v>49.95</v>
      </c>
      <c r="T702">
        <v>8.89</v>
      </c>
      <c r="U702">
        <v>1.33</v>
      </c>
      <c r="V702">
        <v>14.9</v>
      </c>
      <c r="W702">
        <v>1.54</v>
      </c>
      <c r="X702" s="1">
        <v>43675</v>
      </c>
    </row>
    <row r="703" spans="1:24" x14ac:dyDescent="0.25">
      <c r="A703" t="s">
        <v>378</v>
      </c>
      <c r="B703">
        <v>2019</v>
      </c>
      <c r="D703">
        <v>8.4</v>
      </c>
      <c r="E703">
        <v>7.8</v>
      </c>
      <c r="F703">
        <v>118</v>
      </c>
      <c r="G703">
        <v>1450</v>
      </c>
      <c r="H703">
        <v>1990</v>
      </c>
      <c r="I703">
        <v>4958</v>
      </c>
      <c r="J703">
        <v>29</v>
      </c>
      <c r="K703">
        <v>7.6</v>
      </c>
      <c r="L703">
        <v>4.0999999999999996</v>
      </c>
      <c r="M703">
        <v>395</v>
      </c>
      <c r="N703">
        <v>101</v>
      </c>
      <c r="O703">
        <v>5.7</v>
      </c>
      <c r="P703">
        <v>24.14</v>
      </c>
      <c r="Q703">
        <v>7.69</v>
      </c>
      <c r="R703">
        <v>34.340000000000003</v>
      </c>
      <c r="S703">
        <v>51.33</v>
      </c>
      <c r="T703">
        <v>6.62</v>
      </c>
      <c r="U703">
        <v>1.43</v>
      </c>
      <c r="V703">
        <v>23.43</v>
      </c>
      <c r="W703">
        <v>1.53</v>
      </c>
      <c r="X703" s="1">
        <v>43675</v>
      </c>
    </row>
    <row r="704" spans="1:24" x14ac:dyDescent="0.25">
      <c r="A704" t="s">
        <v>379</v>
      </c>
      <c r="B704">
        <v>2019</v>
      </c>
      <c r="D704">
        <v>8.1</v>
      </c>
      <c r="E704">
        <v>7.75</v>
      </c>
      <c r="F704">
        <v>110</v>
      </c>
      <c r="G704">
        <v>1638</v>
      </c>
      <c r="H704">
        <v>2084</v>
      </c>
      <c r="I704">
        <v>4686</v>
      </c>
      <c r="J704">
        <v>20</v>
      </c>
      <c r="K704">
        <v>7.6</v>
      </c>
      <c r="L704">
        <v>6.5</v>
      </c>
      <c r="M704">
        <v>387</v>
      </c>
      <c r="N704">
        <v>82</v>
      </c>
      <c r="O704">
        <v>5.0999999999999996</v>
      </c>
      <c r="P704">
        <v>24.49</v>
      </c>
      <c r="Q704">
        <v>8.57</v>
      </c>
      <c r="R704">
        <v>35.44</v>
      </c>
      <c r="S704">
        <v>47.81</v>
      </c>
      <c r="T704">
        <v>8.16</v>
      </c>
      <c r="U704">
        <v>1.68</v>
      </c>
      <c r="V704">
        <v>17.89</v>
      </c>
      <c r="W704">
        <v>1.65</v>
      </c>
      <c r="X704" s="1">
        <v>43675</v>
      </c>
    </row>
    <row r="705" spans="1:24" x14ac:dyDescent="0.25">
      <c r="A705" t="s">
        <v>380</v>
      </c>
      <c r="B705">
        <v>2019</v>
      </c>
      <c r="D705">
        <v>7.5</v>
      </c>
      <c r="E705">
        <v>7.7</v>
      </c>
      <c r="F705">
        <v>127</v>
      </c>
      <c r="G705">
        <v>1617</v>
      </c>
      <c r="H705">
        <v>2057</v>
      </c>
      <c r="I705">
        <v>4791</v>
      </c>
      <c r="J705">
        <v>25</v>
      </c>
      <c r="K705">
        <v>7.1</v>
      </c>
      <c r="L705">
        <v>6.6</v>
      </c>
      <c r="M705">
        <v>373</v>
      </c>
      <c r="N705">
        <v>87</v>
      </c>
      <c r="O705">
        <v>5.0999999999999996</v>
      </c>
      <c r="P705">
        <v>25.02</v>
      </c>
      <c r="Q705">
        <v>8.2799999999999994</v>
      </c>
      <c r="R705">
        <v>34.25</v>
      </c>
      <c r="S705">
        <v>47.86</v>
      </c>
      <c r="T705">
        <v>9.59</v>
      </c>
      <c r="U705">
        <v>1.64</v>
      </c>
      <c r="V705">
        <v>42.24</v>
      </c>
      <c r="W705">
        <v>3.25</v>
      </c>
      <c r="X705" s="1">
        <v>43675</v>
      </c>
    </row>
    <row r="706" spans="1:24" x14ac:dyDescent="0.25">
      <c r="A706" t="s">
        <v>381</v>
      </c>
      <c r="B706">
        <v>2019</v>
      </c>
      <c r="D706">
        <v>8.1999999999999993</v>
      </c>
      <c r="E706">
        <v>7.7</v>
      </c>
      <c r="F706">
        <v>91</v>
      </c>
      <c r="G706">
        <v>1827</v>
      </c>
      <c r="H706">
        <v>2255</v>
      </c>
      <c r="I706">
        <v>5034</v>
      </c>
      <c r="J706">
        <v>31</v>
      </c>
      <c r="K706">
        <v>8.1999999999999993</v>
      </c>
      <c r="L706">
        <v>7.7</v>
      </c>
      <c r="M706">
        <v>374</v>
      </c>
      <c r="N706">
        <v>85</v>
      </c>
      <c r="O706">
        <v>5.4</v>
      </c>
      <c r="P706">
        <v>26.72</v>
      </c>
      <c r="Q706">
        <v>8.76</v>
      </c>
      <c r="R706">
        <v>35.15</v>
      </c>
      <c r="S706">
        <v>47.09</v>
      </c>
      <c r="T706">
        <v>8.98</v>
      </c>
      <c r="U706">
        <v>1.77</v>
      </c>
      <c r="V706">
        <v>25.27</v>
      </c>
      <c r="W706">
        <v>1.69</v>
      </c>
      <c r="X706" s="1">
        <v>43675</v>
      </c>
    </row>
    <row r="707" spans="1:24" x14ac:dyDescent="0.25">
      <c r="A707" t="s">
        <v>382</v>
      </c>
      <c r="B707">
        <v>2019</v>
      </c>
      <c r="D707">
        <v>7.1</v>
      </c>
      <c r="E707">
        <v>7.7</v>
      </c>
      <c r="F707">
        <v>33</v>
      </c>
      <c r="G707">
        <v>926</v>
      </c>
      <c r="H707">
        <v>1418</v>
      </c>
      <c r="I707">
        <v>3087</v>
      </c>
      <c r="J707">
        <v>21</v>
      </c>
      <c r="K707">
        <v>1.7</v>
      </c>
      <c r="L707">
        <v>1.9</v>
      </c>
      <c r="M707">
        <v>260</v>
      </c>
      <c r="N707">
        <v>87</v>
      </c>
      <c r="O707">
        <v>4.2</v>
      </c>
      <c r="P707">
        <v>17.21</v>
      </c>
      <c r="Q707">
        <v>6.89</v>
      </c>
      <c r="R707">
        <v>34.32</v>
      </c>
      <c r="S707">
        <v>44.83</v>
      </c>
      <c r="T707">
        <v>13.94</v>
      </c>
      <c r="U707">
        <v>1.65</v>
      </c>
      <c r="V707">
        <v>6.4</v>
      </c>
      <c r="W707">
        <v>2.37</v>
      </c>
      <c r="X707" s="1">
        <v>43675</v>
      </c>
    </row>
    <row r="708" spans="1:24" x14ac:dyDescent="0.25">
      <c r="A708" t="s">
        <v>383</v>
      </c>
      <c r="B708">
        <v>2019</v>
      </c>
      <c r="D708">
        <v>7.2</v>
      </c>
      <c r="E708">
        <v>7.7</v>
      </c>
      <c r="F708">
        <v>22</v>
      </c>
      <c r="G708">
        <v>780</v>
      </c>
      <c r="H708">
        <v>1230</v>
      </c>
      <c r="I708">
        <v>2848</v>
      </c>
      <c r="J708">
        <v>22</v>
      </c>
      <c r="K708">
        <v>1.6</v>
      </c>
      <c r="L708">
        <v>1.4</v>
      </c>
      <c r="M708">
        <v>206</v>
      </c>
      <c r="N708">
        <v>81</v>
      </c>
      <c r="O708">
        <v>3.6</v>
      </c>
      <c r="P708">
        <v>15.64</v>
      </c>
      <c r="Q708">
        <v>6.39</v>
      </c>
      <c r="R708">
        <v>32.75</v>
      </c>
      <c r="S708">
        <v>45.5</v>
      </c>
      <c r="T708">
        <v>15.34</v>
      </c>
      <c r="U708">
        <v>1.27</v>
      </c>
      <c r="V708">
        <v>17.18</v>
      </c>
      <c r="W708">
        <v>3.07</v>
      </c>
      <c r="X708" s="1">
        <v>43675</v>
      </c>
    </row>
    <row r="709" spans="1:24" x14ac:dyDescent="0.25">
      <c r="A709" t="s">
        <v>384</v>
      </c>
      <c r="B709">
        <v>2019</v>
      </c>
      <c r="D709">
        <v>7</v>
      </c>
      <c r="E709">
        <v>7.75</v>
      </c>
      <c r="F709">
        <v>32</v>
      </c>
      <c r="G709">
        <v>820</v>
      </c>
      <c r="H709">
        <v>1276</v>
      </c>
      <c r="I709">
        <v>3003</v>
      </c>
      <c r="J709">
        <v>23</v>
      </c>
      <c r="K709">
        <v>1.4</v>
      </c>
      <c r="L709">
        <v>1.9</v>
      </c>
      <c r="M709">
        <v>237</v>
      </c>
      <c r="N709">
        <v>82</v>
      </c>
      <c r="O709">
        <v>3.6</v>
      </c>
      <c r="P709">
        <v>15.87</v>
      </c>
      <c r="Q709">
        <v>6.62</v>
      </c>
      <c r="R709">
        <v>33.479999999999997</v>
      </c>
      <c r="S709">
        <v>47.29</v>
      </c>
      <c r="T709">
        <v>12.59</v>
      </c>
      <c r="U709">
        <v>1.66</v>
      </c>
      <c r="V709">
        <v>17.329999999999998</v>
      </c>
      <c r="W709">
        <v>3.96</v>
      </c>
      <c r="X709" s="1">
        <v>43675</v>
      </c>
    </row>
    <row r="710" spans="1:24" x14ac:dyDescent="0.25">
      <c r="A710" t="s">
        <v>385</v>
      </c>
      <c r="B710">
        <v>2019</v>
      </c>
      <c r="D710">
        <v>8.3000000000000007</v>
      </c>
      <c r="E710">
        <v>7.75</v>
      </c>
      <c r="F710">
        <v>52</v>
      </c>
      <c r="G710">
        <v>1649</v>
      </c>
      <c r="H710">
        <v>1981</v>
      </c>
      <c r="I710">
        <v>7700</v>
      </c>
      <c r="J710">
        <v>56</v>
      </c>
      <c r="K710">
        <v>5.5</v>
      </c>
      <c r="L710">
        <v>9.1999999999999993</v>
      </c>
      <c r="M710">
        <v>263</v>
      </c>
      <c r="N710">
        <v>63</v>
      </c>
      <c r="O710">
        <v>5.2</v>
      </c>
      <c r="P710">
        <v>31.61</v>
      </c>
      <c r="Q710">
        <v>6.68</v>
      </c>
      <c r="R710">
        <v>26.1</v>
      </c>
      <c r="S710">
        <v>60.88</v>
      </c>
      <c r="T710">
        <v>6.32</v>
      </c>
      <c r="U710">
        <v>1.71</v>
      </c>
      <c r="V710">
        <v>24.3</v>
      </c>
      <c r="W710">
        <v>1.6</v>
      </c>
      <c r="X710" s="1">
        <v>43675</v>
      </c>
    </row>
    <row r="711" spans="1:24" x14ac:dyDescent="0.25">
      <c r="A711" t="s">
        <v>386</v>
      </c>
      <c r="B711">
        <v>2019</v>
      </c>
      <c r="D711">
        <v>7.6</v>
      </c>
      <c r="E711">
        <v>7.65</v>
      </c>
      <c r="F711">
        <v>46</v>
      </c>
      <c r="G711">
        <v>1732</v>
      </c>
      <c r="H711">
        <v>1971</v>
      </c>
      <c r="I711">
        <v>4167</v>
      </c>
      <c r="J711">
        <v>24</v>
      </c>
      <c r="K711">
        <v>4.7</v>
      </c>
      <c r="L711">
        <v>8.6999999999999993</v>
      </c>
      <c r="M711">
        <v>304</v>
      </c>
      <c r="N711">
        <v>80</v>
      </c>
      <c r="O711">
        <v>5.3</v>
      </c>
      <c r="P711">
        <v>23.65</v>
      </c>
      <c r="Q711">
        <v>9.3800000000000008</v>
      </c>
      <c r="R711">
        <v>34.72</v>
      </c>
      <c r="S711">
        <v>44.04</v>
      </c>
      <c r="T711">
        <v>11.83</v>
      </c>
      <c r="U711">
        <v>1.72</v>
      </c>
      <c r="V711">
        <v>15.51</v>
      </c>
      <c r="W711">
        <v>2.35</v>
      </c>
      <c r="X711" s="1">
        <v>43675</v>
      </c>
    </row>
    <row r="712" spans="1:24" x14ac:dyDescent="0.25">
      <c r="A712" t="s">
        <v>387</v>
      </c>
      <c r="B712">
        <v>2019</v>
      </c>
      <c r="D712">
        <v>7.8</v>
      </c>
      <c r="E712">
        <v>7.7</v>
      </c>
      <c r="F712">
        <v>63</v>
      </c>
      <c r="G712">
        <v>1738</v>
      </c>
      <c r="H712">
        <v>2250</v>
      </c>
      <c r="I712">
        <v>4375</v>
      </c>
      <c r="J712">
        <v>34</v>
      </c>
      <c r="K712">
        <v>5.6</v>
      </c>
      <c r="L712">
        <v>7.9</v>
      </c>
      <c r="M712">
        <v>278</v>
      </c>
      <c r="N712">
        <v>86</v>
      </c>
      <c r="O712">
        <v>5.4</v>
      </c>
      <c r="P712">
        <v>24.94</v>
      </c>
      <c r="Q712">
        <v>8.93</v>
      </c>
      <c r="R712">
        <v>37.58</v>
      </c>
      <c r="S712">
        <v>43.85</v>
      </c>
      <c r="T712">
        <v>9.6199999999999992</v>
      </c>
      <c r="U712">
        <v>2</v>
      </c>
      <c r="V712">
        <v>16.350000000000001</v>
      </c>
      <c r="W712">
        <v>1.77</v>
      </c>
      <c r="X712" s="1">
        <v>43675</v>
      </c>
    </row>
    <row r="713" spans="1:24" x14ac:dyDescent="0.25">
      <c r="A713" t="s">
        <v>388</v>
      </c>
      <c r="B713">
        <v>2019</v>
      </c>
      <c r="D713">
        <v>7.8</v>
      </c>
      <c r="E713">
        <v>7.75</v>
      </c>
      <c r="F713">
        <v>23</v>
      </c>
      <c r="G713">
        <v>1362</v>
      </c>
      <c r="H713">
        <v>1574</v>
      </c>
      <c r="I713">
        <v>3749</v>
      </c>
      <c r="J713">
        <v>25</v>
      </c>
      <c r="K713">
        <v>3.9</v>
      </c>
      <c r="L713">
        <v>3.3</v>
      </c>
      <c r="M713">
        <v>313</v>
      </c>
      <c r="N713">
        <v>84</v>
      </c>
      <c r="O713">
        <v>4.4000000000000004</v>
      </c>
      <c r="P713">
        <v>19.670000000000002</v>
      </c>
      <c r="Q713">
        <v>8.8699999999999992</v>
      </c>
      <c r="R713">
        <v>33.32</v>
      </c>
      <c r="S713">
        <v>47.63</v>
      </c>
      <c r="T713">
        <v>10.16</v>
      </c>
      <c r="U713">
        <v>1.69</v>
      </c>
      <c r="V713">
        <v>11.06</v>
      </c>
      <c r="W713">
        <v>1.63</v>
      </c>
      <c r="X713" s="1">
        <v>43675</v>
      </c>
    </row>
    <row r="714" spans="1:24" x14ac:dyDescent="0.25">
      <c r="A714" t="s">
        <v>389</v>
      </c>
      <c r="B714">
        <v>2019</v>
      </c>
      <c r="D714">
        <v>7.6</v>
      </c>
      <c r="E714">
        <v>7.6</v>
      </c>
      <c r="F714">
        <v>20</v>
      </c>
      <c r="G714">
        <v>1245</v>
      </c>
      <c r="H714">
        <v>1896</v>
      </c>
      <c r="I714">
        <v>4387</v>
      </c>
      <c r="J714">
        <v>47</v>
      </c>
      <c r="K714">
        <v>4.5999999999999996</v>
      </c>
      <c r="L714">
        <v>2.4</v>
      </c>
      <c r="M714">
        <v>349</v>
      </c>
      <c r="N714">
        <v>81</v>
      </c>
      <c r="O714">
        <v>5.3</v>
      </c>
      <c r="P714">
        <v>23.66</v>
      </c>
      <c r="Q714">
        <v>6.74</v>
      </c>
      <c r="R714">
        <v>33.380000000000003</v>
      </c>
      <c r="S714">
        <v>46.34</v>
      </c>
      <c r="T714">
        <v>13.52</v>
      </c>
      <c r="U714">
        <v>1.69</v>
      </c>
      <c r="V714">
        <v>14.82</v>
      </c>
      <c r="W714">
        <v>1.64</v>
      </c>
      <c r="X714" s="1">
        <v>43675</v>
      </c>
    </row>
    <row r="715" spans="1:24" x14ac:dyDescent="0.25">
      <c r="A715" t="s">
        <v>390</v>
      </c>
      <c r="B715">
        <v>2019</v>
      </c>
      <c r="D715">
        <v>8</v>
      </c>
      <c r="E715">
        <v>7.7</v>
      </c>
      <c r="F715">
        <v>137</v>
      </c>
      <c r="G715">
        <v>1564</v>
      </c>
      <c r="H715">
        <v>2015</v>
      </c>
      <c r="I715">
        <v>5123</v>
      </c>
      <c r="J715">
        <v>38</v>
      </c>
      <c r="K715">
        <v>5.9</v>
      </c>
      <c r="L715">
        <v>7.3</v>
      </c>
      <c r="M715">
        <v>315</v>
      </c>
      <c r="N715">
        <v>87</v>
      </c>
      <c r="O715">
        <v>5.7</v>
      </c>
      <c r="P715">
        <v>25.6</v>
      </c>
      <c r="Q715">
        <v>7.82</v>
      </c>
      <c r="R715">
        <v>32.78</v>
      </c>
      <c r="S715">
        <v>50.01</v>
      </c>
      <c r="T715">
        <v>9.3699999999999992</v>
      </c>
      <c r="U715">
        <v>1.96</v>
      </c>
      <c r="V715">
        <v>15.86</v>
      </c>
      <c r="W715">
        <v>2.33</v>
      </c>
      <c r="X715" s="1">
        <v>43675</v>
      </c>
    </row>
    <row r="716" spans="1:24" x14ac:dyDescent="0.25">
      <c r="A716" t="s">
        <v>151</v>
      </c>
      <c r="B716">
        <v>2019</v>
      </c>
      <c r="D716">
        <v>8.4</v>
      </c>
      <c r="E716">
        <v>7.75</v>
      </c>
      <c r="F716">
        <v>74</v>
      </c>
      <c r="G716">
        <v>1079</v>
      </c>
      <c r="H716">
        <v>1947</v>
      </c>
      <c r="I716">
        <v>9776</v>
      </c>
      <c r="J716">
        <v>74</v>
      </c>
      <c r="K716">
        <v>6</v>
      </c>
      <c r="L716">
        <v>2</v>
      </c>
      <c r="M716">
        <v>320</v>
      </c>
      <c r="N716">
        <v>83</v>
      </c>
      <c r="O716">
        <v>5.6</v>
      </c>
      <c r="P716">
        <v>35.93</v>
      </c>
      <c r="Q716">
        <v>3.84</v>
      </c>
      <c r="R716">
        <v>22.57</v>
      </c>
      <c r="S716">
        <v>68.010000000000005</v>
      </c>
      <c r="T716">
        <v>5.56</v>
      </c>
      <c r="U716">
        <v>1.25</v>
      </c>
      <c r="V716">
        <v>22.21</v>
      </c>
      <c r="W716">
        <v>2.62</v>
      </c>
      <c r="X716" s="1">
        <v>43675</v>
      </c>
    </row>
    <row r="717" spans="1:24" x14ac:dyDescent="0.25">
      <c r="A717" t="s">
        <v>152</v>
      </c>
      <c r="B717">
        <v>2019</v>
      </c>
      <c r="D717">
        <v>7.7</v>
      </c>
      <c r="E717">
        <v>7.75</v>
      </c>
      <c r="F717">
        <v>179</v>
      </c>
      <c r="G717">
        <v>1326</v>
      </c>
      <c r="H717">
        <v>1684</v>
      </c>
      <c r="I717">
        <v>4356</v>
      </c>
      <c r="J717">
        <v>128</v>
      </c>
      <c r="K717">
        <v>5.5</v>
      </c>
      <c r="L717">
        <v>2.8</v>
      </c>
      <c r="M717">
        <v>308</v>
      </c>
      <c r="N717">
        <v>111</v>
      </c>
      <c r="O717">
        <v>4.8</v>
      </c>
      <c r="P717">
        <v>21.6</v>
      </c>
      <c r="Q717">
        <v>7.86</v>
      </c>
      <c r="R717">
        <v>32.47</v>
      </c>
      <c r="S717">
        <v>50.4</v>
      </c>
      <c r="T717">
        <v>9.25</v>
      </c>
      <c r="U717">
        <v>1.2</v>
      </c>
      <c r="V717">
        <v>53.74</v>
      </c>
      <c r="W717">
        <v>2.78</v>
      </c>
      <c r="X717" s="1">
        <v>43675</v>
      </c>
    </row>
    <row r="718" spans="1:24" x14ac:dyDescent="0.25">
      <c r="A718" t="s">
        <v>153</v>
      </c>
      <c r="B718">
        <v>2019</v>
      </c>
      <c r="D718">
        <v>7.5</v>
      </c>
      <c r="E718">
        <v>7.65</v>
      </c>
      <c r="F718">
        <v>111</v>
      </c>
      <c r="G718">
        <v>1257</v>
      </c>
      <c r="H718">
        <v>1899</v>
      </c>
      <c r="I718">
        <v>4680</v>
      </c>
      <c r="J718">
        <v>143</v>
      </c>
      <c r="K718">
        <v>6</v>
      </c>
      <c r="L718">
        <v>2.1</v>
      </c>
      <c r="M718">
        <v>331</v>
      </c>
      <c r="N718">
        <v>105</v>
      </c>
      <c r="O718">
        <v>5.3</v>
      </c>
      <c r="P718">
        <v>24.02</v>
      </c>
      <c r="Q718">
        <v>6.7</v>
      </c>
      <c r="R718">
        <v>32.93</v>
      </c>
      <c r="S718">
        <v>48.7</v>
      </c>
      <c r="T718">
        <v>11.65</v>
      </c>
      <c r="U718">
        <v>1.27</v>
      </c>
      <c r="V718">
        <v>66.900000000000006</v>
      </c>
      <c r="W718">
        <v>6.27</v>
      </c>
      <c r="X718" s="1">
        <v>43675</v>
      </c>
    </row>
    <row r="719" spans="1:24" x14ac:dyDescent="0.25">
      <c r="A719" t="s">
        <v>250</v>
      </c>
      <c r="B719">
        <v>2019</v>
      </c>
      <c r="D719">
        <v>8.1999999999999993</v>
      </c>
      <c r="E719">
        <v>7.8</v>
      </c>
      <c r="F719">
        <v>160</v>
      </c>
      <c r="G719">
        <v>1426</v>
      </c>
      <c r="H719">
        <v>1173</v>
      </c>
      <c r="I719">
        <v>8603</v>
      </c>
      <c r="J719">
        <v>31</v>
      </c>
      <c r="K719">
        <v>4.5</v>
      </c>
      <c r="L719">
        <v>13.3</v>
      </c>
      <c r="M719">
        <v>149</v>
      </c>
      <c r="N719">
        <v>70</v>
      </c>
      <c r="O719">
        <v>3</v>
      </c>
      <c r="P719">
        <v>29.8</v>
      </c>
      <c r="Q719">
        <v>6.1</v>
      </c>
      <c r="R719">
        <v>16.399999999999999</v>
      </c>
      <c r="S719">
        <v>72.099999999999994</v>
      </c>
      <c r="T719">
        <v>5.4</v>
      </c>
      <c r="U719">
        <v>0.89</v>
      </c>
      <c r="V719">
        <v>25.89</v>
      </c>
      <c r="W719">
        <v>3.6</v>
      </c>
      <c r="X719" s="1">
        <v>43665</v>
      </c>
    </row>
    <row r="720" spans="1:24" x14ac:dyDescent="0.25">
      <c r="A720" t="s">
        <v>251</v>
      </c>
      <c r="B720">
        <v>2019</v>
      </c>
      <c r="D720">
        <v>8.1999999999999993</v>
      </c>
      <c r="E720">
        <v>7.8</v>
      </c>
      <c r="F720">
        <v>142</v>
      </c>
      <c r="G720">
        <v>1414</v>
      </c>
      <c r="H720">
        <v>1116</v>
      </c>
      <c r="I720">
        <v>8632</v>
      </c>
      <c r="J720">
        <v>30</v>
      </c>
      <c r="K720">
        <v>4.2</v>
      </c>
      <c r="L720">
        <v>12.8</v>
      </c>
      <c r="M720">
        <v>144</v>
      </c>
      <c r="N720">
        <v>62</v>
      </c>
      <c r="O720">
        <v>2.8</v>
      </c>
      <c r="P720">
        <v>29.6</v>
      </c>
      <c r="Q720">
        <v>6.1</v>
      </c>
      <c r="R720">
        <v>15.7</v>
      </c>
      <c r="S720">
        <v>72.8</v>
      </c>
      <c r="T720">
        <v>5.4</v>
      </c>
      <c r="U720">
        <v>0.95</v>
      </c>
      <c r="V720">
        <v>28.97</v>
      </c>
      <c r="W720">
        <v>3.06</v>
      </c>
      <c r="X720" s="1">
        <v>43665</v>
      </c>
    </row>
    <row r="721" spans="1:24" x14ac:dyDescent="0.25">
      <c r="A721" t="s">
        <v>252</v>
      </c>
      <c r="B721">
        <v>2019</v>
      </c>
      <c r="D721">
        <v>8.3000000000000007</v>
      </c>
      <c r="E721">
        <v>7.8</v>
      </c>
      <c r="F721">
        <v>144</v>
      </c>
      <c r="G721">
        <v>1404</v>
      </c>
      <c r="H721">
        <v>1150</v>
      </c>
      <c r="I721">
        <v>8799</v>
      </c>
      <c r="J721">
        <v>35</v>
      </c>
      <c r="K721">
        <v>4.4000000000000004</v>
      </c>
      <c r="L721">
        <v>13.1</v>
      </c>
      <c r="M721">
        <v>151</v>
      </c>
      <c r="N721">
        <v>67</v>
      </c>
      <c r="O721">
        <v>3.4</v>
      </c>
      <c r="P721">
        <v>30.2</v>
      </c>
      <c r="Q721">
        <v>6</v>
      </c>
      <c r="R721">
        <v>15.9</v>
      </c>
      <c r="S721">
        <v>72.900000000000006</v>
      </c>
      <c r="T721">
        <v>5.3</v>
      </c>
      <c r="U721">
        <v>0.86</v>
      </c>
      <c r="V721">
        <v>35.619999999999997</v>
      </c>
      <c r="W721">
        <v>3.64</v>
      </c>
      <c r="X721" s="1">
        <v>43665</v>
      </c>
    </row>
    <row r="722" spans="1:24" x14ac:dyDescent="0.25">
      <c r="A722" t="s">
        <v>254</v>
      </c>
      <c r="B722">
        <v>2019</v>
      </c>
      <c r="D722">
        <v>7.8</v>
      </c>
      <c r="E722">
        <v>7.85</v>
      </c>
      <c r="F722">
        <v>176</v>
      </c>
      <c r="G722">
        <v>1004</v>
      </c>
      <c r="H722">
        <v>552</v>
      </c>
      <c r="I722">
        <v>2601</v>
      </c>
      <c r="J722">
        <v>41</v>
      </c>
      <c r="K722">
        <v>3</v>
      </c>
      <c r="L722">
        <v>11.8</v>
      </c>
      <c r="M722">
        <v>114</v>
      </c>
      <c r="N722">
        <v>85</v>
      </c>
      <c r="O722">
        <v>1.9</v>
      </c>
      <c r="P722">
        <v>11.3</v>
      </c>
      <c r="Q722">
        <v>11.4</v>
      </c>
      <c r="R722">
        <v>20.399999999999999</v>
      </c>
      <c r="S722">
        <v>57.6</v>
      </c>
      <c r="T722">
        <v>10.6</v>
      </c>
      <c r="U722">
        <v>0.85</v>
      </c>
      <c r="V722">
        <v>62.65</v>
      </c>
      <c r="W722">
        <v>3.87</v>
      </c>
      <c r="X722" s="1">
        <v>43665</v>
      </c>
    </row>
    <row r="723" spans="1:24" x14ac:dyDescent="0.25">
      <c r="A723" t="s">
        <v>255</v>
      </c>
      <c r="B723">
        <v>2019</v>
      </c>
      <c r="D723">
        <v>7.8</v>
      </c>
      <c r="E723">
        <v>7.85</v>
      </c>
      <c r="F723">
        <v>278</v>
      </c>
      <c r="G723">
        <v>1633</v>
      </c>
      <c r="H723">
        <v>849</v>
      </c>
      <c r="I723">
        <v>3753</v>
      </c>
      <c r="J723">
        <v>60</v>
      </c>
      <c r="K723">
        <v>4.5999999999999996</v>
      </c>
      <c r="L723">
        <v>16.8</v>
      </c>
      <c r="M723">
        <v>182</v>
      </c>
      <c r="N723">
        <v>104</v>
      </c>
      <c r="O723">
        <v>2.8</v>
      </c>
      <c r="P723">
        <v>16.2</v>
      </c>
      <c r="Q723">
        <v>12.9</v>
      </c>
      <c r="R723">
        <v>21.8</v>
      </c>
      <c r="S723">
        <v>57.9</v>
      </c>
      <c r="T723">
        <v>7.4</v>
      </c>
      <c r="U723">
        <v>0.82</v>
      </c>
      <c r="V723">
        <v>64.22</v>
      </c>
      <c r="W723">
        <v>3.98</v>
      </c>
      <c r="X723" s="1">
        <v>43665</v>
      </c>
    </row>
    <row r="724" spans="1:24" x14ac:dyDescent="0.25">
      <c r="A724" t="s">
        <v>256</v>
      </c>
      <c r="B724">
        <v>2019</v>
      </c>
      <c r="D724">
        <v>7.7</v>
      </c>
      <c r="E724">
        <v>7.85</v>
      </c>
      <c r="F724">
        <v>256</v>
      </c>
      <c r="G724">
        <v>1533</v>
      </c>
      <c r="H724">
        <v>804</v>
      </c>
      <c r="I724">
        <v>3580</v>
      </c>
      <c r="J724">
        <v>61</v>
      </c>
      <c r="K724">
        <v>4.4000000000000004</v>
      </c>
      <c r="L724">
        <v>16.899999999999999</v>
      </c>
      <c r="M724">
        <v>168</v>
      </c>
      <c r="N724">
        <v>99</v>
      </c>
      <c r="O724">
        <v>2.5</v>
      </c>
      <c r="P724">
        <v>15.5</v>
      </c>
      <c r="Q724">
        <v>12.7</v>
      </c>
      <c r="R724">
        <v>21.7</v>
      </c>
      <c r="S724">
        <v>57.9</v>
      </c>
      <c r="T724">
        <v>7.8</v>
      </c>
      <c r="U724">
        <v>0.92</v>
      </c>
      <c r="V724">
        <v>70.959999999999994</v>
      </c>
      <c r="W724">
        <v>3.6</v>
      </c>
      <c r="X724" s="1">
        <v>43665</v>
      </c>
    </row>
    <row r="725" spans="1:24" x14ac:dyDescent="0.25">
      <c r="A725" t="s">
        <v>258</v>
      </c>
      <c r="B725">
        <v>2019</v>
      </c>
      <c r="D725">
        <v>8.1</v>
      </c>
      <c r="E725">
        <v>7.85</v>
      </c>
      <c r="F725">
        <v>198</v>
      </c>
      <c r="G725">
        <v>1019</v>
      </c>
      <c r="H725">
        <v>1457</v>
      </c>
      <c r="I725">
        <v>2691</v>
      </c>
      <c r="J725">
        <v>74</v>
      </c>
      <c r="K725">
        <v>5.9</v>
      </c>
      <c r="L725">
        <v>12</v>
      </c>
      <c r="M725">
        <v>200</v>
      </c>
      <c r="N725">
        <v>73</v>
      </c>
      <c r="O725">
        <v>2.9</v>
      </c>
      <c r="P725">
        <v>15.3</v>
      </c>
      <c r="Q725">
        <v>8.5</v>
      </c>
      <c r="R725">
        <v>39.700000000000003</v>
      </c>
      <c r="S725">
        <v>44</v>
      </c>
      <c r="T725">
        <v>7.8</v>
      </c>
      <c r="U725">
        <v>0.7</v>
      </c>
      <c r="V725">
        <v>22.32</v>
      </c>
      <c r="W725">
        <v>1.72</v>
      </c>
      <c r="X725" s="1">
        <v>43665</v>
      </c>
    </row>
    <row r="726" spans="1:24" x14ac:dyDescent="0.25">
      <c r="A726" t="s">
        <v>259</v>
      </c>
      <c r="B726">
        <v>2019</v>
      </c>
      <c r="D726">
        <v>8.1</v>
      </c>
      <c r="E726">
        <v>7.85</v>
      </c>
      <c r="F726">
        <v>196</v>
      </c>
      <c r="G726">
        <v>1074</v>
      </c>
      <c r="H726">
        <v>1535</v>
      </c>
      <c r="I726">
        <v>2738</v>
      </c>
      <c r="J726">
        <v>79</v>
      </c>
      <c r="K726">
        <v>6.1</v>
      </c>
      <c r="L726">
        <v>11.7</v>
      </c>
      <c r="M726">
        <v>215</v>
      </c>
      <c r="N726">
        <v>76</v>
      </c>
      <c r="O726">
        <v>3.2</v>
      </c>
      <c r="P726">
        <v>15.8</v>
      </c>
      <c r="Q726">
        <v>8.6999999999999993</v>
      </c>
      <c r="R726">
        <v>40.4</v>
      </c>
      <c r="S726">
        <v>43.3</v>
      </c>
      <c r="T726">
        <v>7.6</v>
      </c>
      <c r="U726">
        <v>0.57999999999999996</v>
      </c>
      <c r="V726">
        <v>21.85</v>
      </c>
      <c r="W726">
        <v>2.54</v>
      </c>
      <c r="X726" s="1">
        <v>43665</v>
      </c>
    </row>
    <row r="727" spans="1:24" x14ac:dyDescent="0.25">
      <c r="A727" t="s">
        <v>260</v>
      </c>
      <c r="B727">
        <v>2019</v>
      </c>
      <c r="D727">
        <v>8.1999999999999993</v>
      </c>
      <c r="E727">
        <v>7.85</v>
      </c>
      <c r="F727">
        <v>193</v>
      </c>
      <c r="G727">
        <v>1028</v>
      </c>
      <c r="H727">
        <v>1478</v>
      </c>
      <c r="I727">
        <v>2631</v>
      </c>
      <c r="J727">
        <v>73</v>
      </c>
      <c r="K727">
        <v>5.8</v>
      </c>
      <c r="L727">
        <v>11.2</v>
      </c>
      <c r="M727">
        <v>207</v>
      </c>
      <c r="N727">
        <v>75</v>
      </c>
      <c r="O727">
        <v>3</v>
      </c>
      <c r="P727">
        <v>15.3</v>
      </c>
      <c r="Q727">
        <v>8.6</v>
      </c>
      <c r="R727">
        <v>40.4</v>
      </c>
      <c r="S727">
        <v>43.1</v>
      </c>
      <c r="T727">
        <v>7.9</v>
      </c>
      <c r="U727">
        <v>0.61</v>
      </c>
      <c r="V727">
        <v>23.8</v>
      </c>
      <c r="W727">
        <v>2.21</v>
      </c>
      <c r="X727" s="1">
        <v>43665</v>
      </c>
    </row>
    <row r="728" spans="1:24" x14ac:dyDescent="0.25">
      <c r="A728" t="s">
        <v>358</v>
      </c>
      <c r="B728">
        <v>2019</v>
      </c>
      <c r="D728">
        <v>8</v>
      </c>
      <c r="E728">
        <v>7.8</v>
      </c>
      <c r="F728">
        <v>203</v>
      </c>
      <c r="G728">
        <v>1561</v>
      </c>
      <c r="H728">
        <v>1152</v>
      </c>
      <c r="I728">
        <v>4643</v>
      </c>
      <c r="J728">
        <v>39</v>
      </c>
      <c r="K728">
        <v>5</v>
      </c>
      <c r="L728">
        <v>17</v>
      </c>
      <c r="M728">
        <v>148</v>
      </c>
      <c r="N728">
        <v>98</v>
      </c>
      <c r="O728">
        <v>3</v>
      </c>
      <c r="P728">
        <v>20</v>
      </c>
      <c r="Q728">
        <v>10</v>
      </c>
      <c r="R728">
        <v>24</v>
      </c>
      <c r="S728">
        <v>58</v>
      </c>
      <c r="T728">
        <v>8</v>
      </c>
      <c r="U728">
        <v>0.76</v>
      </c>
      <c r="V728">
        <v>46.35</v>
      </c>
      <c r="W728">
        <v>3.83</v>
      </c>
      <c r="X728" s="1">
        <v>43665</v>
      </c>
    </row>
    <row r="729" spans="1:24" x14ac:dyDescent="0.25">
      <c r="A729" t="s">
        <v>359</v>
      </c>
      <c r="B729">
        <v>2019</v>
      </c>
      <c r="D729">
        <v>8</v>
      </c>
      <c r="E729">
        <v>7.8</v>
      </c>
      <c r="F729">
        <v>192</v>
      </c>
      <c r="G729">
        <v>1542</v>
      </c>
      <c r="H729">
        <v>1136</v>
      </c>
      <c r="I729">
        <v>4452</v>
      </c>
      <c r="J729">
        <v>34</v>
      </c>
      <c r="K729">
        <v>4.8</v>
      </c>
      <c r="L729">
        <v>16.2</v>
      </c>
      <c r="M729">
        <v>148</v>
      </c>
      <c r="N729">
        <v>101</v>
      </c>
      <c r="O729">
        <v>3</v>
      </c>
      <c r="P729">
        <v>19.399999999999999</v>
      </c>
      <c r="Q729">
        <v>10.199999999999999</v>
      </c>
      <c r="R729">
        <v>24.3</v>
      </c>
      <c r="S729">
        <v>57.3</v>
      </c>
      <c r="T729">
        <v>8.1999999999999993</v>
      </c>
      <c r="U729">
        <v>0.81</v>
      </c>
      <c r="V729">
        <v>40.549999999999997</v>
      </c>
      <c r="W729">
        <v>4.67</v>
      </c>
      <c r="X729" s="1">
        <v>43665</v>
      </c>
    </row>
    <row r="730" spans="1:24" x14ac:dyDescent="0.25">
      <c r="A730" t="s">
        <v>360</v>
      </c>
      <c r="B730">
        <v>2019</v>
      </c>
      <c r="D730">
        <v>8.1</v>
      </c>
      <c r="E730">
        <v>7.8</v>
      </c>
      <c r="F730">
        <v>188</v>
      </c>
      <c r="G730">
        <v>1482</v>
      </c>
      <c r="H730">
        <v>1123</v>
      </c>
      <c r="I730">
        <v>4511</v>
      </c>
      <c r="J730">
        <v>34</v>
      </c>
      <c r="K730">
        <v>4.9000000000000004</v>
      </c>
      <c r="L730">
        <v>12.3</v>
      </c>
      <c r="M730">
        <v>144</v>
      </c>
      <c r="N730">
        <v>90</v>
      </c>
      <c r="O730">
        <v>3.4</v>
      </c>
      <c r="P730">
        <v>19.5</v>
      </c>
      <c r="Q730">
        <v>9.8000000000000007</v>
      </c>
      <c r="R730">
        <v>24</v>
      </c>
      <c r="S730">
        <v>58</v>
      </c>
      <c r="T730">
        <v>8.1999999999999993</v>
      </c>
      <c r="U730">
        <v>0.82</v>
      </c>
      <c r="V730">
        <v>42.64</v>
      </c>
      <c r="W730">
        <v>4.22</v>
      </c>
      <c r="X730" s="1">
        <v>43665</v>
      </c>
    </row>
    <row r="731" spans="1:24" x14ac:dyDescent="0.25">
      <c r="A731" t="s">
        <v>250</v>
      </c>
      <c r="B731">
        <v>2019</v>
      </c>
      <c r="D731">
        <v>7.3</v>
      </c>
      <c r="E731">
        <v>7.8</v>
      </c>
      <c r="F731">
        <v>128</v>
      </c>
      <c r="G731">
        <v>1331</v>
      </c>
      <c r="H731">
        <v>1022</v>
      </c>
      <c r="I731">
        <v>7667</v>
      </c>
      <c r="J731">
        <v>44</v>
      </c>
      <c r="K731">
        <v>3.8</v>
      </c>
      <c r="L731">
        <v>7.5</v>
      </c>
      <c r="M731">
        <v>126</v>
      </c>
      <c r="N731">
        <v>67</v>
      </c>
      <c r="O731">
        <v>2.6</v>
      </c>
      <c r="P731">
        <v>26.7</v>
      </c>
      <c r="Q731">
        <v>6.4</v>
      </c>
      <c r="R731">
        <v>15.9</v>
      </c>
      <c r="S731">
        <v>71.7</v>
      </c>
      <c r="T731">
        <v>6</v>
      </c>
      <c r="U731">
        <v>0.82</v>
      </c>
      <c r="V731">
        <v>62.41</v>
      </c>
      <c r="W731">
        <v>1.07</v>
      </c>
      <c r="X731" s="1">
        <v>43706</v>
      </c>
    </row>
    <row r="732" spans="1:24" x14ac:dyDescent="0.25">
      <c r="A732" t="s">
        <v>251</v>
      </c>
      <c r="B732">
        <v>2019</v>
      </c>
      <c r="D732">
        <v>8.3000000000000007</v>
      </c>
      <c r="E732">
        <v>7.75</v>
      </c>
      <c r="F732">
        <v>146</v>
      </c>
      <c r="G732">
        <v>1328</v>
      </c>
      <c r="H732">
        <v>980</v>
      </c>
      <c r="I732">
        <v>9185</v>
      </c>
      <c r="J732">
        <v>45</v>
      </c>
      <c r="K732">
        <v>4</v>
      </c>
      <c r="L732">
        <v>8.1999999999999993</v>
      </c>
      <c r="M732">
        <v>129</v>
      </c>
      <c r="N732">
        <v>57</v>
      </c>
      <c r="O732">
        <v>2.9</v>
      </c>
      <c r="P732">
        <v>30.7</v>
      </c>
      <c r="Q732">
        <v>5.5</v>
      </c>
      <c r="R732">
        <v>13.3</v>
      </c>
      <c r="S732">
        <v>74.7</v>
      </c>
      <c r="T732">
        <v>6.5</v>
      </c>
      <c r="U732">
        <v>0.86</v>
      </c>
      <c r="V732">
        <v>57.16</v>
      </c>
      <c r="W732">
        <v>1.42</v>
      </c>
      <c r="X732" s="1">
        <v>43706</v>
      </c>
    </row>
    <row r="733" spans="1:24" x14ac:dyDescent="0.25">
      <c r="A733" t="s">
        <v>252</v>
      </c>
      <c r="B733">
        <v>2019</v>
      </c>
      <c r="D733">
        <v>8</v>
      </c>
      <c r="E733">
        <v>7.75</v>
      </c>
      <c r="F733">
        <v>182</v>
      </c>
      <c r="G733">
        <v>1452</v>
      </c>
      <c r="H733">
        <v>1084</v>
      </c>
      <c r="I733">
        <v>4358</v>
      </c>
      <c r="J733">
        <v>45</v>
      </c>
      <c r="K733">
        <v>4.3</v>
      </c>
      <c r="L733">
        <v>10.199999999999999</v>
      </c>
      <c r="M733">
        <v>157</v>
      </c>
      <c r="N733">
        <v>86</v>
      </c>
      <c r="O733">
        <v>3</v>
      </c>
      <c r="P733">
        <v>19.3</v>
      </c>
      <c r="Q733">
        <v>9.6999999999999993</v>
      </c>
      <c r="R733">
        <v>23.4</v>
      </c>
      <c r="S733">
        <v>56.5</v>
      </c>
      <c r="T733">
        <v>10.4</v>
      </c>
      <c r="U733">
        <v>0.88</v>
      </c>
      <c r="V733">
        <v>35.799999999999997</v>
      </c>
      <c r="W733">
        <v>1.67</v>
      </c>
      <c r="X733" s="1">
        <v>43706</v>
      </c>
    </row>
    <row r="734" spans="1:24" x14ac:dyDescent="0.25">
      <c r="A734" t="s">
        <v>254</v>
      </c>
      <c r="B734">
        <v>2019</v>
      </c>
      <c r="D734">
        <v>7.4</v>
      </c>
      <c r="E734">
        <v>7.85</v>
      </c>
      <c r="F734">
        <v>277</v>
      </c>
      <c r="G734">
        <v>1439</v>
      </c>
      <c r="H734">
        <v>852</v>
      </c>
      <c r="I734">
        <v>3737</v>
      </c>
      <c r="J734">
        <v>129</v>
      </c>
      <c r="K734">
        <v>4</v>
      </c>
      <c r="L734">
        <v>14.9</v>
      </c>
      <c r="M734">
        <v>164</v>
      </c>
      <c r="N734">
        <v>92</v>
      </c>
      <c r="O734">
        <v>2.6</v>
      </c>
      <c r="P734">
        <v>15.9</v>
      </c>
      <c r="Q734">
        <v>11.6</v>
      </c>
      <c r="R734">
        <v>22.3</v>
      </c>
      <c r="S734">
        <v>58.6</v>
      </c>
      <c r="T734">
        <v>7.5</v>
      </c>
      <c r="U734">
        <v>0.85</v>
      </c>
      <c r="V734">
        <v>40.61</v>
      </c>
      <c r="W734">
        <v>1.36</v>
      </c>
      <c r="X734" s="1">
        <v>43706</v>
      </c>
    </row>
    <row r="735" spans="1:24" x14ac:dyDescent="0.25">
      <c r="A735" t="s">
        <v>255</v>
      </c>
      <c r="B735">
        <v>2019</v>
      </c>
      <c r="D735">
        <v>7.4</v>
      </c>
      <c r="E735">
        <v>7.8</v>
      </c>
      <c r="F735">
        <v>298</v>
      </c>
      <c r="G735">
        <v>1348</v>
      </c>
      <c r="H735">
        <v>680</v>
      </c>
      <c r="I735">
        <v>3208</v>
      </c>
      <c r="J735">
        <v>35</v>
      </c>
      <c r="K735">
        <v>3</v>
      </c>
      <c r="L735">
        <v>12.1</v>
      </c>
      <c r="M735">
        <v>198</v>
      </c>
      <c r="N735">
        <v>108</v>
      </c>
      <c r="O735">
        <v>2.8</v>
      </c>
      <c r="P735">
        <v>14.2</v>
      </c>
      <c r="Q735">
        <v>12.2</v>
      </c>
      <c r="R735">
        <v>20</v>
      </c>
      <c r="S735">
        <v>56.6</v>
      </c>
      <c r="T735">
        <v>11.3</v>
      </c>
      <c r="U735">
        <v>0.78</v>
      </c>
      <c r="V735">
        <v>15.05</v>
      </c>
      <c r="W735">
        <v>1.0900000000000001</v>
      </c>
      <c r="X735" s="1">
        <v>43706</v>
      </c>
    </row>
    <row r="736" spans="1:24" x14ac:dyDescent="0.25">
      <c r="A736" t="s">
        <v>256</v>
      </c>
      <c r="B736">
        <v>2019</v>
      </c>
      <c r="D736">
        <v>7.4</v>
      </c>
      <c r="E736">
        <v>7.85</v>
      </c>
      <c r="F736">
        <v>295</v>
      </c>
      <c r="G736">
        <v>1487</v>
      </c>
      <c r="H736">
        <v>789</v>
      </c>
      <c r="I736">
        <v>3579</v>
      </c>
      <c r="J736">
        <v>96</v>
      </c>
      <c r="K736">
        <v>3.4</v>
      </c>
      <c r="L736">
        <v>12.9</v>
      </c>
      <c r="M736">
        <v>176</v>
      </c>
      <c r="N736">
        <v>104</v>
      </c>
      <c r="O736">
        <v>2.7</v>
      </c>
      <c r="P736">
        <v>15.3</v>
      </c>
      <c r="Q736">
        <v>12.4</v>
      </c>
      <c r="R736">
        <v>21.4</v>
      </c>
      <c r="S736">
        <v>58.3</v>
      </c>
      <c r="T736">
        <v>7.8</v>
      </c>
      <c r="U736">
        <v>0.82</v>
      </c>
      <c r="V736">
        <v>32.770000000000003</v>
      </c>
      <c r="W736">
        <v>1.33</v>
      </c>
      <c r="X736" s="1">
        <v>43706</v>
      </c>
    </row>
    <row r="737" spans="1:24" x14ac:dyDescent="0.25">
      <c r="A737" t="s">
        <v>258</v>
      </c>
      <c r="B737">
        <v>2019</v>
      </c>
      <c r="D737">
        <v>7.9</v>
      </c>
      <c r="E737">
        <v>7.85</v>
      </c>
      <c r="F737">
        <v>235</v>
      </c>
      <c r="G737">
        <v>674</v>
      </c>
      <c r="H737">
        <v>1575</v>
      </c>
      <c r="I737">
        <v>2949</v>
      </c>
      <c r="J737">
        <v>55</v>
      </c>
      <c r="K737">
        <v>6.4</v>
      </c>
      <c r="L737">
        <v>15.7</v>
      </c>
      <c r="M737">
        <v>174</v>
      </c>
      <c r="N737">
        <v>82</v>
      </c>
      <c r="O737">
        <v>2.9</v>
      </c>
      <c r="P737">
        <v>16</v>
      </c>
      <c r="Q737">
        <v>5.4</v>
      </c>
      <c r="R737">
        <v>41</v>
      </c>
      <c r="S737">
        <v>46.1</v>
      </c>
      <c r="T737">
        <v>7.5</v>
      </c>
      <c r="U737">
        <v>0.74</v>
      </c>
      <c r="V737">
        <v>4.62</v>
      </c>
      <c r="W737">
        <v>1.26</v>
      </c>
      <c r="X737" s="1">
        <v>43706</v>
      </c>
    </row>
    <row r="738" spans="1:24" x14ac:dyDescent="0.25">
      <c r="A738" t="s">
        <v>259</v>
      </c>
      <c r="B738">
        <v>2019</v>
      </c>
      <c r="D738">
        <v>8.4</v>
      </c>
      <c r="E738">
        <v>7.85</v>
      </c>
      <c r="F738">
        <v>224</v>
      </c>
      <c r="G738">
        <v>956</v>
      </c>
      <c r="H738">
        <v>1411</v>
      </c>
      <c r="I738">
        <v>2896</v>
      </c>
      <c r="J738">
        <v>68</v>
      </c>
      <c r="K738">
        <v>7.2</v>
      </c>
      <c r="L738">
        <v>13.9</v>
      </c>
      <c r="M738">
        <v>187</v>
      </c>
      <c r="N738">
        <v>82</v>
      </c>
      <c r="O738">
        <v>3</v>
      </c>
      <c r="P738">
        <v>15.5</v>
      </c>
      <c r="Q738">
        <v>7.9</v>
      </c>
      <c r="R738">
        <v>37.799999999999997</v>
      </c>
      <c r="S738">
        <v>46.6</v>
      </c>
      <c r="T738">
        <v>7.7</v>
      </c>
      <c r="U738">
        <v>0.64</v>
      </c>
      <c r="V738">
        <v>3.68</v>
      </c>
      <c r="W738">
        <v>1.24</v>
      </c>
      <c r="X738" s="1">
        <v>43706</v>
      </c>
    </row>
    <row r="739" spans="1:24" x14ac:dyDescent="0.25">
      <c r="A739" t="s">
        <v>260</v>
      </c>
      <c r="B739">
        <v>2019</v>
      </c>
      <c r="D739">
        <v>8.1999999999999993</v>
      </c>
      <c r="E739">
        <v>7.85</v>
      </c>
      <c r="F739">
        <v>309</v>
      </c>
      <c r="G739">
        <v>1095</v>
      </c>
      <c r="H739">
        <v>1429</v>
      </c>
      <c r="I739">
        <v>3141</v>
      </c>
      <c r="J739">
        <v>106</v>
      </c>
      <c r="K739">
        <v>6.2</v>
      </c>
      <c r="L739">
        <v>18</v>
      </c>
      <c r="M739">
        <v>202</v>
      </c>
      <c r="N739">
        <v>78</v>
      </c>
      <c r="O739">
        <v>3.8</v>
      </c>
      <c r="P739">
        <v>16.399999999999999</v>
      </c>
      <c r="Q739">
        <v>8.6</v>
      </c>
      <c r="R739">
        <v>36.299999999999997</v>
      </c>
      <c r="S739">
        <v>47.9</v>
      </c>
      <c r="T739">
        <v>7.3</v>
      </c>
      <c r="U739">
        <v>0.63</v>
      </c>
      <c r="V739">
        <v>17.22</v>
      </c>
      <c r="W739">
        <v>1.81</v>
      </c>
      <c r="X739" s="1">
        <v>43706</v>
      </c>
    </row>
    <row r="740" spans="1:24" x14ac:dyDescent="0.25">
      <c r="A740" t="s">
        <v>358</v>
      </c>
      <c r="B740">
        <v>2019</v>
      </c>
      <c r="D740">
        <v>8.3000000000000007</v>
      </c>
      <c r="E740">
        <v>7.85</v>
      </c>
      <c r="F740">
        <v>199</v>
      </c>
      <c r="G740">
        <v>1514</v>
      </c>
      <c r="H740">
        <v>984</v>
      </c>
      <c r="I740">
        <v>6499</v>
      </c>
      <c r="J740">
        <v>42</v>
      </c>
      <c r="K740">
        <v>4.3</v>
      </c>
      <c r="L740">
        <v>10</v>
      </c>
      <c r="M740">
        <v>134</v>
      </c>
      <c r="N740">
        <v>71</v>
      </c>
      <c r="O740">
        <v>3.5</v>
      </c>
      <c r="P740">
        <v>23.5</v>
      </c>
      <c r="Q740">
        <v>8.3000000000000007</v>
      </c>
      <c r="R740">
        <v>17.5</v>
      </c>
      <c r="S740">
        <v>69.2</v>
      </c>
      <c r="T740">
        <v>5.0999999999999996</v>
      </c>
      <c r="U740">
        <v>0.6</v>
      </c>
      <c r="V740">
        <v>46.48</v>
      </c>
      <c r="W740">
        <v>1.07</v>
      </c>
      <c r="X740" s="1">
        <v>43706</v>
      </c>
    </row>
    <row r="741" spans="1:24" x14ac:dyDescent="0.25">
      <c r="A741" t="s">
        <v>359</v>
      </c>
      <c r="B741">
        <v>2019</v>
      </c>
      <c r="D741">
        <v>8.3000000000000007</v>
      </c>
      <c r="E741">
        <v>7.8</v>
      </c>
      <c r="F741">
        <v>204</v>
      </c>
      <c r="G741">
        <v>1177</v>
      </c>
      <c r="H741">
        <v>1269</v>
      </c>
      <c r="I741">
        <v>3761</v>
      </c>
      <c r="J741">
        <v>51</v>
      </c>
      <c r="K741">
        <v>4.7</v>
      </c>
      <c r="L741">
        <v>8.6</v>
      </c>
      <c r="M741">
        <v>167</v>
      </c>
      <c r="N741">
        <v>95</v>
      </c>
      <c r="O741">
        <v>4.3</v>
      </c>
      <c r="P741">
        <v>17.8</v>
      </c>
      <c r="Q741">
        <v>8.5</v>
      </c>
      <c r="R741">
        <v>29.7</v>
      </c>
      <c r="S741">
        <v>52.8</v>
      </c>
      <c r="T741">
        <v>9</v>
      </c>
      <c r="U741">
        <v>0.56999999999999995</v>
      </c>
      <c r="V741">
        <v>7.13</v>
      </c>
      <c r="W741">
        <v>1.53</v>
      </c>
      <c r="X741" s="1">
        <v>43706</v>
      </c>
    </row>
    <row r="742" spans="1:24" x14ac:dyDescent="0.25">
      <c r="A742" t="s">
        <v>360</v>
      </c>
      <c r="B742">
        <v>2019</v>
      </c>
      <c r="D742">
        <v>7.8</v>
      </c>
      <c r="E742">
        <v>7.8</v>
      </c>
      <c r="F742">
        <v>107</v>
      </c>
      <c r="G742">
        <v>1006</v>
      </c>
      <c r="H742">
        <v>957</v>
      </c>
      <c r="I742">
        <v>3003</v>
      </c>
      <c r="J742">
        <v>27</v>
      </c>
      <c r="K742">
        <v>3.3</v>
      </c>
      <c r="L742">
        <v>9.1999999999999993</v>
      </c>
      <c r="M742">
        <v>147</v>
      </c>
      <c r="N742">
        <v>79</v>
      </c>
      <c r="O742">
        <v>4.4000000000000004</v>
      </c>
      <c r="P742">
        <v>14.4</v>
      </c>
      <c r="Q742">
        <v>9</v>
      </c>
      <c r="R742">
        <v>27.7</v>
      </c>
      <c r="S742">
        <v>52.2</v>
      </c>
      <c r="T742">
        <v>11.1</v>
      </c>
      <c r="U742">
        <v>0.81</v>
      </c>
      <c r="V742">
        <v>15.85</v>
      </c>
      <c r="W742">
        <v>1.43</v>
      </c>
      <c r="X742" s="1">
        <v>43706</v>
      </c>
    </row>
    <row r="743" spans="1:24" x14ac:dyDescent="0.25">
      <c r="A743" t="s">
        <v>208</v>
      </c>
      <c r="B743">
        <v>2019</v>
      </c>
      <c r="D743">
        <v>8.3000000000000007</v>
      </c>
      <c r="E743">
        <v>7.85</v>
      </c>
      <c r="F743">
        <v>53</v>
      </c>
      <c r="G743">
        <v>783</v>
      </c>
      <c r="H743">
        <v>714</v>
      </c>
      <c r="I743">
        <v>8549</v>
      </c>
      <c r="J743">
        <v>19</v>
      </c>
      <c r="K743">
        <v>2.7</v>
      </c>
      <c r="L743">
        <v>9.1999999999999993</v>
      </c>
      <c r="M743">
        <v>96</v>
      </c>
      <c r="N743">
        <v>61</v>
      </c>
      <c r="O743">
        <v>2.4</v>
      </c>
      <c r="P743">
        <v>26.6</v>
      </c>
      <c r="Q743">
        <v>3.8</v>
      </c>
      <c r="R743">
        <v>11.2</v>
      </c>
      <c r="S743">
        <v>80.5</v>
      </c>
      <c r="T743">
        <v>4.5</v>
      </c>
      <c r="U743">
        <v>0.5</v>
      </c>
      <c r="V743">
        <v>18.78</v>
      </c>
      <c r="W743">
        <v>1.91</v>
      </c>
      <c r="X743" s="1">
        <v>43712</v>
      </c>
    </row>
    <row r="744" spans="1:24" x14ac:dyDescent="0.25">
      <c r="A744" t="s">
        <v>209</v>
      </c>
      <c r="B744">
        <v>2019</v>
      </c>
      <c r="D744">
        <v>8.3000000000000007</v>
      </c>
      <c r="E744">
        <v>7.85</v>
      </c>
      <c r="F744">
        <v>116</v>
      </c>
      <c r="G744">
        <v>1043</v>
      </c>
      <c r="H744">
        <v>755</v>
      </c>
      <c r="I744">
        <v>5068</v>
      </c>
      <c r="J744">
        <v>37</v>
      </c>
      <c r="K744">
        <v>4.5</v>
      </c>
      <c r="L744">
        <v>12</v>
      </c>
      <c r="M744">
        <v>100</v>
      </c>
      <c r="N744">
        <v>76</v>
      </c>
      <c r="O744">
        <v>2.2000000000000002</v>
      </c>
      <c r="P744">
        <v>18.399999999999999</v>
      </c>
      <c r="Q744">
        <v>7.3</v>
      </c>
      <c r="R744">
        <v>17.100000000000001</v>
      </c>
      <c r="S744">
        <v>69</v>
      </c>
      <c r="T744">
        <v>6.5</v>
      </c>
      <c r="U744">
        <v>0.53</v>
      </c>
      <c r="V744">
        <v>36.29</v>
      </c>
      <c r="W744">
        <v>2.94</v>
      </c>
      <c r="X744" s="1">
        <v>43712</v>
      </c>
    </row>
    <row r="745" spans="1:24" x14ac:dyDescent="0.25">
      <c r="A745" t="s">
        <v>210</v>
      </c>
      <c r="B745">
        <v>2019</v>
      </c>
      <c r="D745">
        <v>8</v>
      </c>
      <c r="E745">
        <v>7.9</v>
      </c>
      <c r="F745">
        <v>71</v>
      </c>
      <c r="G745">
        <v>995</v>
      </c>
      <c r="H745">
        <v>640</v>
      </c>
      <c r="I745">
        <v>2093</v>
      </c>
      <c r="J745">
        <v>13</v>
      </c>
      <c r="K745">
        <v>2.4</v>
      </c>
      <c r="L745">
        <v>2.8</v>
      </c>
      <c r="M745">
        <v>89</v>
      </c>
      <c r="N745">
        <v>77</v>
      </c>
      <c r="O745">
        <v>1.7</v>
      </c>
      <c r="P745">
        <v>10</v>
      </c>
      <c r="Q745">
        <v>12.8</v>
      </c>
      <c r="R745">
        <v>26.7</v>
      </c>
      <c r="S745">
        <v>52.5</v>
      </c>
      <c r="T745">
        <v>8</v>
      </c>
      <c r="U745">
        <v>0.42</v>
      </c>
      <c r="V745">
        <v>22.44</v>
      </c>
      <c r="W745">
        <v>2.16</v>
      </c>
      <c r="X745" s="1">
        <v>43712</v>
      </c>
    </row>
    <row r="746" spans="1:24" x14ac:dyDescent="0.25">
      <c r="A746" t="s">
        <v>212</v>
      </c>
      <c r="B746">
        <v>2019</v>
      </c>
      <c r="D746">
        <v>8.6999999999999993</v>
      </c>
      <c r="E746">
        <v>7.9</v>
      </c>
      <c r="F746">
        <v>20</v>
      </c>
      <c r="G746">
        <v>389</v>
      </c>
      <c r="H746">
        <v>1425</v>
      </c>
      <c r="I746">
        <v>1884</v>
      </c>
      <c r="J746">
        <v>214</v>
      </c>
      <c r="K746">
        <v>8.6</v>
      </c>
      <c r="L746">
        <v>2.1</v>
      </c>
      <c r="M746">
        <v>105</v>
      </c>
      <c r="N746">
        <v>70</v>
      </c>
      <c r="O746">
        <v>1.7</v>
      </c>
      <c r="P746">
        <v>11.9</v>
      </c>
      <c r="Q746">
        <v>4.2</v>
      </c>
      <c r="R746">
        <v>49.7</v>
      </c>
      <c r="S746">
        <v>39.4</v>
      </c>
      <c r="T746">
        <v>6.7</v>
      </c>
      <c r="U746">
        <v>0.37</v>
      </c>
      <c r="V746">
        <v>1.73</v>
      </c>
      <c r="W746">
        <v>0.91</v>
      </c>
      <c r="X746" s="1">
        <v>43712</v>
      </c>
    </row>
    <row r="747" spans="1:24" x14ac:dyDescent="0.25">
      <c r="A747" t="s">
        <v>262</v>
      </c>
      <c r="B747">
        <v>2019</v>
      </c>
      <c r="D747">
        <v>7.7</v>
      </c>
      <c r="E747">
        <v>7.85</v>
      </c>
      <c r="F747">
        <v>87</v>
      </c>
      <c r="G747">
        <v>1045</v>
      </c>
      <c r="H747">
        <v>771</v>
      </c>
      <c r="I747">
        <v>2699</v>
      </c>
      <c r="J747">
        <v>137</v>
      </c>
      <c r="K747">
        <v>2.9</v>
      </c>
      <c r="L747">
        <v>2.8</v>
      </c>
      <c r="M747">
        <v>112</v>
      </c>
      <c r="N747">
        <v>82</v>
      </c>
      <c r="O747">
        <v>1.9</v>
      </c>
      <c r="P747">
        <v>12.5</v>
      </c>
      <c r="Q747">
        <v>10.7</v>
      </c>
      <c r="R747">
        <v>25.7</v>
      </c>
      <c r="S747">
        <v>54</v>
      </c>
      <c r="T747">
        <v>9.6</v>
      </c>
      <c r="U747">
        <v>0.48</v>
      </c>
      <c r="V747">
        <v>15.82</v>
      </c>
      <c r="W747">
        <v>2.06</v>
      </c>
      <c r="X747" s="1">
        <v>43712</v>
      </c>
    </row>
    <row r="748" spans="1:24" x14ac:dyDescent="0.25">
      <c r="A748" t="s">
        <v>213</v>
      </c>
      <c r="B748">
        <v>2019</v>
      </c>
      <c r="D748">
        <v>8</v>
      </c>
      <c r="E748">
        <v>7.8</v>
      </c>
      <c r="F748">
        <v>54</v>
      </c>
      <c r="G748">
        <v>925</v>
      </c>
      <c r="H748">
        <v>764</v>
      </c>
      <c r="I748">
        <v>2526</v>
      </c>
      <c r="J748">
        <v>12</v>
      </c>
      <c r="K748">
        <v>3</v>
      </c>
      <c r="L748">
        <v>1.8</v>
      </c>
      <c r="M748">
        <v>117</v>
      </c>
      <c r="N748">
        <v>80</v>
      </c>
      <c r="O748">
        <v>1.9</v>
      </c>
      <c r="P748">
        <v>12.3</v>
      </c>
      <c r="Q748">
        <v>9.6999999999999993</v>
      </c>
      <c r="R748">
        <v>25.9</v>
      </c>
      <c r="S748">
        <v>51.4</v>
      </c>
      <c r="T748">
        <v>13</v>
      </c>
      <c r="U748">
        <v>0.54</v>
      </c>
      <c r="V748">
        <v>11.28</v>
      </c>
      <c r="W748">
        <v>1.57</v>
      </c>
      <c r="X748" s="1">
        <v>43712</v>
      </c>
    </row>
    <row r="749" spans="1:24" x14ac:dyDescent="0.25">
      <c r="A749" t="s">
        <v>215</v>
      </c>
      <c r="B749">
        <v>2019</v>
      </c>
      <c r="D749">
        <v>8.5</v>
      </c>
      <c r="E749">
        <v>7.9</v>
      </c>
      <c r="F749">
        <v>53</v>
      </c>
      <c r="G749">
        <v>378</v>
      </c>
      <c r="H749">
        <v>216</v>
      </c>
      <c r="I749">
        <v>8438</v>
      </c>
      <c r="J749">
        <v>21</v>
      </c>
      <c r="K749">
        <v>0.7</v>
      </c>
      <c r="L749">
        <v>0.6</v>
      </c>
      <c r="M749">
        <v>66</v>
      </c>
      <c r="N749">
        <v>51</v>
      </c>
      <c r="O749">
        <v>1.3</v>
      </c>
      <c r="P749">
        <v>23.3</v>
      </c>
      <c r="Q749">
        <v>2.1</v>
      </c>
      <c r="R749">
        <v>3.9</v>
      </c>
      <c r="S749">
        <v>90.6</v>
      </c>
      <c r="T749">
        <v>3.4</v>
      </c>
      <c r="U749">
        <v>0.33</v>
      </c>
      <c r="V749">
        <v>3.9</v>
      </c>
      <c r="W749">
        <v>1.27</v>
      </c>
      <c r="X749" s="1">
        <v>43712</v>
      </c>
    </row>
    <row r="750" spans="1:24" x14ac:dyDescent="0.25">
      <c r="A750" t="s">
        <v>216</v>
      </c>
      <c r="B750">
        <v>2019</v>
      </c>
      <c r="D750">
        <v>8.6</v>
      </c>
      <c r="E750">
        <v>7.85</v>
      </c>
      <c r="F750">
        <v>40</v>
      </c>
      <c r="G750">
        <v>385</v>
      </c>
      <c r="H750">
        <v>210</v>
      </c>
      <c r="I750">
        <v>6931</v>
      </c>
      <c r="J750">
        <v>6</v>
      </c>
      <c r="K750">
        <v>0.8</v>
      </c>
      <c r="L750">
        <v>0.5</v>
      </c>
      <c r="M750">
        <v>76</v>
      </c>
      <c r="N750">
        <v>60</v>
      </c>
      <c r="O750">
        <v>1.5</v>
      </c>
      <c r="P750">
        <v>19.899999999999999</v>
      </c>
      <c r="Q750">
        <v>2.5</v>
      </c>
      <c r="R750">
        <v>4.4000000000000004</v>
      </c>
      <c r="S750">
        <v>87.1</v>
      </c>
      <c r="T750">
        <v>6</v>
      </c>
      <c r="U750">
        <v>0.33</v>
      </c>
      <c r="V750">
        <v>2.4900000000000002</v>
      </c>
      <c r="W750">
        <v>1.19</v>
      </c>
      <c r="X750" s="1">
        <v>43712</v>
      </c>
    </row>
    <row r="751" spans="1:24" x14ac:dyDescent="0.25">
      <c r="A751" t="s">
        <v>217</v>
      </c>
      <c r="B751">
        <v>2019</v>
      </c>
      <c r="D751">
        <v>8.4</v>
      </c>
      <c r="E751">
        <v>7.85</v>
      </c>
      <c r="F751">
        <v>45</v>
      </c>
      <c r="G751">
        <v>461</v>
      </c>
      <c r="H751">
        <v>239</v>
      </c>
      <c r="I751">
        <v>6520</v>
      </c>
      <c r="J751">
        <v>20</v>
      </c>
      <c r="K751">
        <v>1</v>
      </c>
      <c r="L751">
        <v>0.7</v>
      </c>
      <c r="M751">
        <v>102</v>
      </c>
      <c r="N751">
        <v>73</v>
      </c>
      <c r="O751">
        <v>1.9</v>
      </c>
      <c r="P751">
        <v>19.100000000000001</v>
      </c>
      <c r="Q751">
        <v>3.1</v>
      </c>
      <c r="R751">
        <v>5.2</v>
      </c>
      <c r="S751">
        <v>85.4</v>
      </c>
      <c r="T751">
        <v>6.3</v>
      </c>
      <c r="U751">
        <v>0.37</v>
      </c>
      <c r="V751">
        <v>3.13</v>
      </c>
      <c r="W751">
        <v>1.77</v>
      </c>
      <c r="X751" s="1">
        <v>43712</v>
      </c>
    </row>
    <row r="752" spans="1:24" x14ac:dyDescent="0.25">
      <c r="A752" t="s">
        <v>422</v>
      </c>
      <c r="B752">
        <v>2019</v>
      </c>
      <c r="D752">
        <v>8.3000000000000007</v>
      </c>
      <c r="E752">
        <v>7.7</v>
      </c>
      <c r="F752">
        <v>64</v>
      </c>
      <c r="G752">
        <v>1215</v>
      </c>
      <c r="H752">
        <v>527</v>
      </c>
      <c r="I752">
        <v>10930</v>
      </c>
      <c r="J752">
        <v>22</v>
      </c>
      <c r="K752">
        <v>2.5</v>
      </c>
      <c r="L752">
        <v>1.8</v>
      </c>
      <c r="M752">
        <v>308</v>
      </c>
      <c r="N752">
        <v>64</v>
      </c>
      <c r="O752">
        <v>5.2</v>
      </c>
      <c r="P752">
        <v>33.5</v>
      </c>
      <c r="Q752">
        <v>4.7</v>
      </c>
      <c r="R752">
        <v>6.6</v>
      </c>
      <c r="S752">
        <v>81.599999999999994</v>
      </c>
      <c r="T752">
        <v>7.2</v>
      </c>
      <c r="U752">
        <v>1.36</v>
      </c>
      <c r="V752">
        <v>18.18</v>
      </c>
      <c r="W752">
        <v>1.34</v>
      </c>
      <c r="X752" s="1">
        <v>43711</v>
      </c>
    </row>
    <row r="753" spans="1:24" x14ac:dyDescent="0.25">
      <c r="A753" t="s">
        <v>423</v>
      </c>
      <c r="B753">
        <v>2019</v>
      </c>
      <c r="D753">
        <v>8.4</v>
      </c>
      <c r="E753">
        <v>7.8</v>
      </c>
      <c r="F753">
        <v>39</v>
      </c>
      <c r="G753">
        <v>837</v>
      </c>
      <c r="H753">
        <v>406</v>
      </c>
      <c r="I753">
        <v>9677</v>
      </c>
      <c r="J753">
        <v>20</v>
      </c>
      <c r="K753">
        <v>2.1</v>
      </c>
      <c r="L753">
        <v>1.2</v>
      </c>
      <c r="M753">
        <v>232</v>
      </c>
      <c r="N753">
        <v>59</v>
      </c>
      <c r="O753">
        <v>3.9</v>
      </c>
      <c r="P753">
        <v>28.6</v>
      </c>
      <c r="Q753">
        <v>3.8</v>
      </c>
      <c r="R753">
        <v>5.9</v>
      </c>
      <c r="S753">
        <v>84.7</v>
      </c>
      <c r="T753">
        <v>5.6</v>
      </c>
      <c r="U753">
        <v>0.96</v>
      </c>
      <c r="V753">
        <v>13.67</v>
      </c>
      <c r="W753">
        <v>0.79</v>
      </c>
      <c r="X753" s="1">
        <v>43711</v>
      </c>
    </row>
    <row r="754" spans="1:24" x14ac:dyDescent="0.25">
      <c r="A754" t="s">
        <v>424</v>
      </c>
      <c r="B754">
        <v>2019</v>
      </c>
      <c r="D754">
        <v>8.4</v>
      </c>
      <c r="E754">
        <v>7.75</v>
      </c>
      <c r="F754">
        <v>44</v>
      </c>
      <c r="G754">
        <v>959</v>
      </c>
      <c r="H754">
        <v>434</v>
      </c>
      <c r="I754">
        <v>8918</v>
      </c>
      <c r="J754">
        <v>25</v>
      </c>
      <c r="K754">
        <v>2.4</v>
      </c>
      <c r="L754">
        <v>1.5</v>
      </c>
      <c r="M754">
        <v>243</v>
      </c>
      <c r="N754">
        <v>65</v>
      </c>
      <c r="O754">
        <v>4</v>
      </c>
      <c r="P754">
        <v>27.3</v>
      </c>
      <c r="Q754">
        <v>4.5</v>
      </c>
      <c r="R754">
        <v>6.6</v>
      </c>
      <c r="S754">
        <v>81.599999999999994</v>
      </c>
      <c r="T754">
        <v>7.3</v>
      </c>
      <c r="U754">
        <v>1.0900000000000001</v>
      </c>
      <c r="V754">
        <v>15.56</v>
      </c>
      <c r="W754">
        <v>1.44</v>
      </c>
      <c r="X754" s="1">
        <v>43711</v>
      </c>
    </row>
    <row r="755" spans="1:24" x14ac:dyDescent="0.25">
      <c r="A755" t="s">
        <v>425</v>
      </c>
      <c r="B755">
        <v>2019</v>
      </c>
      <c r="D755">
        <v>7</v>
      </c>
      <c r="E755">
        <v>7.8</v>
      </c>
      <c r="F755">
        <v>16</v>
      </c>
      <c r="G755">
        <v>565</v>
      </c>
      <c r="H755">
        <v>304</v>
      </c>
      <c r="I755">
        <v>1933</v>
      </c>
      <c r="J755">
        <v>7</v>
      </c>
      <c r="K755">
        <v>0.8</v>
      </c>
      <c r="L755">
        <v>1.6</v>
      </c>
      <c r="M755">
        <v>71</v>
      </c>
      <c r="N755">
        <v>77</v>
      </c>
      <c r="O755">
        <v>1.3</v>
      </c>
      <c r="P755">
        <v>8.4</v>
      </c>
      <c r="Q755">
        <v>8.6</v>
      </c>
      <c r="R755">
        <v>15</v>
      </c>
      <c r="S755">
        <v>57.4</v>
      </c>
      <c r="T755">
        <v>19</v>
      </c>
      <c r="U755">
        <v>0.34</v>
      </c>
      <c r="V755">
        <v>2.5299999999999998</v>
      </c>
      <c r="W755">
        <v>1.27</v>
      </c>
      <c r="X755" s="1">
        <v>43711</v>
      </c>
    </row>
    <row r="756" spans="1:24" x14ac:dyDescent="0.25">
      <c r="A756" t="s">
        <v>426</v>
      </c>
      <c r="B756">
        <v>2019</v>
      </c>
      <c r="D756">
        <v>7.2</v>
      </c>
      <c r="E756">
        <v>7.85</v>
      </c>
      <c r="F756">
        <v>15</v>
      </c>
      <c r="G756">
        <v>478</v>
      </c>
      <c r="H756">
        <v>280</v>
      </c>
      <c r="I756">
        <v>1567</v>
      </c>
      <c r="J756">
        <v>7</v>
      </c>
      <c r="K756">
        <v>0.8</v>
      </c>
      <c r="L756">
        <v>1.2</v>
      </c>
      <c r="M756">
        <v>55</v>
      </c>
      <c r="N756">
        <v>73</v>
      </c>
      <c r="O756">
        <v>1.1000000000000001</v>
      </c>
      <c r="P756">
        <v>6.9</v>
      </c>
      <c r="Q756">
        <v>8.9</v>
      </c>
      <c r="R756">
        <v>16.899999999999999</v>
      </c>
      <c r="S756">
        <v>56.8</v>
      </c>
      <c r="T756">
        <v>17.399999999999999</v>
      </c>
      <c r="U756">
        <v>0.32</v>
      </c>
      <c r="V756">
        <v>3.01</v>
      </c>
      <c r="W756">
        <v>1.23</v>
      </c>
      <c r="X756" s="1">
        <v>43711</v>
      </c>
    </row>
    <row r="757" spans="1:24" x14ac:dyDescent="0.25">
      <c r="A757" t="s">
        <v>427</v>
      </c>
      <c r="B757">
        <v>2019</v>
      </c>
      <c r="D757">
        <v>7.2</v>
      </c>
      <c r="E757">
        <v>7.85</v>
      </c>
      <c r="F757">
        <v>21</v>
      </c>
      <c r="G757">
        <v>568</v>
      </c>
      <c r="H757">
        <v>275</v>
      </c>
      <c r="I757">
        <v>1602</v>
      </c>
      <c r="J757">
        <v>11</v>
      </c>
      <c r="K757">
        <v>0.9</v>
      </c>
      <c r="L757">
        <v>0.9</v>
      </c>
      <c r="M757">
        <v>61</v>
      </c>
      <c r="N757">
        <v>74</v>
      </c>
      <c r="O757">
        <v>1.1000000000000001</v>
      </c>
      <c r="P757">
        <v>7.1</v>
      </c>
      <c r="Q757">
        <v>10.3</v>
      </c>
      <c r="R757">
        <v>16.2</v>
      </c>
      <c r="S757">
        <v>56.6</v>
      </c>
      <c r="T757">
        <v>17</v>
      </c>
      <c r="U757">
        <v>0.48</v>
      </c>
      <c r="V757">
        <v>14.16</v>
      </c>
      <c r="W757">
        <v>1.67</v>
      </c>
      <c r="X757" s="1">
        <v>43711</v>
      </c>
    </row>
    <row r="758" spans="1:24" x14ac:dyDescent="0.25">
      <c r="A758" t="s">
        <v>428</v>
      </c>
      <c r="B758">
        <v>2019</v>
      </c>
      <c r="D758">
        <v>7.4</v>
      </c>
      <c r="E758">
        <v>7.9</v>
      </c>
      <c r="F758">
        <v>36</v>
      </c>
      <c r="G758">
        <v>432</v>
      </c>
      <c r="H758">
        <v>231</v>
      </c>
      <c r="I758">
        <v>1472</v>
      </c>
      <c r="J758">
        <v>11</v>
      </c>
      <c r="K758">
        <v>0.8</v>
      </c>
      <c r="L758">
        <v>1.6</v>
      </c>
      <c r="M758">
        <v>62</v>
      </c>
      <c r="N758">
        <v>74</v>
      </c>
      <c r="O758">
        <v>1.1000000000000001</v>
      </c>
      <c r="P758">
        <v>6</v>
      </c>
      <c r="Q758">
        <v>9.1999999999999993</v>
      </c>
      <c r="R758">
        <v>16.100000000000001</v>
      </c>
      <c r="S758">
        <v>61.4</v>
      </c>
      <c r="T758">
        <v>13.3</v>
      </c>
      <c r="U758">
        <v>0.47</v>
      </c>
      <c r="V758">
        <v>4.0599999999999996</v>
      </c>
      <c r="W758">
        <v>1.17</v>
      </c>
      <c r="X758" s="1">
        <v>43711</v>
      </c>
    </row>
    <row r="759" spans="1:24" x14ac:dyDescent="0.25">
      <c r="A759" t="s">
        <v>429</v>
      </c>
      <c r="B759">
        <v>2019</v>
      </c>
      <c r="D759">
        <v>7.1</v>
      </c>
      <c r="E759">
        <v>7.9</v>
      </c>
      <c r="F759">
        <v>26</v>
      </c>
      <c r="G759">
        <v>335</v>
      </c>
      <c r="H759">
        <v>184</v>
      </c>
      <c r="I759">
        <v>1220</v>
      </c>
      <c r="J759">
        <v>17</v>
      </c>
      <c r="K759">
        <v>0.7</v>
      </c>
      <c r="L759">
        <v>1.8</v>
      </c>
      <c r="M759">
        <v>55</v>
      </c>
      <c r="N759">
        <v>74</v>
      </c>
      <c r="O759">
        <v>0.9</v>
      </c>
      <c r="P759">
        <v>5</v>
      </c>
      <c r="Q759">
        <v>8.5</v>
      </c>
      <c r="R759">
        <v>15.2</v>
      </c>
      <c r="S759">
        <v>60.4</v>
      </c>
      <c r="T759">
        <v>15.9</v>
      </c>
      <c r="U759">
        <v>0.36</v>
      </c>
      <c r="V759">
        <v>3.51</v>
      </c>
      <c r="W759">
        <v>1.45</v>
      </c>
      <c r="X759" s="1">
        <v>43711</v>
      </c>
    </row>
    <row r="760" spans="1:24" x14ac:dyDescent="0.25">
      <c r="A760" t="s">
        <v>430</v>
      </c>
      <c r="B760">
        <v>2019</v>
      </c>
      <c r="D760">
        <v>7.1</v>
      </c>
      <c r="E760">
        <v>7.85</v>
      </c>
      <c r="F760">
        <v>19</v>
      </c>
      <c r="G760">
        <v>412</v>
      </c>
      <c r="H760">
        <v>217</v>
      </c>
      <c r="I760">
        <v>1427</v>
      </c>
      <c r="J760">
        <v>11</v>
      </c>
      <c r="K760">
        <v>0.8</v>
      </c>
      <c r="L760">
        <v>1.8</v>
      </c>
      <c r="M760">
        <v>63</v>
      </c>
      <c r="N760">
        <v>68</v>
      </c>
      <c r="O760">
        <v>1</v>
      </c>
      <c r="P760">
        <v>6.2</v>
      </c>
      <c r="Q760">
        <v>8.5</v>
      </c>
      <c r="R760">
        <v>14.6</v>
      </c>
      <c r="S760">
        <v>57.5</v>
      </c>
      <c r="T760">
        <v>19.399999999999999</v>
      </c>
      <c r="U760">
        <v>0.43</v>
      </c>
      <c r="V760">
        <v>5.52</v>
      </c>
      <c r="W760">
        <v>1.65</v>
      </c>
      <c r="X760" s="1">
        <v>43711</v>
      </c>
    </row>
    <row r="761" spans="1:24" x14ac:dyDescent="0.25">
      <c r="A761" t="s">
        <v>373</v>
      </c>
      <c r="B761">
        <v>2019</v>
      </c>
      <c r="D761">
        <v>7.8</v>
      </c>
      <c r="E761">
        <v>7.75</v>
      </c>
      <c r="F761">
        <v>199</v>
      </c>
      <c r="G761">
        <v>1488</v>
      </c>
      <c r="H761">
        <v>1855</v>
      </c>
      <c r="I761">
        <v>4665</v>
      </c>
      <c r="J761">
        <v>53</v>
      </c>
      <c r="K761">
        <v>6.1</v>
      </c>
      <c r="L761">
        <v>5.3</v>
      </c>
      <c r="M761">
        <v>392</v>
      </c>
      <c r="N761">
        <v>75</v>
      </c>
      <c r="O761">
        <v>5.0999999999999996</v>
      </c>
      <c r="P761">
        <v>23.3</v>
      </c>
      <c r="Q761">
        <v>8.1999999999999993</v>
      </c>
      <c r="R761">
        <v>33.200000000000003</v>
      </c>
      <c r="S761">
        <v>50.1</v>
      </c>
      <c r="T761">
        <v>8.6</v>
      </c>
      <c r="U761">
        <v>1.6</v>
      </c>
      <c r="V761">
        <v>6.53</v>
      </c>
      <c r="W761">
        <v>1.35</v>
      </c>
      <c r="X761" s="1">
        <v>43717</v>
      </c>
    </row>
    <row r="762" spans="1:24" x14ac:dyDescent="0.25">
      <c r="A762" t="s">
        <v>374</v>
      </c>
      <c r="B762">
        <v>2019</v>
      </c>
      <c r="D762">
        <v>7.2</v>
      </c>
      <c r="E762">
        <v>7.75</v>
      </c>
      <c r="F762">
        <v>444</v>
      </c>
      <c r="G762">
        <v>1413</v>
      </c>
      <c r="H762">
        <v>1719</v>
      </c>
      <c r="I762">
        <v>4253</v>
      </c>
      <c r="J762">
        <v>46</v>
      </c>
      <c r="K762">
        <v>5.3</v>
      </c>
      <c r="L762">
        <v>8.6999999999999993</v>
      </c>
      <c r="M762">
        <v>363</v>
      </c>
      <c r="N762">
        <v>96</v>
      </c>
      <c r="O762">
        <v>5</v>
      </c>
      <c r="P762">
        <v>21.6</v>
      </c>
      <c r="Q762">
        <v>8.4</v>
      </c>
      <c r="R762">
        <v>33.1</v>
      </c>
      <c r="S762">
        <v>49.2</v>
      </c>
      <c r="T762">
        <v>9.3000000000000007</v>
      </c>
      <c r="U762">
        <v>1.54</v>
      </c>
      <c r="V762">
        <v>75.69</v>
      </c>
      <c r="W762">
        <v>52.69</v>
      </c>
      <c r="X762" s="1">
        <v>43717</v>
      </c>
    </row>
    <row r="763" spans="1:24" x14ac:dyDescent="0.25">
      <c r="A763" t="s">
        <v>375</v>
      </c>
      <c r="B763">
        <v>2019</v>
      </c>
      <c r="D763">
        <v>8.3000000000000007</v>
      </c>
      <c r="E763">
        <v>7.7</v>
      </c>
      <c r="F763">
        <v>282</v>
      </c>
      <c r="G763">
        <v>1657</v>
      </c>
      <c r="H763">
        <v>1827</v>
      </c>
      <c r="I763">
        <v>4834</v>
      </c>
      <c r="J763">
        <v>31</v>
      </c>
      <c r="K763">
        <v>5.5</v>
      </c>
      <c r="L763">
        <v>7</v>
      </c>
      <c r="M763">
        <v>368</v>
      </c>
      <c r="N763">
        <v>101</v>
      </c>
      <c r="O763">
        <v>5.5</v>
      </c>
      <c r="P763">
        <v>24.2</v>
      </c>
      <c r="Q763">
        <v>8.8000000000000007</v>
      </c>
      <c r="R763">
        <v>31.4</v>
      </c>
      <c r="S763">
        <v>49.9</v>
      </c>
      <c r="T763">
        <v>9.9</v>
      </c>
      <c r="U763">
        <v>1.55</v>
      </c>
      <c r="V763">
        <v>4.83</v>
      </c>
      <c r="W763">
        <v>1.49</v>
      </c>
      <c r="X763" s="1">
        <v>43717</v>
      </c>
    </row>
    <row r="764" spans="1:24" x14ac:dyDescent="0.25">
      <c r="A764" t="s">
        <v>376</v>
      </c>
      <c r="B764">
        <v>2019</v>
      </c>
      <c r="D764">
        <v>8.4</v>
      </c>
      <c r="E764">
        <v>7.8</v>
      </c>
      <c r="F764">
        <v>111</v>
      </c>
      <c r="G764">
        <v>1508</v>
      </c>
      <c r="H764">
        <v>1749</v>
      </c>
      <c r="I764">
        <v>4613</v>
      </c>
      <c r="J764">
        <v>23</v>
      </c>
      <c r="K764">
        <v>7.5</v>
      </c>
      <c r="L764">
        <v>3.6</v>
      </c>
      <c r="M764">
        <v>359</v>
      </c>
      <c r="N764">
        <v>87</v>
      </c>
      <c r="O764">
        <v>5.5</v>
      </c>
      <c r="P764">
        <v>22.4</v>
      </c>
      <c r="Q764">
        <v>8.6</v>
      </c>
      <c r="R764">
        <v>32.6</v>
      </c>
      <c r="S764">
        <v>51.6</v>
      </c>
      <c r="T764">
        <v>7.2</v>
      </c>
      <c r="U764">
        <v>1.41</v>
      </c>
      <c r="V764">
        <v>3.57</v>
      </c>
      <c r="W764">
        <v>1.39</v>
      </c>
      <c r="X764" s="1">
        <v>43717</v>
      </c>
    </row>
    <row r="765" spans="1:24" x14ac:dyDescent="0.25">
      <c r="A765" t="s">
        <v>377</v>
      </c>
      <c r="B765">
        <v>2019</v>
      </c>
      <c r="D765">
        <v>8.4</v>
      </c>
      <c r="E765">
        <v>7.8</v>
      </c>
      <c r="F765">
        <v>97</v>
      </c>
      <c r="G765">
        <v>1266</v>
      </c>
      <c r="H765">
        <v>1754</v>
      </c>
      <c r="I765">
        <v>4417</v>
      </c>
      <c r="J765">
        <v>20</v>
      </c>
      <c r="K765">
        <v>7</v>
      </c>
      <c r="L765">
        <v>3.5</v>
      </c>
      <c r="M765">
        <v>343</v>
      </c>
      <c r="N765">
        <v>86</v>
      </c>
      <c r="O765">
        <v>5</v>
      </c>
      <c r="P765">
        <v>21.6</v>
      </c>
      <c r="Q765">
        <v>7.5</v>
      </c>
      <c r="R765">
        <v>33.9</v>
      </c>
      <c r="S765">
        <v>51.2</v>
      </c>
      <c r="T765">
        <v>7.4</v>
      </c>
      <c r="U765">
        <v>1.35</v>
      </c>
      <c r="V765">
        <v>3.09</v>
      </c>
      <c r="W765">
        <v>1.28</v>
      </c>
      <c r="X765" s="1">
        <v>43717</v>
      </c>
    </row>
    <row r="766" spans="1:24" x14ac:dyDescent="0.25">
      <c r="A766" t="s">
        <v>378</v>
      </c>
      <c r="B766">
        <v>2019</v>
      </c>
      <c r="D766">
        <v>8.4</v>
      </c>
      <c r="E766">
        <v>7.8</v>
      </c>
      <c r="F766">
        <v>129</v>
      </c>
      <c r="G766">
        <v>1720</v>
      </c>
      <c r="H766">
        <v>2008</v>
      </c>
      <c r="I766">
        <v>5568</v>
      </c>
      <c r="J766">
        <v>28</v>
      </c>
      <c r="K766">
        <v>7.9</v>
      </c>
      <c r="L766">
        <v>4.2</v>
      </c>
      <c r="M766">
        <v>349</v>
      </c>
      <c r="N766">
        <v>97</v>
      </c>
      <c r="O766">
        <v>6.4</v>
      </c>
      <c r="P766">
        <v>26.1</v>
      </c>
      <c r="Q766">
        <v>8.5</v>
      </c>
      <c r="R766">
        <v>32.1</v>
      </c>
      <c r="S766">
        <v>53.4</v>
      </c>
      <c r="T766">
        <v>6.1</v>
      </c>
      <c r="U766">
        <v>1.49</v>
      </c>
      <c r="V766">
        <v>5.51</v>
      </c>
      <c r="W766">
        <v>1.59</v>
      </c>
      <c r="X766" s="1">
        <v>43717</v>
      </c>
    </row>
    <row r="767" spans="1:24" x14ac:dyDescent="0.25">
      <c r="A767" t="s">
        <v>379</v>
      </c>
      <c r="B767">
        <v>2019</v>
      </c>
      <c r="D767">
        <v>7.9</v>
      </c>
      <c r="E767">
        <v>7.75</v>
      </c>
      <c r="F767">
        <v>167</v>
      </c>
      <c r="G767">
        <v>2002</v>
      </c>
      <c r="H767">
        <v>1928</v>
      </c>
      <c r="I767">
        <v>4373</v>
      </c>
      <c r="J767">
        <v>31</v>
      </c>
      <c r="K767">
        <v>6.2</v>
      </c>
      <c r="L767">
        <v>7.5</v>
      </c>
      <c r="M767">
        <v>323</v>
      </c>
      <c r="N767">
        <v>73</v>
      </c>
      <c r="O767">
        <v>4.5</v>
      </c>
      <c r="P767">
        <v>23.5</v>
      </c>
      <c r="Q767">
        <v>10.9</v>
      </c>
      <c r="R767">
        <v>34.1</v>
      </c>
      <c r="S767">
        <v>46.5</v>
      </c>
      <c r="T767">
        <v>8.5</v>
      </c>
      <c r="U767">
        <v>1.81</v>
      </c>
      <c r="V767">
        <v>45.15</v>
      </c>
      <c r="W767">
        <v>1.94</v>
      </c>
      <c r="X767" s="1">
        <v>43717</v>
      </c>
    </row>
    <row r="768" spans="1:24" x14ac:dyDescent="0.25">
      <c r="A768" t="s">
        <v>380</v>
      </c>
      <c r="B768">
        <v>2019</v>
      </c>
      <c r="D768">
        <v>7.1</v>
      </c>
      <c r="E768">
        <v>7.7</v>
      </c>
      <c r="F768">
        <v>311</v>
      </c>
      <c r="G768">
        <v>1289</v>
      </c>
      <c r="H768">
        <v>1761</v>
      </c>
      <c r="I768">
        <v>4017</v>
      </c>
      <c r="J768">
        <v>32</v>
      </c>
      <c r="K768">
        <v>4.2</v>
      </c>
      <c r="L768">
        <v>12.2</v>
      </c>
      <c r="M768">
        <v>258</v>
      </c>
      <c r="N768">
        <v>92</v>
      </c>
      <c r="O768">
        <v>4</v>
      </c>
      <c r="P768">
        <v>21.4</v>
      </c>
      <c r="Q768">
        <v>7.7</v>
      </c>
      <c r="R768">
        <v>34.200000000000003</v>
      </c>
      <c r="S768">
        <v>46.9</v>
      </c>
      <c r="T768">
        <v>11.2</v>
      </c>
      <c r="U768">
        <v>1.91</v>
      </c>
      <c r="V768">
        <v>5.91</v>
      </c>
      <c r="W768">
        <v>2.0099999999999998</v>
      </c>
      <c r="X768" s="1">
        <v>43717</v>
      </c>
    </row>
    <row r="769" spans="1:24" x14ac:dyDescent="0.25">
      <c r="A769" t="s">
        <v>381</v>
      </c>
      <c r="B769">
        <v>2019</v>
      </c>
      <c r="D769">
        <v>6.8</v>
      </c>
      <c r="E769">
        <v>7.65</v>
      </c>
      <c r="F769">
        <v>435</v>
      </c>
      <c r="G769">
        <v>1266</v>
      </c>
      <c r="H769">
        <v>1882</v>
      </c>
      <c r="I769">
        <v>4047</v>
      </c>
      <c r="J769">
        <v>40</v>
      </c>
      <c r="K769">
        <v>4.7</v>
      </c>
      <c r="L769">
        <v>13.4</v>
      </c>
      <c r="M769">
        <v>282</v>
      </c>
      <c r="N769">
        <v>94</v>
      </c>
      <c r="O769">
        <v>4.2</v>
      </c>
      <c r="P769">
        <v>22.4</v>
      </c>
      <c r="Q769">
        <v>7.3</v>
      </c>
      <c r="R769">
        <v>35</v>
      </c>
      <c r="S769">
        <v>45.2</v>
      </c>
      <c r="T769">
        <v>12.5</v>
      </c>
      <c r="U769">
        <v>1.92</v>
      </c>
      <c r="V769">
        <v>6.77</v>
      </c>
      <c r="W769">
        <v>1.98</v>
      </c>
      <c r="X769" s="1">
        <v>43717</v>
      </c>
    </row>
    <row r="770" spans="1:24" x14ac:dyDescent="0.25">
      <c r="A770" t="s">
        <v>382</v>
      </c>
      <c r="B770">
        <v>2019</v>
      </c>
      <c r="D770">
        <v>7</v>
      </c>
      <c r="E770">
        <v>7.7</v>
      </c>
      <c r="F770">
        <v>47</v>
      </c>
      <c r="G770">
        <v>871</v>
      </c>
      <c r="H770">
        <v>1424</v>
      </c>
      <c r="I770">
        <v>3180</v>
      </c>
      <c r="J770">
        <v>25</v>
      </c>
      <c r="K770">
        <v>1.5</v>
      </c>
      <c r="L770">
        <v>2.1</v>
      </c>
      <c r="M770">
        <v>242</v>
      </c>
      <c r="N770">
        <v>86</v>
      </c>
      <c r="O770">
        <v>3.5</v>
      </c>
      <c r="P770">
        <v>17.399999999999999</v>
      </c>
      <c r="Q770">
        <v>6.4</v>
      </c>
      <c r="R770">
        <v>34.1</v>
      </c>
      <c r="S770">
        <v>45.7</v>
      </c>
      <c r="T770">
        <v>13.8</v>
      </c>
      <c r="U770">
        <v>1.64</v>
      </c>
      <c r="V770">
        <v>8.0399999999999991</v>
      </c>
      <c r="W770">
        <v>5.01</v>
      </c>
      <c r="X770" s="1">
        <v>43717</v>
      </c>
    </row>
    <row r="771" spans="1:24" x14ac:dyDescent="0.25">
      <c r="A771" t="s">
        <v>383</v>
      </c>
      <c r="B771">
        <v>2019</v>
      </c>
      <c r="D771">
        <v>7.6</v>
      </c>
      <c r="E771">
        <v>7.7</v>
      </c>
      <c r="F771">
        <v>26</v>
      </c>
      <c r="G771">
        <v>724</v>
      </c>
      <c r="H771">
        <v>1213</v>
      </c>
      <c r="I771">
        <v>3204</v>
      </c>
      <c r="J771">
        <v>20</v>
      </c>
      <c r="K771">
        <v>1.5</v>
      </c>
      <c r="L771">
        <v>1.7</v>
      </c>
      <c r="M771">
        <v>202</v>
      </c>
      <c r="N771">
        <v>70</v>
      </c>
      <c r="O771">
        <v>3.2</v>
      </c>
      <c r="P771">
        <v>16.399999999999999</v>
      </c>
      <c r="Q771">
        <v>5.7</v>
      </c>
      <c r="R771">
        <v>30.8</v>
      </c>
      <c r="S771">
        <v>48.9</v>
      </c>
      <c r="T771">
        <v>14.6</v>
      </c>
      <c r="U771">
        <v>1.45</v>
      </c>
      <c r="V771">
        <v>15.14</v>
      </c>
      <c r="W771">
        <v>4.2</v>
      </c>
      <c r="X771" s="1">
        <v>43717</v>
      </c>
    </row>
    <row r="772" spans="1:24" x14ac:dyDescent="0.25">
      <c r="A772" t="s">
        <v>384</v>
      </c>
      <c r="B772">
        <v>2019</v>
      </c>
      <c r="D772">
        <v>7</v>
      </c>
      <c r="E772">
        <v>7.7</v>
      </c>
      <c r="F772">
        <v>32</v>
      </c>
      <c r="G772">
        <v>709</v>
      </c>
      <c r="H772">
        <v>1323</v>
      </c>
      <c r="I772">
        <v>2946</v>
      </c>
      <c r="J772">
        <v>19</v>
      </c>
      <c r="K772">
        <v>1.3</v>
      </c>
      <c r="L772">
        <v>1.6</v>
      </c>
      <c r="M772">
        <v>214</v>
      </c>
      <c r="N772">
        <v>80</v>
      </c>
      <c r="O772">
        <v>3.3</v>
      </c>
      <c r="P772">
        <v>16.2</v>
      </c>
      <c r="Q772">
        <v>5.6</v>
      </c>
      <c r="R772">
        <v>34.1</v>
      </c>
      <c r="S772">
        <v>45.5</v>
      </c>
      <c r="T772">
        <v>14.8</v>
      </c>
      <c r="U772">
        <v>1.38</v>
      </c>
      <c r="V772">
        <v>11.84</v>
      </c>
      <c r="W772">
        <v>5.85</v>
      </c>
      <c r="X772" s="1">
        <v>43717</v>
      </c>
    </row>
    <row r="773" spans="1:24" x14ac:dyDescent="0.25">
      <c r="A773" t="s">
        <v>385</v>
      </c>
      <c r="B773">
        <v>2019</v>
      </c>
      <c r="D773">
        <v>7.9</v>
      </c>
      <c r="E773">
        <v>7.8</v>
      </c>
      <c r="F773">
        <v>61</v>
      </c>
      <c r="G773">
        <v>1185</v>
      </c>
      <c r="H773">
        <v>1859</v>
      </c>
      <c r="I773">
        <v>6242</v>
      </c>
      <c r="J773">
        <v>26</v>
      </c>
      <c r="K773">
        <v>5.8</v>
      </c>
      <c r="L773">
        <v>9.1999999999999993</v>
      </c>
      <c r="M773">
        <v>269</v>
      </c>
      <c r="N773">
        <v>68</v>
      </c>
      <c r="O773">
        <v>4.5999999999999996</v>
      </c>
      <c r="P773">
        <v>26.5</v>
      </c>
      <c r="Q773">
        <v>5.7</v>
      </c>
      <c r="R773">
        <v>29.3</v>
      </c>
      <c r="S773">
        <v>59</v>
      </c>
      <c r="T773">
        <v>6</v>
      </c>
      <c r="U773">
        <v>1.82</v>
      </c>
      <c r="V773">
        <v>2.19</v>
      </c>
      <c r="W773">
        <v>1.1000000000000001</v>
      </c>
      <c r="X773" s="1">
        <v>43717</v>
      </c>
    </row>
    <row r="774" spans="1:24" x14ac:dyDescent="0.25">
      <c r="A774" t="s">
        <v>386</v>
      </c>
      <c r="B774">
        <v>2019</v>
      </c>
      <c r="D774">
        <v>7.6</v>
      </c>
      <c r="E774">
        <v>7.75</v>
      </c>
      <c r="F774">
        <v>56</v>
      </c>
      <c r="G774">
        <v>1778</v>
      </c>
      <c r="H774">
        <v>2104</v>
      </c>
      <c r="I774">
        <v>4830</v>
      </c>
      <c r="J774">
        <v>30</v>
      </c>
      <c r="K774">
        <v>5.0999999999999996</v>
      </c>
      <c r="L774">
        <v>9.8000000000000007</v>
      </c>
      <c r="M774">
        <v>313</v>
      </c>
      <c r="N774">
        <v>74</v>
      </c>
      <c r="O774">
        <v>5.2</v>
      </c>
      <c r="P774">
        <v>25.1</v>
      </c>
      <c r="Q774">
        <v>9.1</v>
      </c>
      <c r="R774">
        <v>34.9</v>
      </c>
      <c r="S774">
        <v>48.1</v>
      </c>
      <c r="T774">
        <v>8</v>
      </c>
      <c r="U774">
        <v>2.0299999999999998</v>
      </c>
      <c r="V774">
        <v>11.91</v>
      </c>
      <c r="W774">
        <v>1.53</v>
      </c>
      <c r="X774" s="1">
        <v>43717</v>
      </c>
    </row>
    <row r="775" spans="1:24" x14ac:dyDescent="0.25">
      <c r="A775" t="s">
        <v>387</v>
      </c>
      <c r="B775">
        <v>2019</v>
      </c>
      <c r="D775">
        <v>8.1999999999999993</v>
      </c>
      <c r="E775">
        <v>7.75</v>
      </c>
      <c r="F775">
        <v>68</v>
      </c>
      <c r="G775">
        <v>1186</v>
      </c>
      <c r="H775">
        <v>2365</v>
      </c>
      <c r="I775">
        <v>4710</v>
      </c>
      <c r="J775">
        <v>33</v>
      </c>
      <c r="K775">
        <v>6.2</v>
      </c>
      <c r="L775">
        <v>9</v>
      </c>
      <c r="M775">
        <v>255</v>
      </c>
      <c r="N775">
        <v>73</v>
      </c>
      <c r="O775">
        <v>7.9</v>
      </c>
      <c r="P775">
        <v>25.1</v>
      </c>
      <c r="Q775">
        <v>6</v>
      </c>
      <c r="R775">
        <v>39.200000000000003</v>
      </c>
      <c r="S775">
        <v>46.8</v>
      </c>
      <c r="T775">
        <v>8</v>
      </c>
      <c r="U775">
        <v>1.88</v>
      </c>
      <c r="V775">
        <v>4.17</v>
      </c>
      <c r="W775">
        <v>1.58</v>
      </c>
      <c r="X775" s="1">
        <v>43717</v>
      </c>
    </row>
    <row r="776" spans="1:24" x14ac:dyDescent="0.25">
      <c r="A776" t="s">
        <v>388</v>
      </c>
      <c r="B776">
        <v>2019</v>
      </c>
      <c r="D776">
        <v>7.7</v>
      </c>
      <c r="E776">
        <v>7.75</v>
      </c>
      <c r="F776">
        <v>28</v>
      </c>
      <c r="G776">
        <v>1481</v>
      </c>
      <c r="H776">
        <v>1715</v>
      </c>
      <c r="I776">
        <v>3995</v>
      </c>
      <c r="J776">
        <v>16</v>
      </c>
      <c r="K776">
        <v>3.5</v>
      </c>
      <c r="L776">
        <v>6</v>
      </c>
      <c r="M776">
        <v>279</v>
      </c>
      <c r="N776">
        <v>67</v>
      </c>
      <c r="O776">
        <v>4.0999999999999996</v>
      </c>
      <c r="P776">
        <v>21</v>
      </c>
      <c r="Q776">
        <v>9</v>
      </c>
      <c r="R776">
        <v>34</v>
      </c>
      <c r="S776">
        <v>47.5</v>
      </c>
      <c r="T776">
        <v>9.5</v>
      </c>
      <c r="U776">
        <v>2.15</v>
      </c>
      <c r="V776">
        <v>35.159999999999997</v>
      </c>
      <c r="W776">
        <v>38.29</v>
      </c>
      <c r="X776" s="1">
        <v>43717</v>
      </c>
    </row>
    <row r="777" spans="1:24" x14ac:dyDescent="0.25">
      <c r="A777" t="s">
        <v>389</v>
      </c>
      <c r="B777">
        <v>2019</v>
      </c>
      <c r="D777">
        <v>7.8</v>
      </c>
      <c r="E777">
        <v>7.7</v>
      </c>
      <c r="F777">
        <v>24</v>
      </c>
      <c r="G777">
        <v>1238</v>
      </c>
      <c r="H777">
        <v>1898</v>
      </c>
      <c r="I777">
        <v>4311</v>
      </c>
      <c r="J777">
        <v>18</v>
      </c>
      <c r="K777">
        <v>4</v>
      </c>
      <c r="L777">
        <v>3.7</v>
      </c>
      <c r="M777">
        <v>283</v>
      </c>
      <c r="N777">
        <v>68</v>
      </c>
      <c r="O777">
        <v>4.4000000000000004</v>
      </c>
      <c r="P777">
        <v>22.7</v>
      </c>
      <c r="Q777">
        <v>7</v>
      </c>
      <c r="R777">
        <v>34.9</v>
      </c>
      <c r="S777">
        <v>47.5</v>
      </c>
      <c r="T777">
        <v>10.6</v>
      </c>
      <c r="U777">
        <v>1.66</v>
      </c>
      <c r="V777">
        <v>3.07</v>
      </c>
      <c r="W777">
        <v>2.23</v>
      </c>
      <c r="X777" s="1">
        <v>43717</v>
      </c>
    </row>
    <row r="778" spans="1:24" x14ac:dyDescent="0.25">
      <c r="A778" t="s">
        <v>390</v>
      </c>
      <c r="B778">
        <v>2019</v>
      </c>
      <c r="D778">
        <v>8.1</v>
      </c>
      <c r="E778">
        <v>7.7</v>
      </c>
      <c r="F778">
        <v>103</v>
      </c>
      <c r="G778">
        <v>1238</v>
      </c>
      <c r="H778">
        <v>1899</v>
      </c>
      <c r="I778">
        <v>4865</v>
      </c>
      <c r="J778">
        <v>32</v>
      </c>
      <c r="K778">
        <v>5.5</v>
      </c>
      <c r="L778">
        <v>7</v>
      </c>
      <c r="M778">
        <v>251</v>
      </c>
      <c r="N778">
        <v>71</v>
      </c>
      <c r="O778">
        <v>4.5</v>
      </c>
      <c r="P778">
        <v>24.1</v>
      </c>
      <c r="Q778">
        <v>6.6</v>
      </c>
      <c r="R778">
        <v>32.9</v>
      </c>
      <c r="S778">
        <v>50.5</v>
      </c>
      <c r="T778">
        <v>10</v>
      </c>
      <c r="U778">
        <v>1.86</v>
      </c>
      <c r="V778">
        <v>13.3</v>
      </c>
      <c r="W778">
        <v>1.82</v>
      </c>
      <c r="X778" s="1">
        <v>43717</v>
      </c>
    </row>
    <row r="779" spans="1:24" x14ac:dyDescent="0.25">
      <c r="A779" t="s">
        <v>151</v>
      </c>
      <c r="B779">
        <v>2019</v>
      </c>
      <c r="D779">
        <v>8.3000000000000007</v>
      </c>
      <c r="E779">
        <v>7.75</v>
      </c>
      <c r="F779">
        <v>128</v>
      </c>
      <c r="G779">
        <v>879</v>
      </c>
      <c r="H779">
        <v>1749</v>
      </c>
      <c r="I779">
        <v>6220</v>
      </c>
      <c r="J779">
        <v>69</v>
      </c>
      <c r="K779">
        <v>6.5</v>
      </c>
      <c r="L779">
        <v>3.1</v>
      </c>
      <c r="M779">
        <v>308</v>
      </c>
      <c r="N779">
        <v>87</v>
      </c>
      <c r="O779">
        <v>5.6</v>
      </c>
      <c r="P779">
        <v>26</v>
      </c>
      <c r="Q779">
        <v>4.3</v>
      </c>
      <c r="R779">
        <v>28.1</v>
      </c>
      <c r="S779">
        <v>59.9</v>
      </c>
      <c r="T779">
        <v>7.7</v>
      </c>
      <c r="U779">
        <v>1.22</v>
      </c>
      <c r="V779">
        <v>28.37</v>
      </c>
      <c r="W779">
        <v>2.4500000000000002</v>
      </c>
      <c r="X779" s="1">
        <v>43717</v>
      </c>
    </row>
    <row r="780" spans="1:24" x14ac:dyDescent="0.25">
      <c r="A780" t="s">
        <v>152</v>
      </c>
      <c r="B780">
        <v>2019</v>
      </c>
      <c r="D780">
        <v>8.1999999999999993</v>
      </c>
      <c r="E780">
        <v>7.75</v>
      </c>
      <c r="F780">
        <v>158</v>
      </c>
      <c r="G780">
        <v>1116</v>
      </c>
      <c r="H780">
        <v>1738</v>
      </c>
      <c r="I780">
        <v>4450</v>
      </c>
      <c r="J780">
        <v>35</v>
      </c>
      <c r="K780">
        <v>5.9</v>
      </c>
      <c r="L780">
        <v>2.5</v>
      </c>
      <c r="M780">
        <v>303</v>
      </c>
      <c r="N780">
        <v>103</v>
      </c>
      <c r="O780">
        <v>4.9000000000000004</v>
      </c>
      <c r="P780">
        <v>21.8</v>
      </c>
      <c r="Q780">
        <v>6.6</v>
      </c>
      <c r="R780">
        <v>33.200000000000003</v>
      </c>
      <c r="S780">
        <v>51</v>
      </c>
      <c r="T780">
        <v>9.1999999999999993</v>
      </c>
      <c r="U780">
        <v>1.19</v>
      </c>
      <c r="V780">
        <v>6.75</v>
      </c>
      <c r="W780">
        <v>1.67</v>
      </c>
      <c r="X780" s="1">
        <v>43717</v>
      </c>
    </row>
    <row r="781" spans="1:24" x14ac:dyDescent="0.25">
      <c r="A781" t="s">
        <v>153</v>
      </c>
      <c r="B781">
        <v>2019</v>
      </c>
      <c r="D781">
        <v>7.8</v>
      </c>
      <c r="E781">
        <v>7.75</v>
      </c>
      <c r="F781">
        <v>110</v>
      </c>
      <c r="G781">
        <v>1023</v>
      </c>
      <c r="H781">
        <v>1613</v>
      </c>
      <c r="I781">
        <v>4040</v>
      </c>
      <c r="J781">
        <v>152</v>
      </c>
      <c r="K781">
        <v>5.6</v>
      </c>
      <c r="L781">
        <v>2</v>
      </c>
      <c r="M781">
        <v>293</v>
      </c>
      <c r="N781">
        <v>98</v>
      </c>
      <c r="O781">
        <v>4.4000000000000004</v>
      </c>
      <c r="P781">
        <v>20.100000000000001</v>
      </c>
      <c r="Q781">
        <v>6.5</v>
      </c>
      <c r="R781">
        <v>33.4</v>
      </c>
      <c r="S781">
        <v>50.2</v>
      </c>
      <c r="T781">
        <v>9.9</v>
      </c>
      <c r="U781">
        <v>1.1299999999999999</v>
      </c>
      <c r="V781">
        <v>10.31</v>
      </c>
      <c r="W781">
        <v>2.77</v>
      </c>
      <c r="X781" s="1">
        <v>43717</v>
      </c>
    </row>
    <row r="782" spans="1:24" x14ac:dyDescent="0.25">
      <c r="A782" t="s">
        <v>431</v>
      </c>
      <c r="B782">
        <v>2019</v>
      </c>
      <c r="D782">
        <v>7.6</v>
      </c>
      <c r="E782">
        <v>7.75</v>
      </c>
      <c r="F782">
        <v>52</v>
      </c>
      <c r="G782">
        <v>940</v>
      </c>
      <c r="H782">
        <v>1119</v>
      </c>
      <c r="I782">
        <v>2883</v>
      </c>
      <c r="J782">
        <v>53</v>
      </c>
      <c r="K782">
        <v>3.1</v>
      </c>
      <c r="L782">
        <v>15.8</v>
      </c>
      <c r="M782">
        <v>143</v>
      </c>
      <c r="N782">
        <v>62</v>
      </c>
      <c r="O782">
        <v>2.5</v>
      </c>
      <c r="P782">
        <v>15.1</v>
      </c>
      <c r="Q782">
        <v>8</v>
      </c>
      <c r="R782">
        <v>30.9</v>
      </c>
      <c r="S782">
        <v>47.8</v>
      </c>
      <c r="T782">
        <v>13.3</v>
      </c>
      <c r="U782">
        <v>1.24</v>
      </c>
      <c r="V782">
        <v>7.87</v>
      </c>
      <c r="W782">
        <v>1.28</v>
      </c>
      <c r="X782" s="1">
        <v>43713</v>
      </c>
    </row>
    <row r="783" spans="1:24" x14ac:dyDescent="0.25">
      <c r="A783" t="s">
        <v>432</v>
      </c>
      <c r="B783">
        <v>2019</v>
      </c>
      <c r="D783">
        <v>7.5</v>
      </c>
      <c r="E783">
        <v>7.7</v>
      </c>
      <c r="F783">
        <v>111</v>
      </c>
      <c r="G783">
        <v>859</v>
      </c>
      <c r="H783">
        <v>1155</v>
      </c>
      <c r="I783">
        <v>3134</v>
      </c>
      <c r="J783">
        <v>35</v>
      </c>
      <c r="K783">
        <v>3</v>
      </c>
      <c r="L783">
        <v>20</v>
      </c>
      <c r="M783">
        <v>141</v>
      </c>
      <c r="N783">
        <v>69</v>
      </c>
      <c r="O783">
        <v>2.5</v>
      </c>
      <c r="P783">
        <v>16.100000000000001</v>
      </c>
      <c r="Q783">
        <v>6.8</v>
      </c>
      <c r="R783">
        <v>29.8</v>
      </c>
      <c r="S783">
        <v>48.5</v>
      </c>
      <c r="T783">
        <v>14.9</v>
      </c>
      <c r="U783">
        <v>1.43</v>
      </c>
      <c r="V783">
        <v>5.13</v>
      </c>
      <c r="W783">
        <v>1.79</v>
      </c>
      <c r="X783" s="1">
        <v>43713</v>
      </c>
    </row>
    <row r="784" spans="1:24" x14ac:dyDescent="0.25">
      <c r="A784" t="s">
        <v>433</v>
      </c>
      <c r="B784">
        <v>2019</v>
      </c>
      <c r="D784">
        <v>7.5</v>
      </c>
      <c r="E784">
        <v>7.85</v>
      </c>
      <c r="F784">
        <v>115</v>
      </c>
      <c r="G784">
        <v>764</v>
      </c>
      <c r="H784">
        <v>1038</v>
      </c>
      <c r="I784">
        <v>2792</v>
      </c>
      <c r="J784">
        <v>59</v>
      </c>
      <c r="K784">
        <v>2.8</v>
      </c>
      <c r="L784">
        <v>17.3</v>
      </c>
      <c r="M784">
        <v>151</v>
      </c>
      <c r="N784">
        <v>64</v>
      </c>
      <c r="O784">
        <v>2.2000000000000002</v>
      </c>
      <c r="P784">
        <v>13.5</v>
      </c>
      <c r="Q784">
        <v>7.3</v>
      </c>
      <c r="R784">
        <v>32.1</v>
      </c>
      <c r="S784">
        <v>51.8</v>
      </c>
      <c r="T784">
        <v>8.9</v>
      </c>
      <c r="U784">
        <v>1.3</v>
      </c>
      <c r="V784">
        <v>11.1</v>
      </c>
      <c r="W784">
        <v>1.49</v>
      </c>
      <c r="X784" s="1">
        <v>43713</v>
      </c>
    </row>
    <row r="785" spans="1:24" x14ac:dyDescent="0.25">
      <c r="A785" t="s">
        <v>434</v>
      </c>
      <c r="B785">
        <v>2019</v>
      </c>
      <c r="D785">
        <v>7.6</v>
      </c>
      <c r="E785">
        <v>7.95</v>
      </c>
      <c r="F785">
        <v>235</v>
      </c>
      <c r="G785">
        <v>963</v>
      </c>
      <c r="H785">
        <v>871</v>
      </c>
      <c r="I785">
        <v>2611</v>
      </c>
      <c r="J785">
        <v>34</v>
      </c>
      <c r="K785">
        <v>2.2999999999999998</v>
      </c>
      <c r="L785">
        <v>15.2</v>
      </c>
      <c r="M785">
        <v>106</v>
      </c>
      <c r="N785">
        <v>70</v>
      </c>
      <c r="O785">
        <v>3</v>
      </c>
      <c r="P785">
        <v>11.8</v>
      </c>
      <c r="Q785">
        <v>10.5</v>
      </c>
      <c r="R785">
        <v>30.8</v>
      </c>
      <c r="S785">
        <v>55.4</v>
      </c>
      <c r="T785">
        <v>3.4</v>
      </c>
      <c r="U785">
        <v>1.31</v>
      </c>
      <c r="V785">
        <v>9.16</v>
      </c>
      <c r="W785">
        <v>1.85</v>
      </c>
      <c r="X785" s="1">
        <v>43713</v>
      </c>
    </row>
    <row r="786" spans="1:24" x14ac:dyDescent="0.25">
      <c r="A786" t="s">
        <v>435</v>
      </c>
      <c r="B786">
        <v>2019</v>
      </c>
      <c r="D786">
        <v>7.7</v>
      </c>
      <c r="E786">
        <v>7.8</v>
      </c>
      <c r="F786">
        <v>97</v>
      </c>
      <c r="G786">
        <v>796</v>
      </c>
      <c r="H786">
        <v>892</v>
      </c>
      <c r="I786">
        <v>2556</v>
      </c>
      <c r="J786">
        <v>26</v>
      </c>
      <c r="K786">
        <v>2.2999999999999998</v>
      </c>
      <c r="L786">
        <v>11.1</v>
      </c>
      <c r="M786">
        <v>108</v>
      </c>
      <c r="N786">
        <v>67</v>
      </c>
      <c r="O786">
        <v>2.5</v>
      </c>
      <c r="P786">
        <v>12.7</v>
      </c>
      <c r="Q786">
        <v>8</v>
      </c>
      <c r="R786">
        <v>29.2</v>
      </c>
      <c r="S786">
        <v>50.2</v>
      </c>
      <c r="T786">
        <v>12.6</v>
      </c>
      <c r="U786">
        <v>1.38</v>
      </c>
      <c r="V786">
        <v>3.53</v>
      </c>
      <c r="W786">
        <v>1.56</v>
      </c>
      <c r="X786" s="1">
        <v>43713</v>
      </c>
    </row>
    <row r="787" spans="1:24" x14ac:dyDescent="0.25">
      <c r="A787" t="s">
        <v>436</v>
      </c>
      <c r="B787">
        <v>2019</v>
      </c>
      <c r="D787">
        <v>7.6</v>
      </c>
      <c r="E787">
        <v>7.85</v>
      </c>
      <c r="F787">
        <v>224</v>
      </c>
      <c r="G787">
        <v>946</v>
      </c>
      <c r="H787">
        <v>946</v>
      </c>
      <c r="I787">
        <v>2656</v>
      </c>
      <c r="J787">
        <v>30</v>
      </c>
      <c r="K787">
        <v>2.4</v>
      </c>
      <c r="L787">
        <v>14.6</v>
      </c>
      <c r="M787">
        <v>109</v>
      </c>
      <c r="N787">
        <v>70</v>
      </c>
      <c r="O787">
        <v>2.2999999999999998</v>
      </c>
      <c r="P787">
        <v>13</v>
      </c>
      <c r="Q787">
        <v>9.3000000000000007</v>
      </c>
      <c r="R787">
        <v>30.3</v>
      </c>
      <c r="S787">
        <v>51.1</v>
      </c>
      <c r="T787">
        <v>9.1999999999999993</v>
      </c>
      <c r="U787">
        <v>1.3</v>
      </c>
      <c r="V787">
        <v>6.43</v>
      </c>
      <c r="W787">
        <v>1666</v>
      </c>
      <c r="X787" s="1">
        <v>43713</v>
      </c>
    </row>
    <row r="788" spans="1:24" x14ac:dyDescent="0.25">
      <c r="A788" t="s">
        <v>437</v>
      </c>
      <c r="B788">
        <v>2019</v>
      </c>
      <c r="D788">
        <v>8</v>
      </c>
      <c r="E788">
        <v>7.85</v>
      </c>
      <c r="F788">
        <v>250</v>
      </c>
      <c r="G788">
        <v>1550</v>
      </c>
      <c r="H788">
        <v>1336</v>
      </c>
      <c r="I788">
        <v>8979</v>
      </c>
      <c r="J788">
        <v>159</v>
      </c>
      <c r="K788">
        <v>4.0999999999999996</v>
      </c>
      <c r="L788">
        <v>12.4</v>
      </c>
      <c r="M788">
        <v>147</v>
      </c>
      <c r="N788">
        <v>87</v>
      </c>
      <c r="O788">
        <v>4.4000000000000004</v>
      </c>
      <c r="P788">
        <v>31.2</v>
      </c>
      <c r="Q788">
        <v>6.4</v>
      </c>
      <c r="R788">
        <v>17.8</v>
      </c>
      <c r="S788">
        <v>71.900000000000006</v>
      </c>
      <c r="T788">
        <v>3.8</v>
      </c>
      <c r="U788">
        <v>1.92</v>
      </c>
      <c r="V788">
        <v>111.88</v>
      </c>
      <c r="W788">
        <v>1.04</v>
      </c>
      <c r="X788" s="1">
        <v>43713</v>
      </c>
    </row>
    <row r="789" spans="1:24" x14ac:dyDescent="0.25">
      <c r="A789" t="s">
        <v>438</v>
      </c>
      <c r="B789">
        <v>2019</v>
      </c>
      <c r="D789">
        <v>8</v>
      </c>
      <c r="E789">
        <v>7.9</v>
      </c>
      <c r="F789">
        <v>486</v>
      </c>
      <c r="G789">
        <v>2109</v>
      </c>
      <c r="H789">
        <v>1869</v>
      </c>
      <c r="I789">
        <v>10597</v>
      </c>
      <c r="J789">
        <v>171</v>
      </c>
      <c r="K789">
        <v>5.6</v>
      </c>
      <c r="L789">
        <v>19.8</v>
      </c>
      <c r="M789">
        <v>133</v>
      </c>
      <c r="N789">
        <v>119</v>
      </c>
      <c r="O789">
        <v>4.7</v>
      </c>
      <c r="P789">
        <v>37.799999999999997</v>
      </c>
      <c r="Q789">
        <v>7.2</v>
      </c>
      <c r="R789">
        <v>20.6</v>
      </c>
      <c r="S789">
        <v>70.099999999999994</v>
      </c>
      <c r="T789">
        <v>2.1</v>
      </c>
      <c r="U789">
        <v>2.33</v>
      </c>
      <c r="V789">
        <v>124.87</v>
      </c>
      <c r="W789">
        <v>0.59</v>
      </c>
      <c r="X789" s="1">
        <v>43713</v>
      </c>
    </row>
    <row r="790" spans="1:24" x14ac:dyDescent="0.25">
      <c r="A790" t="s">
        <v>439</v>
      </c>
      <c r="B790">
        <v>2019</v>
      </c>
      <c r="D790">
        <v>8.1999999999999993</v>
      </c>
      <c r="E790">
        <v>7.75</v>
      </c>
      <c r="F790">
        <v>495</v>
      </c>
      <c r="G790">
        <v>1699</v>
      </c>
      <c r="H790">
        <v>1836</v>
      </c>
      <c r="I790">
        <v>9696</v>
      </c>
      <c r="J790">
        <v>154</v>
      </c>
      <c r="K790">
        <v>5.8</v>
      </c>
      <c r="L790">
        <v>18.5</v>
      </c>
      <c r="M790">
        <v>107</v>
      </c>
      <c r="N790">
        <v>159</v>
      </c>
      <c r="O790">
        <v>5</v>
      </c>
      <c r="P790">
        <v>36.1</v>
      </c>
      <c r="Q790">
        <v>6</v>
      </c>
      <c r="R790">
        <v>21.2</v>
      </c>
      <c r="S790">
        <v>67.2</v>
      </c>
      <c r="T790">
        <v>5.5</v>
      </c>
      <c r="U790">
        <v>2.17</v>
      </c>
      <c r="V790">
        <v>47.92</v>
      </c>
      <c r="W790">
        <v>1.36</v>
      </c>
      <c r="X790" s="1">
        <v>43713</v>
      </c>
    </row>
    <row r="791" spans="1:24" x14ac:dyDescent="0.25">
      <c r="A791" t="s">
        <v>218</v>
      </c>
      <c r="B791">
        <v>2019</v>
      </c>
      <c r="D791">
        <v>7.7</v>
      </c>
      <c r="E791">
        <v>7.75</v>
      </c>
      <c r="F791">
        <v>118</v>
      </c>
      <c r="G791">
        <v>1190</v>
      </c>
      <c r="H791">
        <v>1528</v>
      </c>
      <c r="I791">
        <v>4325</v>
      </c>
      <c r="J791">
        <v>43</v>
      </c>
      <c r="K791">
        <v>4.5999999999999996</v>
      </c>
      <c r="L791">
        <v>2.8</v>
      </c>
      <c r="M791">
        <v>243</v>
      </c>
      <c r="N791">
        <v>78</v>
      </c>
      <c r="O791">
        <v>4.3</v>
      </c>
      <c r="P791">
        <v>20.7</v>
      </c>
      <c r="Q791">
        <v>7.4</v>
      </c>
      <c r="R791">
        <v>30.7</v>
      </c>
      <c r="S791">
        <v>52.2</v>
      </c>
      <c r="T791">
        <v>9.6999999999999993</v>
      </c>
      <c r="U791">
        <v>1.46</v>
      </c>
      <c r="V791">
        <v>92.92</v>
      </c>
      <c r="W791">
        <v>2.04</v>
      </c>
      <c r="X791" s="1">
        <v>43714</v>
      </c>
    </row>
    <row r="792" spans="1:24" x14ac:dyDescent="0.25">
      <c r="A792" t="s">
        <v>219</v>
      </c>
      <c r="B792">
        <v>2019</v>
      </c>
      <c r="D792">
        <v>7.9</v>
      </c>
      <c r="E792">
        <v>7.85</v>
      </c>
      <c r="F792">
        <v>106</v>
      </c>
      <c r="G792">
        <v>1122</v>
      </c>
      <c r="H792">
        <v>1416</v>
      </c>
      <c r="I792">
        <v>3813</v>
      </c>
      <c r="J792">
        <v>51</v>
      </c>
      <c r="K792">
        <v>4.4000000000000004</v>
      </c>
      <c r="L792">
        <v>2.4</v>
      </c>
      <c r="M792">
        <v>230</v>
      </c>
      <c r="N792">
        <v>76</v>
      </c>
      <c r="O792">
        <v>4</v>
      </c>
      <c r="P792">
        <v>18.100000000000001</v>
      </c>
      <c r="Q792">
        <v>8</v>
      </c>
      <c r="R792">
        <v>32.6</v>
      </c>
      <c r="S792">
        <v>52.8</v>
      </c>
      <c r="T792">
        <v>6.6</v>
      </c>
      <c r="U792">
        <v>1.31</v>
      </c>
      <c r="V792">
        <v>35.979999999999997</v>
      </c>
      <c r="W792">
        <v>2.35</v>
      </c>
      <c r="X792" s="1">
        <v>43714</v>
      </c>
    </row>
    <row r="793" spans="1:24" x14ac:dyDescent="0.25">
      <c r="A793" t="s">
        <v>220</v>
      </c>
      <c r="B793">
        <v>2019</v>
      </c>
      <c r="D793">
        <v>8</v>
      </c>
      <c r="E793">
        <v>7.95</v>
      </c>
      <c r="F793">
        <v>85</v>
      </c>
      <c r="G793">
        <v>1058</v>
      </c>
      <c r="H793">
        <v>1366</v>
      </c>
      <c r="I793">
        <v>3451</v>
      </c>
      <c r="J793">
        <v>70</v>
      </c>
      <c r="K793">
        <v>4.4000000000000004</v>
      </c>
      <c r="L793">
        <v>2.1</v>
      </c>
      <c r="M793">
        <v>214</v>
      </c>
      <c r="N793">
        <v>78</v>
      </c>
      <c r="O793">
        <v>4</v>
      </c>
      <c r="P793">
        <v>16.100000000000001</v>
      </c>
      <c r="Q793">
        <v>8.4</v>
      </c>
      <c r="R793">
        <v>35.4</v>
      </c>
      <c r="S793">
        <v>53.7</v>
      </c>
      <c r="T793">
        <v>2.5</v>
      </c>
      <c r="U793">
        <v>1.1100000000000001</v>
      </c>
      <c r="V793">
        <v>35.1</v>
      </c>
      <c r="W793">
        <v>1.23</v>
      </c>
      <c r="X793" s="1">
        <v>43714</v>
      </c>
    </row>
    <row r="794" spans="1:24" x14ac:dyDescent="0.25">
      <c r="A794" t="s">
        <v>226</v>
      </c>
      <c r="B794">
        <v>2019</v>
      </c>
      <c r="D794">
        <v>7.7</v>
      </c>
      <c r="E794">
        <v>7.8</v>
      </c>
      <c r="F794">
        <v>46</v>
      </c>
      <c r="G794">
        <v>1134</v>
      </c>
      <c r="H794">
        <v>714</v>
      </c>
      <c r="I794">
        <v>5178</v>
      </c>
      <c r="J794">
        <v>24</v>
      </c>
      <c r="K794">
        <v>2.2000000000000002</v>
      </c>
      <c r="L794">
        <v>1.7</v>
      </c>
      <c r="M794">
        <v>265</v>
      </c>
      <c r="N794">
        <v>68</v>
      </c>
      <c r="O794">
        <v>3.9</v>
      </c>
      <c r="P794">
        <v>19</v>
      </c>
      <c r="Q794">
        <v>7.7</v>
      </c>
      <c r="R794">
        <v>15.7</v>
      </c>
      <c r="S794">
        <v>68.2</v>
      </c>
      <c r="T794">
        <v>8.4</v>
      </c>
      <c r="U794">
        <v>1.64</v>
      </c>
      <c r="V794">
        <v>21.22</v>
      </c>
      <c r="W794">
        <v>1.91</v>
      </c>
      <c r="X794" s="1">
        <v>43714</v>
      </c>
    </row>
    <row r="795" spans="1:24" x14ac:dyDescent="0.25">
      <c r="A795" t="s">
        <v>227</v>
      </c>
      <c r="B795">
        <v>2019</v>
      </c>
      <c r="D795">
        <v>7.7</v>
      </c>
      <c r="E795">
        <v>7.75</v>
      </c>
      <c r="F795">
        <v>43</v>
      </c>
      <c r="G795">
        <v>1005</v>
      </c>
      <c r="H795">
        <v>673</v>
      </c>
      <c r="I795">
        <v>4571</v>
      </c>
      <c r="J795">
        <v>21</v>
      </c>
      <c r="K795">
        <v>2.1</v>
      </c>
      <c r="L795">
        <v>4.3</v>
      </c>
      <c r="M795">
        <v>305</v>
      </c>
      <c r="N795">
        <v>78</v>
      </c>
      <c r="O795">
        <v>4.2</v>
      </c>
      <c r="P795">
        <v>17.5</v>
      </c>
      <c r="Q795">
        <v>7.4</v>
      </c>
      <c r="R795">
        <v>16</v>
      </c>
      <c r="S795">
        <v>65.2</v>
      </c>
      <c r="T795">
        <v>11.4</v>
      </c>
      <c r="U795">
        <v>1.47</v>
      </c>
      <c r="V795">
        <v>3.38</v>
      </c>
      <c r="W795">
        <v>1.52</v>
      </c>
      <c r="X795" s="1">
        <v>43714</v>
      </c>
    </row>
    <row r="796" spans="1:24" x14ac:dyDescent="0.25">
      <c r="A796" t="s">
        <v>228</v>
      </c>
      <c r="B796">
        <v>2019</v>
      </c>
      <c r="D796">
        <v>7.4</v>
      </c>
      <c r="E796">
        <v>7.8</v>
      </c>
      <c r="F796">
        <v>50</v>
      </c>
      <c r="G796">
        <v>782</v>
      </c>
      <c r="H796">
        <v>634</v>
      </c>
      <c r="I796">
        <v>4338</v>
      </c>
      <c r="J796">
        <v>17</v>
      </c>
      <c r="K796">
        <v>1.3</v>
      </c>
      <c r="L796">
        <v>1.3</v>
      </c>
      <c r="M796">
        <v>332</v>
      </c>
      <c r="N796">
        <v>91</v>
      </c>
      <c r="O796">
        <v>4.3</v>
      </c>
      <c r="P796">
        <v>16.100000000000001</v>
      </c>
      <c r="Q796">
        <v>6.2</v>
      </c>
      <c r="R796">
        <v>16.399999999999999</v>
      </c>
      <c r="S796">
        <v>67.400000000000006</v>
      </c>
      <c r="T796">
        <v>9.9</v>
      </c>
      <c r="U796">
        <v>1.36</v>
      </c>
      <c r="V796">
        <v>9.35</v>
      </c>
      <c r="W796">
        <v>0.39</v>
      </c>
      <c r="X796" s="1">
        <v>43714</v>
      </c>
    </row>
    <row r="797" spans="1:24" x14ac:dyDescent="0.25">
      <c r="A797" t="s">
        <v>370</v>
      </c>
      <c r="B797">
        <v>2019</v>
      </c>
      <c r="D797">
        <v>7.8</v>
      </c>
      <c r="E797">
        <v>7.9</v>
      </c>
      <c r="F797">
        <v>37</v>
      </c>
      <c r="G797">
        <v>823</v>
      </c>
      <c r="H797">
        <v>1216</v>
      </c>
      <c r="I797">
        <v>4322</v>
      </c>
      <c r="J797">
        <v>20</v>
      </c>
      <c r="K797">
        <v>2.9</v>
      </c>
      <c r="L797">
        <v>1</v>
      </c>
      <c r="M797">
        <v>185</v>
      </c>
      <c r="N797">
        <v>82</v>
      </c>
      <c r="O797">
        <v>3.9</v>
      </c>
      <c r="P797">
        <v>17.7</v>
      </c>
      <c r="Q797">
        <v>6</v>
      </c>
      <c r="R797">
        <v>28.6</v>
      </c>
      <c r="S797">
        <v>61</v>
      </c>
      <c r="T797">
        <v>4.5</v>
      </c>
      <c r="U797">
        <v>1.01</v>
      </c>
      <c r="V797">
        <v>50.83</v>
      </c>
      <c r="W797">
        <v>0.93</v>
      </c>
      <c r="X797" s="1">
        <v>43714</v>
      </c>
    </row>
    <row r="798" spans="1:24" x14ac:dyDescent="0.25">
      <c r="A798" t="s">
        <v>371</v>
      </c>
      <c r="B798">
        <v>2019</v>
      </c>
      <c r="D798">
        <v>7.2</v>
      </c>
      <c r="E798">
        <v>7.75</v>
      </c>
      <c r="F798">
        <v>39</v>
      </c>
      <c r="G798">
        <v>707</v>
      </c>
      <c r="H798">
        <v>1041</v>
      </c>
      <c r="I798">
        <v>3787</v>
      </c>
      <c r="J798">
        <v>21</v>
      </c>
      <c r="K798">
        <v>2.1</v>
      </c>
      <c r="L798">
        <v>1</v>
      </c>
      <c r="M798">
        <v>200</v>
      </c>
      <c r="N798">
        <v>77</v>
      </c>
      <c r="O798">
        <v>3.7</v>
      </c>
      <c r="P798">
        <v>16.7</v>
      </c>
      <c r="Q798">
        <v>5.4</v>
      </c>
      <c r="R798">
        <v>26</v>
      </c>
      <c r="S798">
        <v>56.7</v>
      </c>
      <c r="T798">
        <v>12</v>
      </c>
      <c r="U798">
        <v>0.92</v>
      </c>
      <c r="V798">
        <v>32.33</v>
      </c>
      <c r="W798">
        <v>2.13</v>
      </c>
      <c r="X798" s="1">
        <v>43714</v>
      </c>
    </row>
    <row r="799" spans="1:24" x14ac:dyDescent="0.25">
      <c r="A799" t="s">
        <v>372</v>
      </c>
      <c r="B799">
        <v>2019</v>
      </c>
      <c r="D799">
        <v>7.1</v>
      </c>
      <c r="E799">
        <v>7.7</v>
      </c>
      <c r="F799">
        <v>44</v>
      </c>
      <c r="G799">
        <v>716</v>
      </c>
      <c r="H799">
        <v>985</v>
      </c>
      <c r="I799">
        <v>3638</v>
      </c>
      <c r="J799">
        <v>20</v>
      </c>
      <c r="K799">
        <v>1.9</v>
      </c>
      <c r="L799">
        <v>0.9</v>
      </c>
      <c r="M799">
        <v>169</v>
      </c>
      <c r="N799">
        <v>92</v>
      </c>
      <c r="O799">
        <v>3.7</v>
      </c>
      <c r="P799">
        <v>16.5</v>
      </c>
      <c r="Q799">
        <v>5.6</v>
      </c>
      <c r="R799">
        <v>24.8</v>
      </c>
      <c r="S799">
        <v>55.1</v>
      </c>
      <c r="T799">
        <v>14.5</v>
      </c>
      <c r="U799">
        <v>0.99</v>
      </c>
      <c r="V799">
        <v>38.75</v>
      </c>
      <c r="W799">
        <v>1.86</v>
      </c>
      <c r="X799" s="1">
        <v>43714</v>
      </c>
    </row>
    <row r="800" spans="1:24" x14ac:dyDescent="0.25">
      <c r="A800" t="s">
        <v>392</v>
      </c>
      <c r="B800">
        <v>2019</v>
      </c>
      <c r="D800">
        <v>6.9</v>
      </c>
      <c r="E800">
        <v>7.65</v>
      </c>
      <c r="F800">
        <v>108</v>
      </c>
      <c r="G800">
        <v>1212</v>
      </c>
      <c r="H800">
        <v>1147</v>
      </c>
      <c r="I800">
        <v>4123</v>
      </c>
      <c r="J800">
        <v>23</v>
      </c>
      <c r="K800">
        <v>2</v>
      </c>
      <c r="L800">
        <v>4.5</v>
      </c>
      <c r="M800">
        <v>365</v>
      </c>
      <c r="N800">
        <v>102</v>
      </c>
      <c r="O800">
        <v>4.8</v>
      </c>
      <c r="P800">
        <v>19.399999999999999</v>
      </c>
      <c r="Q800">
        <v>8</v>
      </c>
      <c r="R800">
        <v>24.6</v>
      </c>
      <c r="S800">
        <v>53</v>
      </c>
      <c r="T800">
        <v>14.4</v>
      </c>
      <c r="U800">
        <v>1.42</v>
      </c>
      <c r="V800">
        <v>9.42</v>
      </c>
      <c r="W800">
        <v>1.88</v>
      </c>
      <c r="X800" s="1">
        <v>43719</v>
      </c>
    </row>
    <row r="801" spans="1:24" x14ac:dyDescent="0.25">
      <c r="A801" t="s">
        <v>393</v>
      </c>
      <c r="B801">
        <v>2019</v>
      </c>
      <c r="D801">
        <v>6.6</v>
      </c>
      <c r="E801">
        <v>7.55</v>
      </c>
      <c r="F801">
        <v>93</v>
      </c>
      <c r="G801">
        <v>1158</v>
      </c>
      <c r="H801">
        <v>1264</v>
      </c>
      <c r="I801">
        <v>4545</v>
      </c>
      <c r="J801">
        <v>16</v>
      </c>
      <c r="K801">
        <v>2.2000000000000002</v>
      </c>
      <c r="L801">
        <v>3.7</v>
      </c>
      <c r="M801">
        <v>441</v>
      </c>
      <c r="N801">
        <v>98</v>
      </c>
      <c r="O801">
        <v>4.9000000000000004</v>
      </c>
      <c r="P801">
        <v>21.7</v>
      </c>
      <c r="Q801">
        <v>6.8</v>
      </c>
      <c r="R801">
        <v>24.3</v>
      </c>
      <c r="S801">
        <v>52.3</v>
      </c>
      <c r="T801">
        <v>16.600000000000001</v>
      </c>
      <c r="U801">
        <v>1.23</v>
      </c>
      <c r="V801">
        <v>12.88</v>
      </c>
      <c r="W801">
        <v>2.92</v>
      </c>
      <c r="X801" s="1">
        <v>43719</v>
      </c>
    </row>
    <row r="802" spans="1:24" x14ac:dyDescent="0.25">
      <c r="A802" t="s">
        <v>394</v>
      </c>
      <c r="B802">
        <v>2019</v>
      </c>
      <c r="D802">
        <v>6.6</v>
      </c>
      <c r="E802">
        <v>7.4</v>
      </c>
      <c r="F802">
        <v>104</v>
      </c>
      <c r="G802">
        <v>1455</v>
      </c>
      <c r="H802">
        <v>1304</v>
      </c>
      <c r="I802">
        <v>4646</v>
      </c>
      <c r="J802">
        <v>24</v>
      </c>
      <c r="K802">
        <v>2.5</v>
      </c>
      <c r="L802">
        <v>4.4000000000000004</v>
      </c>
      <c r="M802">
        <v>447</v>
      </c>
      <c r="N802">
        <v>98</v>
      </c>
      <c r="O802">
        <v>4.9000000000000004</v>
      </c>
      <c r="P802">
        <v>23.7</v>
      </c>
      <c r="Q802">
        <v>7.9</v>
      </c>
      <c r="R802">
        <v>22.9</v>
      </c>
      <c r="S802">
        <v>49</v>
      </c>
      <c r="T802">
        <v>20.2</v>
      </c>
      <c r="U802">
        <v>1.41</v>
      </c>
      <c r="V802">
        <v>21.49</v>
      </c>
      <c r="W802">
        <v>5.6</v>
      </c>
      <c r="X802" s="1">
        <v>43719</v>
      </c>
    </row>
    <row r="803" spans="1:24" x14ac:dyDescent="0.25">
      <c r="A803" t="s">
        <v>395</v>
      </c>
      <c r="B803">
        <v>2019</v>
      </c>
      <c r="D803">
        <v>7.5</v>
      </c>
      <c r="E803">
        <v>7.8</v>
      </c>
      <c r="F803">
        <v>88</v>
      </c>
      <c r="G803">
        <v>1337</v>
      </c>
      <c r="H803">
        <v>1499</v>
      </c>
      <c r="I803">
        <v>5175</v>
      </c>
      <c r="J803">
        <v>24</v>
      </c>
      <c r="K803">
        <v>4.3</v>
      </c>
      <c r="L803">
        <v>6.5</v>
      </c>
      <c r="M803">
        <v>407</v>
      </c>
      <c r="N803">
        <v>88</v>
      </c>
      <c r="O803">
        <v>5.9</v>
      </c>
      <c r="P803">
        <v>22.5</v>
      </c>
      <c r="Q803">
        <v>7.6</v>
      </c>
      <c r="R803">
        <v>27.8</v>
      </c>
      <c r="S803">
        <v>57.5</v>
      </c>
      <c r="T803">
        <v>7.1</v>
      </c>
      <c r="U803">
        <v>1.53</v>
      </c>
      <c r="V803">
        <v>3.15</v>
      </c>
      <c r="W803">
        <v>2.37</v>
      </c>
      <c r="X803" s="1">
        <v>43719</v>
      </c>
    </row>
    <row r="804" spans="1:24" x14ac:dyDescent="0.25">
      <c r="A804" t="s">
        <v>396</v>
      </c>
      <c r="B804">
        <v>2019</v>
      </c>
      <c r="D804">
        <v>8</v>
      </c>
      <c r="E804">
        <v>7.75</v>
      </c>
      <c r="F804">
        <v>87</v>
      </c>
      <c r="G804">
        <v>1419</v>
      </c>
      <c r="H804">
        <v>1310</v>
      </c>
      <c r="I804">
        <v>4550</v>
      </c>
      <c r="J804">
        <v>20</v>
      </c>
      <c r="K804">
        <v>3.3</v>
      </c>
      <c r="L804">
        <v>4.0999999999999996</v>
      </c>
      <c r="M804">
        <v>355</v>
      </c>
      <c r="N804">
        <v>68</v>
      </c>
      <c r="O804">
        <v>5.2</v>
      </c>
      <c r="P804">
        <v>20.7</v>
      </c>
      <c r="Q804">
        <v>8.8000000000000007</v>
      </c>
      <c r="R804">
        <v>26.4</v>
      </c>
      <c r="S804">
        <v>55.1</v>
      </c>
      <c r="T804">
        <v>9.6999999999999993</v>
      </c>
      <c r="U804">
        <v>1.44</v>
      </c>
      <c r="V804">
        <v>4.29</v>
      </c>
      <c r="W804">
        <v>0.82</v>
      </c>
      <c r="X804" s="1">
        <v>43719</v>
      </c>
    </row>
    <row r="805" spans="1:24" x14ac:dyDescent="0.25">
      <c r="A805" t="s">
        <v>397</v>
      </c>
      <c r="B805">
        <v>2019</v>
      </c>
      <c r="D805">
        <v>7.5</v>
      </c>
      <c r="E805">
        <v>7.7</v>
      </c>
      <c r="F805">
        <v>108</v>
      </c>
      <c r="G805">
        <v>1055</v>
      </c>
      <c r="H805">
        <v>1192</v>
      </c>
      <c r="I805">
        <v>4029</v>
      </c>
      <c r="J805">
        <v>18</v>
      </c>
      <c r="K805">
        <v>3.1</v>
      </c>
      <c r="L805">
        <v>4.5999999999999996</v>
      </c>
      <c r="M805">
        <v>308</v>
      </c>
      <c r="N805">
        <v>65</v>
      </c>
      <c r="O805">
        <v>4.2</v>
      </c>
      <c r="P805">
        <v>18.8</v>
      </c>
      <c r="Q805">
        <v>7.2</v>
      </c>
      <c r="R805">
        <v>26.4</v>
      </c>
      <c r="S805">
        <v>53.6</v>
      </c>
      <c r="T805">
        <v>12.8</v>
      </c>
      <c r="U805">
        <v>1.58</v>
      </c>
      <c r="V805">
        <v>3.54</v>
      </c>
      <c r="W805">
        <v>1.46</v>
      </c>
      <c r="X805" s="1">
        <v>43719</v>
      </c>
    </row>
    <row r="806" spans="1:24" x14ac:dyDescent="0.25">
      <c r="A806" t="s">
        <v>398</v>
      </c>
      <c r="B806">
        <v>2019</v>
      </c>
      <c r="D806">
        <v>8.1</v>
      </c>
      <c r="E806">
        <v>7.6</v>
      </c>
      <c r="F806">
        <v>62</v>
      </c>
      <c r="G806">
        <v>1834</v>
      </c>
      <c r="H806">
        <v>1572</v>
      </c>
      <c r="I806">
        <v>6464</v>
      </c>
      <c r="J806">
        <v>22</v>
      </c>
      <c r="K806">
        <v>4.2</v>
      </c>
      <c r="L806">
        <v>5.2</v>
      </c>
      <c r="M806">
        <v>295</v>
      </c>
      <c r="N806">
        <v>73</v>
      </c>
      <c r="O806">
        <v>6</v>
      </c>
      <c r="P806">
        <v>28.3</v>
      </c>
      <c r="Q806">
        <v>8.3000000000000007</v>
      </c>
      <c r="R806">
        <v>23.2</v>
      </c>
      <c r="S806">
        <v>57.2</v>
      </c>
      <c r="T806">
        <v>11.3</v>
      </c>
      <c r="U806">
        <v>1.56</v>
      </c>
      <c r="V806">
        <v>8.9700000000000006</v>
      </c>
      <c r="W806">
        <v>3.94</v>
      </c>
      <c r="X806" s="1">
        <v>43719</v>
      </c>
    </row>
    <row r="807" spans="1:24" x14ac:dyDescent="0.25">
      <c r="A807" t="s">
        <v>399</v>
      </c>
      <c r="B807">
        <v>2019</v>
      </c>
      <c r="D807">
        <v>8.1999999999999993</v>
      </c>
      <c r="E807">
        <v>7.7</v>
      </c>
      <c r="F807">
        <v>29</v>
      </c>
      <c r="G807">
        <v>1359</v>
      </c>
      <c r="H807">
        <v>1655</v>
      </c>
      <c r="I807">
        <v>6215</v>
      </c>
      <c r="J807">
        <v>31</v>
      </c>
      <c r="K807">
        <v>4.2</v>
      </c>
      <c r="L807">
        <v>3.3</v>
      </c>
      <c r="M807">
        <v>281</v>
      </c>
      <c r="N807">
        <v>81</v>
      </c>
      <c r="O807">
        <v>5.6</v>
      </c>
      <c r="P807">
        <v>26.6</v>
      </c>
      <c r="Q807">
        <v>6.6</v>
      </c>
      <c r="R807">
        <v>25.9</v>
      </c>
      <c r="S807">
        <v>58.5</v>
      </c>
      <c r="T807">
        <v>9</v>
      </c>
      <c r="U807">
        <v>1.41</v>
      </c>
      <c r="V807">
        <v>21.64</v>
      </c>
      <c r="W807">
        <v>1.72</v>
      </c>
      <c r="X807" s="1">
        <v>43719</v>
      </c>
    </row>
    <row r="808" spans="1:24" x14ac:dyDescent="0.25">
      <c r="A808" t="s">
        <v>400</v>
      </c>
      <c r="B808">
        <v>2019</v>
      </c>
      <c r="D808">
        <v>8</v>
      </c>
      <c r="E808">
        <v>7.7</v>
      </c>
      <c r="F808">
        <v>29</v>
      </c>
      <c r="G808">
        <v>1607</v>
      </c>
      <c r="H808">
        <v>1319</v>
      </c>
      <c r="I808">
        <v>4875</v>
      </c>
      <c r="J808">
        <v>20</v>
      </c>
      <c r="K808">
        <v>3.2</v>
      </c>
      <c r="L808">
        <v>4.5</v>
      </c>
      <c r="M808">
        <v>233</v>
      </c>
      <c r="N808">
        <v>66</v>
      </c>
      <c r="O808">
        <v>4.8</v>
      </c>
      <c r="P808">
        <v>22.1</v>
      </c>
      <c r="Q808">
        <v>9.3000000000000007</v>
      </c>
      <c r="R808">
        <v>24.8</v>
      </c>
      <c r="S808">
        <v>55</v>
      </c>
      <c r="T808">
        <v>10.8</v>
      </c>
      <c r="U808">
        <v>1.44</v>
      </c>
      <c r="V808">
        <v>7.61</v>
      </c>
      <c r="W808">
        <v>1.57</v>
      </c>
      <c r="X808" s="1">
        <v>43719</v>
      </c>
    </row>
    <row r="809" spans="1:24" x14ac:dyDescent="0.25">
      <c r="A809" t="s">
        <v>401</v>
      </c>
      <c r="B809">
        <v>2019</v>
      </c>
      <c r="D809">
        <v>8</v>
      </c>
      <c r="E809">
        <v>7.7</v>
      </c>
      <c r="F809">
        <v>33</v>
      </c>
      <c r="G809">
        <v>1537</v>
      </c>
      <c r="H809">
        <v>1548</v>
      </c>
      <c r="I809">
        <v>5670</v>
      </c>
      <c r="J809">
        <v>17</v>
      </c>
      <c r="K809">
        <v>4</v>
      </c>
      <c r="L809">
        <v>3.7</v>
      </c>
      <c r="M809">
        <v>275</v>
      </c>
      <c r="N809">
        <v>71</v>
      </c>
      <c r="O809">
        <v>5</v>
      </c>
      <c r="P809">
        <v>25</v>
      </c>
      <c r="Q809">
        <v>7.9</v>
      </c>
      <c r="R809">
        <v>25.8</v>
      </c>
      <c r="S809">
        <v>56.7</v>
      </c>
      <c r="T809">
        <v>9.6</v>
      </c>
      <c r="U809">
        <v>1.61</v>
      </c>
      <c r="V809">
        <v>5.12</v>
      </c>
      <c r="W809">
        <v>3.32</v>
      </c>
      <c r="X809" s="1">
        <v>43719</v>
      </c>
    </row>
    <row r="810" spans="1:24" x14ac:dyDescent="0.25">
      <c r="A810" t="s">
        <v>402</v>
      </c>
      <c r="B810">
        <v>2019</v>
      </c>
      <c r="D810">
        <v>8.1999999999999993</v>
      </c>
      <c r="E810">
        <v>7.65</v>
      </c>
      <c r="F810">
        <v>20</v>
      </c>
      <c r="G810">
        <v>1309</v>
      </c>
      <c r="H810">
        <v>1896</v>
      </c>
      <c r="I810">
        <v>6245</v>
      </c>
      <c r="J810">
        <v>18</v>
      </c>
      <c r="K810">
        <v>4.5999999999999996</v>
      </c>
      <c r="L810">
        <v>4.2</v>
      </c>
      <c r="M810">
        <v>301</v>
      </c>
      <c r="N810">
        <v>75</v>
      </c>
      <c r="O810">
        <v>5.9</v>
      </c>
      <c r="P810">
        <v>28</v>
      </c>
      <c r="Q810">
        <v>6</v>
      </c>
      <c r="R810">
        <v>28.2</v>
      </c>
      <c r="S810">
        <v>55.8</v>
      </c>
      <c r="T810">
        <v>10</v>
      </c>
      <c r="U810">
        <v>1.41</v>
      </c>
      <c r="V810">
        <v>1.02</v>
      </c>
      <c r="W810">
        <v>1.91</v>
      </c>
      <c r="X810" s="1">
        <v>43719</v>
      </c>
    </row>
    <row r="811" spans="1:24" x14ac:dyDescent="0.25">
      <c r="A811" t="s">
        <v>403</v>
      </c>
      <c r="B811">
        <v>2019</v>
      </c>
      <c r="D811">
        <v>8.1999999999999993</v>
      </c>
      <c r="E811">
        <v>7.65</v>
      </c>
      <c r="F811">
        <v>20</v>
      </c>
      <c r="G811">
        <v>1127</v>
      </c>
      <c r="H811">
        <v>1786</v>
      </c>
      <c r="I811">
        <v>5755</v>
      </c>
      <c r="J811">
        <v>18</v>
      </c>
      <c r="K811">
        <v>4.0999999999999996</v>
      </c>
      <c r="L811">
        <v>3.8</v>
      </c>
      <c r="M811">
        <v>294</v>
      </c>
      <c r="N811">
        <v>74</v>
      </c>
      <c r="O811">
        <v>5.6</v>
      </c>
      <c r="P811">
        <v>26.1</v>
      </c>
      <c r="Q811">
        <v>5.5</v>
      </c>
      <c r="R811">
        <v>28.5</v>
      </c>
      <c r="S811">
        <v>55.2</v>
      </c>
      <c r="T811">
        <v>10.7</v>
      </c>
      <c r="U811">
        <v>1.39</v>
      </c>
      <c r="V811">
        <v>1.59</v>
      </c>
      <c r="W811">
        <v>2.4300000000000002</v>
      </c>
      <c r="X811" s="1">
        <v>43719</v>
      </c>
    </row>
    <row r="812" spans="1:24" x14ac:dyDescent="0.25">
      <c r="A812" t="s">
        <v>404</v>
      </c>
      <c r="B812">
        <v>2019</v>
      </c>
      <c r="D812">
        <v>6.1</v>
      </c>
      <c r="E812">
        <v>7.55</v>
      </c>
      <c r="F812">
        <v>75</v>
      </c>
      <c r="G812">
        <v>1256</v>
      </c>
      <c r="H812">
        <v>1216</v>
      </c>
      <c r="I812">
        <v>3776</v>
      </c>
      <c r="J812">
        <v>33</v>
      </c>
      <c r="K812">
        <v>1.6</v>
      </c>
      <c r="L812">
        <v>1.8</v>
      </c>
      <c r="M812">
        <v>379</v>
      </c>
      <c r="N812">
        <v>104</v>
      </c>
      <c r="O812">
        <v>3.9</v>
      </c>
      <c r="P812">
        <v>19.7</v>
      </c>
      <c r="Q812">
        <v>8.1999999999999993</v>
      </c>
      <c r="R812">
        <v>25.7</v>
      </c>
      <c r="S812">
        <v>47.9</v>
      </c>
      <c r="T812">
        <v>18.3</v>
      </c>
      <c r="U812">
        <v>1.1399999999999999</v>
      </c>
      <c r="V812">
        <v>50.67</v>
      </c>
      <c r="W812">
        <v>4.05</v>
      </c>
      <c r="X812" s="1">
        <v>43719</v>
      </c>
    </row>
    <row r="813" spans="1:24" x14ac:dyDescent="0.25">
      <c r="A813" t="s">
        <v>405</v>
      </c>
      <c r="B813">
        <v>2019</v>
      </c>
      <c r="D813">
        <v>6.5</v>
      </c>
      <c r="E813">
        <v>7.6</v>
      </c>
      <c r="F813">
        <v>69</v>
      </c>
      <c r="G813">
        <v>1209</v>
      </c>
      <c r="H813">
        <v>1189</v>
      </c>
      <c r="I813">
        <v>3981</v>
      </c>
      <c r="J813">
        <v>25</v>
      </c>
      <c r="K813">
        <v>1.7</v>
      </c>
      <c r="L813">
        <v>1.9</v>
      </c>
      <c r="M813">
        <v>350</v>
      </c>
      <c r="N813">
        <v>94</v>
      </c>
      <c r="O813">
        <v>3.7</v>
      </c>
      <c r="P813">
        <v>19.7</v>
      </c>
      <c r="Q813">
        <v>7.9</v>
      </c>
      <c r="R813">
        <v>25.2</v>
      </c>
      <c r="S813">
        <v>50.6</v>
      </c>
      <c r="T813">
        <v>16.3</v>
      </c>
      <c r="U813">
        <v>1.25</v>
      </c>
      <c r="V813">
        <v>30.63</v>
      </c>
      <c r="W813">
        <v>3.1</v>
      </c>
      <c r="X813" s="1">
        <v>43719</v>
      </c>
    </row>
    <row r="814" spans="1:24" x14ac:dyDescent="0.25">
      <c r="A814" t="s">
        <v>406</v>
      </c>
      <c r="B814">
        <v>2019</v>
      </c>
      <c r="D814">
        <v>6.2</v>
      </c>
      <c r="E814">
        <v>7.45</v>
      </c>
      <c r="F814">
        <v>73</v>
      </c>
      <c r="G814">
        <v>1079</v>
      </c>
      <c r="H814">
        <v>1168</v>
      </c>
      <c r="I814">
        <v>3786</v>
      </c>
      <c r="J814">
        <v>27</v>
      </c>
      <c r="K814">
        <v>1.4</v>
      </c>
      <c r="L814">
        <v>4.5</v>
      </c>
      <c r="M814">
        <v>333</v>
      </c>
      <c r="N814">
        <v>103</v>
      </c>
      <c r="O814">
        <v>5.0999999999999996</v>
      </c>
      <c r="P814">
        <v>20.100000000000001</v>
      </c>
      <c r="Q814">
        <v>6.9</v>
      </c>
      <c r="R814">
        <v>24.2</v>
      </c>
      <c r="S814">
        <v>47.1</v>
      </c>
      <c r="T814">
        <v>21.9</v>
      </c>
      <c r="U814">
        <v>1.2</v>
      </c>
      <c r="V814">
        <v>10.41</v>
      </c>
      <c r="W814">
        <v>2.86</v>
      </c>
      <c r="X814" s="1">
        <v>43719</v>
      </c>
    </row>
    <row r="815" spans="1:24" x14ac:dyDescent="0.25">
      <c r="A815" t="s">
        <v>407</v>
      </c>
      <c r="B815">
        <v>2019</v>
      </c>
      <c r="D815">
        <v>8.3000000000000007</v>
      </c>
      <c r="E815">
        <v>7.7</v>
      </c>
      <c r="F815">
        <v>55</v>
      </c>
      <c r="G815">
        <v>966</v>
      </c>
      <c r="H815">
        <v>1626</v>
      </c>
      <c r="I815">
        <v>7128</v>
      </c>
      <c r="J815">
        <v>24</v>
      </c>
      <c r="K815">
        <v>4.5</v>
      </c>
      <c r="L815">
        <v>5.0999999999999996</v>
      </c>
      <c r="M815">
        <v>275</v>
      </c>
      <c r="N815">
        <v>69</v>
      </c>
      <c r="O815">
        <v>5.6</v>
      </c>
      <c r="P815">
        <v>28.2</v>
      </c>
      <c r="Q815">
        <v>4.4000000000000004</v>
      </c>
      <c r="R815">
        <v>24</v>
      </c>
      <c r="S815">
        <v>63.1</v>
      </c>
      <c r="T815">
        <v>8.5</v>
      </c>
      <c r="U815">
        <v>1.29</v>
      </c>
      <c r="V815">
        <v>8.2799999999999994</v>
      </c>
      <c r="W815">
        <v>2.19</v>
      </c>
      <c r="X815" s="1">
        <v>43719</v>
      </c>
    </row>
    <row r="816" spans="1:24" x14ac:dyDescent="0.25">
      <c r="A816" t="s">
        <v>408</v>
      </c>
      <c r="B816">
        <v>2019</v>
      </c>
      <c r="D816">
        <v>7.5</v>
      </c>
      <c r="E816">
        <v>7.65</v>
      </c>
      <c r="F816">
        <v>53</v>
      </c>
      <c r="G816">
        <v>1042</v>
      </c>
      <c r="H816">
        <v>1622</v>
      </c>
      <c r="I816">
        <v>5132</v>
      </c>
      <c r="J816">
        <v>18</v>
      </c>
      <c r="K816">
        <v>3.1</v>
      </c>
      <c r="L816">
        <v>2.4</v>
      </c>
      <c r="M816">
        <v>252</v>
      </c>
      <c r="N816">
        <v>71</v>
      </c>
      <c r="O816">
        <v>4.7</v>
      </c>
      <c r="P816">
        <v>23.7</v>
      </c>
      <c r="Q816">
        <v>5.6</v>
      </c>
      <c r="R816">
        <v>28.5</v>
      </c>
      <c r="S816">
        <v>54.1</v>
      </c>
      <c r="T816">
        <v>11.8</v>
      </c>
      <c r="U816">
        <v>1.43</v>
      </c>
      <c r="V816">
        <v>3.76</v>
      </c>
      <c r="W816">
        <v>1.69</v>
      </c>
      <c r="X816" s="1">
        <v>43719</v>
      </c>
    </row>
    <row r="817" spans="1:24" x14ac:dyDescent="0.25">
      <c r="A817" t="s">
        <v>409</v>
      </c>
      <c r="B817">
        <v>2019</v>
      </c>
      <c r="D817">
        <v>7.6</v>
      </c>
      <c r="E817">
        <v>7.65</v>
      </c>
      <c r="F817">
        <v>60</v>
      </c>
      <c r="G817">
        <v>1333</v>
      </c>
      <c r="H817">
        <v>1732</v>
      </c>
      <c r="I817">
        <v>5687</v>
      </c>
      <c r="J817">
        <v>27</v>
      </c>
      <c r="K817">
        <v>3.6</v>
      </c>
      <c r="L817">
        <v>2.8</v>
      </c>
      <c r="M817">
        <v>288</v>
      </c>
      <c r="N817">
        <v>67</v>
      </c>
      <c r="O817">
        <v>5.2</v>
      </c>
      <c r="P817">
        <v>25.9</v>
      </c>
      <c r="Q817">
        <v>6.6</v>
      </c>
      <c r="R817">
        <v>27.8</v>
      </c>
      <c r="S817">
        <v>54.8</v>
      </c>
      <c r="T817">
        <v>10.8</v>
      </c>
      <c r="U817">
        <v>1.21</v>
      </c>
      <c r="V817">
        <v>11.66</v>
      </c>
      <c r="W817">
        <v>2.37</v>
      </c>
      <c r="X817" s="1">
        <v>43719</v>
      </c>
    </row>
    <row r="818" spans="1:24" x14ac:dyDescent="0.25">
      <c r="A818" t="s">
        <v>410</v>
      </c>
      <c r="B818">
        <v>2019</v>
      </c>
      <c r="D818">
        <v>8.3000000000000007</v>
      </c>
      <c r="E818">
        <v>7.8</v>
      </c>
      <c r="F818">
        <v>108</v>
      </c>
      <c r="G818">
        <v>732</v>
      </c>
      <c r="H818">
        <v>1308</v>
      </c>
      <c r="I818">
        <v>2121</v>
      </c>
      <c r="J818">
        <v>35</v>
      </c>
      <c r="K818">
        <v>3.9</v>
      </c>
      <c r="L818">
        <v>4.5</v>
      </c>
      <c r="M818">
        <v>135</v>
      </c>
      <c r="N818">
        <v>73</v>
      </c>
      <c r="O818">
        <v>2.1</v>
      </c>
      <c r="P818">
        <v>13.3</v>
      </c>
      <c r="Q818">
        <v>7.1</v>
      </c>
      <c r="R818">
        <v>41</v>
      </c>
      <c r="S818">
        <v>39.9</v>
      </c>
      <c r="T818">
        <v>12</v>
      </c>
      <c r="U818">
        <v>0.38</v>
      </c>
      <c r="V818">
        <v>2.95</v>
      </c>
      <c r="W818">
        <v>1.55</v>
      </c>
      <c r="X818" s="1">
        <v>43719</v>
      </c>
    </row>
    <row r="819" spans="1:24" x14ac:dyDescent="0.25">
      <c r="A819" t="s">
        <v>411</v>
      </c>
      <c r="B819">
        <v>2019</v>
      </c>
      <c r="D819">
        <v>8.6999999999999993</v>
      </c>
      <c r="E819">
        <v>7.85</v>
      </c>
      <c r="F819">
        <v>92</v>
      </c>
      <c r="G819">
        <v>643</v>
      </c>
      <c r="H819">
        <v>1465</v>
      </c>
      <c r="I819">
        <v>2333</v>
      </c>
      <c r="J819">
        <v>30</v>
      </c>
      <c r="K819">
        <v>4.8</v>
      </c>
      <c r="L819">
        <v>8.6999999999999993</v>
      </c>
      <c r="M819">
        <v>119</v>
      </c>
      <c r="N819">
        <v>79</v>
      </c>
      <c r="O819">
        <v>2.1</v>
      </c>
      <c r="P819">
        <v>14</v>
      </c>
      <c r="Q819">
        <v>5.9</v>
      </c>
      <c r="R819">
        <v>43.7</v>
      </c>
      <c r="S819">
        <v>41.8</v>
      </c>
      <c r="T819">
        <v>8.6</v>
      </c>
      <c r="U819">
        <v>0.36</v>
      </c>
      <c r="V819">
        <v>1.25</v>
      </c>
      <c r="W819">
        <v>1.06</v>
      </c>
      <c r="X819" s="1">
        <v>43719</v>
      </c>
    </row>
    <row r="820" spans="1:24" x14ac:dyDescent="0.25">
      <c r="A820" t="s">
        <v>412</v>
      </c>
      <c r="B820">
        <v>2019</v>
      </c>
      <c r="D820">
        <v>8.1</v>
      </c>
      <c r="E820">
        <v>7.85</v>
      </c>
      <c r="F820">
        <v>131</v>
      </c>
      <c r="G820">
        <v>608</v>
      </c>
      <c r="H820">
        <v>1257</v>
      </c>
      <c r="I820">
        <v>1865</v>
      </c>
      <c r="J820">
        <v>35</v>
      </c>
      <c r="K820">
        <v>3.1</v>
      </c>
      <c r="L820">
        <v>5.4</v>
      </c>
      <c r="M820">
        <v>113</v>
      </c>
      <c r="N820">
        <v>71</v>
      </c>
      <c r="O820">
        <v>1.9</v>
      </c>
      <c r="P820">
        <v>11.9</v>
      </c>
      <c r="Q820">
        <v>6.6</v>
      </c>
      <c r="R820">
        <v>44.1</v>
      </c>
      <c r="S820">
        <v>39.200000000000003</v>
      </c>
      <c r="T820">
        <v>10.1</v>
      </c>
      <c r="U820">
        <v>0.31</v>
      </c>
      <c r="V820">
        <v>2.35</v>
      </c>
      <c r="W820">
        <v>1.48</v>
      </c>
      <c r="X820" s="1">
        <v>43719</v>
      </c>
    </row>
    <row r="821" spans="1:24" x14ac:dyDescent="0.25">
      <c r="A821" t="s">
        <v>413</v>
      </c>
      <c r="B821">
        <v>2019</v>
      </c>
      <c r="D821">
        <v>8.5</v>
      </c>
      <c r="E821">
        <v>7.75</v>
      </c>
      <c r="F821">
        <v>37</v>
      </c>
      <c r="G821">
        <v>979</v>
      </c>
      <c r="H821">
        <v>492</v>
      </c>
      <c r="I821">
        <v>14344</v>
      </c>
      <c r="J821">
        <v>23</v>
      </c>
      <c r="K821">
        <v>3.1</v>
      </c>
      <c r="L821">
        <v>3.8</v>
      </c>
      <c r="M821">
        <v>223</v>
      </c>
      <c r="N821">
        <v>46</v>
      </c>
      <c r="O821">
        <v>4.5</v>
      </c>
      <c r="P821">
        <v>41.2</v>
      </c>
      <c r="Q821">
        <v>3</v>
      </c>
      <c r="R821">
        <v>5</v>
      </c>
      <c r="S821">
        <v>87.1</v>
      </c>
      <c r="T821">
        <v>4.9000000000000004</v>
      </c>
      <c r="U821">
        <v>1.01</v>
      </c>
      <c r="V821">
        <v>12.84</v>
      </c>
      <c r="W821">
        <v>4.16</v>
      </c>
      <c r="X821" s="1">
        <v>43719</v>
      </c>
    </row>
    <row r="822" spans="1:24" x14ac:dyDescent="0.25">
      <c r="A822" t="s">
        <v>414</v>
      </c>
      <c r="B822">
        <v>2019</v>
      </c>
      <c r="D822">
        <v>8.4</v>
      </c>
      <c r="E822">
        <v>7.7</v>
      </c>
      <c r="F822">
        <v>38</v>
      </c>
      <c r="G822">
        <v>854</v>
      </c>
      <c r="H822">
        <v>413</v>
      </c>
      <c r="I822">
        <v>11005</v>
      </c>
      <c r="J822">
        <v>24</v>
      </c>
      <c r="K822">
        <v>2.8</v>
      </c>
      <c r="L822">
        <v>1.7</v>
      </c>
      <c r="M822">
        <v>205</v>
      </c>
      <c r="N822">
        <v>48</v>
      </c>
      <c r="O822">
        <v>4.0999999999999996</v>
      </c>
      <c r="P822">
        <v>32.700000000000003</v>
      </c>
      <c r="Q822">
        <v>3.3</v>
      </c>
      <c r="R822">
        <v>5.3</v>
      </c>
      <c r="S822">
        <v>84.1</v>
      </c>
      <c r="T822">
        <v>7.3</v>
      </c>
      <c r="U822">
        <v>0.93</v>
      </c>
      <c r="V822">
        <v>27.84</v>
      </c>
      <c r="W822">
        <v>1.56</v>
      </c>
      <c r="X822" s="1">
        <v>43719</v>
      </c>
    </row>
    <row r="823" spans="1:24" x14ac:dyDescent="0.25">
      <c r="A823" t="s">
        <v>415</v>
      </c>
      <c r="B823">
        <v>2019</v>
      </c>
      <c r="D823">
        <v>8.4</v>
      </c>
      <c r="E823">
        <v>7.7</v>
      </c>
      <c r="F823">
        <v>37</v>
      </c>
      <c r="G823">
        <v>932</v>
      </c>
      <c r="H823">
        <v>437</v>
      </c>
      <c r="I823">
        <v>11292</v>
      </c>
      <c r="J823">
        <v>24</v>
      </c>
      <c r="K823">
        <v>2.8</v>
      </c>
      <c r="L823">
        <v>2.2999999999999998</v>
      </c>
      <c r="M823">
        <v>223</v>
      </c>
      <c r="N823">
        <v>49</v>
      </c>
      <c r="O823">
        <v>4.2</v>
      </c>
      <c r="P823">
        <v>33.6</v>
      </c>
      <c r="Q823">
        <v>3.6</v>
      </c>
      <c r="R823">
        <v>5.4</v>
      </c>
      <c r="S823">
        <v>83.9</v>
      </c>
      <c r="T823">
        <v>7.1</v>
      </c>
      <c r="U823">
        <v>1.1100000000000001</v>
      </c>
      <c r="V823">
        <v>17.309999999999999</v>
      </c>
      <c r="W823">
        <v>1.86</v>
      </c>
      <c r="X823" s="1">
        <v>43719</v>
      </c>
    </row>
    <row r="824" spans="1:24" x14ac:dyDescent="0.25">
      <c r="A824" t="s">
        <v>416</v>
      </c>
      <c r="B824">
        <v>2019</v>
      </c>
      <c r="D824">
        <v>8.5</v>
      </c>
      <c r="E824">
        <v>7.75</v>
      </c>
      <c r="F824">
        <v>35</v>
      </c>
      <c r="G824">
        <v>971</v>
      </c>
      <c r="H824">
        <v>402</v>
      </c>
      <c r="I824">
        <v>9853</v>
      </c>
      <c r="J824">
        <v>20</v>
      </c>
      <c r="K824">
        <v>2.7</v>
      </c>
      <c r="L824">
        <v>1.7</v>
      </c>
      <c r="M824">
        <v>246</v>
      </c>
      <c r="N824">
        <v>47</v>
      </c>
      <c r="O824">
        <v>4.2</v>
      </c>
      <c r="P824">
        <v>29.6</v>
      </c>
      <c r="Q824">
        <v>4.2</v>
      </c>
      <c r="R824">
        <v>5.7</v>
      </c>
      <c r="S824">
        <v>83.4</v>
      </c>
      <c r="T824">
        <v>6.8</v>
      </c>
      <c r="U824">
        <v>1.02</v>
      </c>
      <c r="V824">
        <v>12.25</v>
      </c>
      <c r="W824">
        <v>1.5</v>
      </c>
      <c r="X824" s="1">
        <v>43719</v>
      </c>
    </row>
    <row r="825" spans="1:24" x14ac:dyDescent="0.25">
      <c r="A825" t="s">
        <v>417</v>
      </c>
      <c r="B825">
        <v>2019</v>
      </c>
      <c r="D825">
        <v>8.4</v>
      </c>
      <c r="E825">
        <v>7.75</v>
      </c>
      <c r="F825">
        <v>34</v>
      </c>
      <c r="G825">
        <v>1025</v>
      </c>
      <c r="H825">
        <v>453</v>
      </c>
      <c r="I825">
        <v>11647</v>
      </c>
      <c r="J825">
        <v>21</v>
      </c>
      <c r="K825">
        <v>2.8</v>
      </c>
      <c r="L825">
        <v>6.5</v>
      </c>
      <c r="M825">
        <v>253</v>
      </c>
      <c r="N825">
        <v>49</v>
      </c>
      <c r="O825">
        <v>4.4000000000000004</v>
      </c>
      <c r="P825">
        <v>34.299999999999997</v>
      </c>
      <c r="Q825">
        <v>3.8</v>
      </c>
      <c r="R825">
        <v>5.5</v>
      </c>
      <c r="S825">
        <v>84.8</v>
      </c>
      <c r="T825">
        <v>5.8</v>
      </c>
      <c r="U825">
        <v>1.0900000000000001</v>
      </c>
      <c r="V825">
        <v>15.54</v>
      </c>
      <c r="W825">
        <v>2.4700000000000002</v>
      </c>
      <c r="X825" s="1">
        <v>43719</v>
      </c>
    </row>
    <row r="826" spans="1:24" x14ac:dyDescent="0.25">
      <c r="A826" t="s">
        <v>418</v>
      </c>
      <c r="B826">
        <v>2019</v>
      </c>
      <c r="D826">
        <v>8.4</v>
      </c>
      <c r="E826">
        <v>7.8</v>
      </c>
      <c r="F826">
        <v>33</v>
      </c>
      <c r="G826">
        <v>937</v>
      </c>
      <c r="H826">
        <v>442</v>
      </c>
      <c r="I826">
        <v>11651</v>
      </c>
      <c r="J826">
        <v>20</v>
      </c>
      <c r="K826">
        <v>2.8</v>
      </c>
      <c r="L826">
        <v>2.5</v>
      </c>
      <c r="M826">
        <v>224</v>
      </c>
      <c r="N826">
        <v>48</v>
      </c>
      <c r="O826">
        <v>4.4000000000000004</v>
      </c>
      <c r="P826">
        <v>33.799999999999997</v>
      </c>
      <c r="Q826">
        <v>3.6</v>
      </c>
      <c r="R826">
        <v>5.5</v>
      </c>
      <c r="S826">
        <v>86.3</v>
      </c>
      <c r="T826">
        <v>4.7</v>
      </c>
      <c r="U826">
        <v>0.99</v>
      </c>
      <c r="V826">
        <v>9.39</v>
      </c>
      <c r="W826">
        <v>2.2400000000000002</v>
      </c>
      <c r="X826" s="1">
        <v>43719</v>
      </c>
    </row>
    <row r="827" spans="1:24" x14ac:dyDescent="0.25">
      <c r="A827" t="s">
        <v>419</v>
      </c>
      <c r="B827">
        <v>2019</v>
      </c>
      <c r="D827">
        <v>7.8</v>
      </c>
      <c r="E827">
        <v>7.7</v>
      </c>
      <c r="F827">
        <v>13</v>
      </c>
      <c r="G827">
        <v>420</v>
      </c>
      <c r="H827">
        <v>274</v>
      </c>
      <c r="I827">
        <v>2752</v>
      </c>
      <c r="J827">
        <v>15</v>
      </c>
      <c r="K827">
        <v>0.8</v>
      </c>
      <c r="L827">
        <v>1.6</v>
      </c>
      <c r="M827">
        <v>99</v>
      </c>
      <c r="N827">
        <v>65</v>
      </c>
      <c r="O827">
        <v>1.7</v>
      </c>
      <c r="P827">
        <v>11</v>
      </c>
      <c r="Q827">
        <v>4.9000000000000004</v>
      </c>
      <c r="R827">
        <v>10.4</v>
      </c>
      <c r="S827">
        <v>62.8</v>
      </c>
      <c r="T827">
        <v>21.9</v>
      </c>
      <c r="U827">
        <v>0.25</v>
      </c>
      <c r="V827">
        <v>6.62</v>
      </c>
      <c r="W827">
        <v>0.59</v>
      </c>
      <c r="X827" s="1">
        <v>43719</v>
      </c>
    </row>
    <row r="828" spans="1:24" x14ac:dyDescent="0.25">
      <c r="A828" t="s">
        <v>420</v>
      </c>
      <c r="B828">
        <v>2019</v>
      </c>
      <c r="D828">
        <v>7.8</v>
      </c>
      <c r="E828">
        <v>7.7</v>
      </c>
      <c r="F828">
        <v>21</v>
      </c>
      <c r="G828">
        <v>594</v>
      </c>
      <c r="H828">
        <v>395</v>
      </c>
      <c r="I828">
        <v>3560</v>
      </c>
      <c r="J828">
        <v>15</v>
      </c>
      <c r="K828">
        <v>1</v>
      </c>
      <c r="L828">
        <v>2.5</v>
      </c>
      <c r="M828">
        <v>132</v>
      </c>
      <c r="N828">
        <v>74</v>
      </c>
      <c r="O828">
        <v>2.2000000000000002</v>
      </c>
      <c r="P828">
        <v>13.7</v>
      </c>
      <c r="Q828">
        <v>5.6</v>
      </c>
      <c r="R828">
        <v>12</v>
      </c>
      <c r="S828">
        <v>64.900000000000006</v>
      </c>
      <c r="T828">
        <v>17.5</v>
      </c>
      <c r="U828">
        <v>0.37</v>
      </c>
      <c r="V828">
        <v>9.08</v>
      </c>
      <c r="W828">
        <v>1.59</v>
      </c>
      <c r="X828" s="1">
        <v>43719</v>
      </c>
    </row>
    <row r="829" spans="1:24" x14ac:dyDescent="0.25">
      <c r="A829" t="s">
        <v>421</v>
      </c>
      <c r="B829">
        <v>2019</v>
      </c>
      <c r="D829">
        <v>7.9</v>
      </c>
      <c r="E829">
        <v>7.8</v>
      </c>
      <c r="F829">
        <v>14</v>
      </c>
      <c r="G829">
        <v>413</v>
      </c>
      <c r="H829">
        <v>277</v>
      </c>
      <c r="I829">
        <v>2328</v>
      </c>
      <c r="J829">
        <v>12</v>
      </c>
      <c r="K829">
        <v>0.7</v>
      </c>
      <c r="L829">
        <v>1</v>
      </c>
      <c r="M829">
        <v>81</v>
      </c>
      <c r="N829">
        <v>69</v>
      </c>
      <c r="O829">
        <v>1.4</v>
      </c>
      <c r="P829">
        <v>9.1</v>
      </c>
      <c r="Q829">
        <v>5.8</v>
      </c>
      <c r="R829">
        <v>12.7</v>
      </c>
      <c r="S829">
        <v>63.9</v>
      </c>
      <c r="T829">
        <v>17.600000000000001</v>
      </c>
      <c r="U829">
        <v>0.26</v>
      </c>
      <c r="V829">
        <v>3.8</v>
      </c>
      <c r="W829">
        <v>5.44</v>
      </c>
      <c r="X829" s="1">
        <v>43719</v>
      </c>
    </row>
    <row r="830" spans="1:24" x14ac:dyDescent="0.25">
      <c r="A830" t="s">
        <v>361</v>
      </c>
      <c r="B830">
        <v>2019</v>
      </c>
      <c r="D830">
        <v>7.3</v>
      </c>
      <c r="E830">
        <v>7.65</v>
      </c>
      <c r="F830">
        <v>136</v>
      </c>
      <c r="G830">
        <v>1758</v>
      </c>
      <c r="H830">
        <v>2054</v>
      </c>
      <c r="I830">
        <v>5610</v>
      </c>
      <c r="J830">
        <v>40</v>
      </c>
      <c r="K830">
        <v>3.8</v>
      </c>
      <c r="L830">
        <v>12.4</v>
      </c>
      <c r="M830">
        <v>339</v>
      </c>
      <c r="N830">
        <v>77</v>
      </c>
      <c r="O830">
        <v>4.5999999999999996</v>
      </c>
      <c r="P830">
        <v>27.6</v>
      </c>
      <c r="Q830">
        <v>8.1999999999999993</v>
      </c>
      <c r="R830">
        <v>31</v>
      </c>
      <c r="S830">
        <v>50.7</v>
      </c>
      <c r="T830">
        <v>10.1</v>
      </c>
      <c r="U830">
        <v>2.56</v>
      </c>
      <c r="V830">
        <v>28.22</v>
      </c>
      <c r="W830">
        <v>2.4900000000000002</v>
      </c>
      <c r="X830" s="1">
        <v>43726</v>
      </c>
    </row>
    <row r="831" spans="1:24" x14ac:dyDescent="0.25">
      <c r="A831" t="s">
        <v>362</v>
      </c>
      <c r="B831">
        <v>2019</v>
      </c>
      <c r="D831">
        <v>7.4</v>
      </c>
      <c r="E831">
        <v>7.6</v>
      </c>
      <c r="F831">
        <v>197</v>
      </c>
      <c r="G831">
        <v>1721</v>
      </c>
      <c r="H831">
        <v>2114</v>
      </c>
      <c r="I831">
        <v>5985</v>
      </c>
      <c r="J831">
        <v>41</v>
      </c>
      <c r="K831">
        <v>4.8</v>
      </c>
      <c r="L831">
        <v>14.6</v>
      </c>
      <c r="M831">
        <v>316</v>
      </c>
      <c r="N831">
        <v>86</v>
      </c>
      <c r="O831">
        <v>5.0999999999999996</v>
      </c>
      <c r="P831">
        <v>29.2</v>
      </c>
      <c r="Q831">
        <v>7.6</v>
      </c>
      <c r="R831">
        <v>30.2</v>
      </c>
      <c r="S831">
        <v>51.3</v>
      </c>
      <c r="T831">
        <v>11</v>
      </c>
      <c r="U831">
        <v>2.98</v>
      </c>
      <c r="V831">
        <v>38.96</v>
      </c>
      <c r="W831">
        <v>2.73</v>
      </c>
      <c r="X831" s="1">
        <v>43726</v>
      </c>
    </row>
    <row r="832" spans="1:24" x14ac:dyDescent="0.25">
      <c r="A832" t="s">
        <v>363</v>
      </c>
      <c r="B832">
        <v>2019</v>
      </c>
      <c r="D832">
        <v>7.5</v>
      </c>
      <c r="E832">
        <v>7.7</v>
      </c>
      <c r="F832">
        <v>223</v>
      </c>
      <c r="G832">
        <v>1672</v>
      </c>
      <c r="H832">
        <v>2375</v>
      </c>
      <c r="I832">
        <v>6563</v>
      </c>
      <c r="J832">
        <v>62</v>
      </c>
      <c r="K832">
        <v>5.2</v>
      </c>
      <c r="L832">
        <v>17.600000000000001</v>
      </c>
      <c r="M832">
        <v>375</v>
      </c>
      <c r="N832">
        <v>86</v>
      </c>
      <c r="O832">
        <v>5.7</v>
      </c>
      <c r="P832">
        <v>30.8</v>
      </c>
      <c r="Q832">
        <v>6.9</v>
      </c>
      <c r="R832">
        <v>32.1</v>
      </c>
      <c r="S832">
        <v>53.2</v>
      </c>
      <c r="T832">
        <v>7.8</v>
      </c>
      <c r="U832">
        <v>2.67</v>
      </c>
      <c r="V832">
        <v>65.87</v>
      </c>
      <c r="W832">
        <v>2.52</v>
      </c>
      <c r="X832" s="1">
        <v>43726</v>
      </c>
    </row>
    <row r="833" spans="1:24" x14ac:dyDescent="0.25">
      <c r="A833" t="s">
        <v>364</v>
      </c>
      <c r="B833">
        <v>2019</v>
      </c>
      <c r="D833">
        <v>7.6</v>
      </c>
      <c r="E833">
        <v>7.65</v>
      </c>
      <c r="F833">
        <v>94</v>
      </c>
      <c r="G833">
        <v>1469</v>
      </c>
      <c r="H833">
        <v>1900</v>
      </c>
      <c r="I833">
        <v>5085</v>
      </c>
      <c r="J833">
        <v>30</v>
      </c>
      <c r="K833">
        <v>3.4</v>
      </c>
      <c r="L833">
        <v>11.1</v>
      </c>
      <c r="M833">
        <v>408</v>
      </c>
      <c r="N833">
        <v>77</v>
      </c>
      <c r="O833">
        <v>5.4</v>
      </c>
      <c r="P833">
        <v>25.3</v>
      </c>
      <c r="Q833">
        <v>7.4</v>
      </c>
      <c r="R833">
        <v>31.3</v>
      </c>
      <c r="S833">
        <v>50.2</v>
      </c>
      <c r="T833">
        <v>11.1</v>
      </c>
      <c r="U833">
        <v>2.4900000000000002</v>
      </c>
      <c r="V833">
        <v>14.21</v>
      </c>
      <c r="W833">
        <v>2.04</v>
      </c>
      <c r="X833" s="1">
        <v>43726</v>
      </c>
    </row>
    <row r="834" spans="1:24" x14ac:dyDescent="0.25">
      <c r="A834" t="s">
        <v>365</v>
      </c>
      <c r="B834">
        <v>2019</v>
      </c>
      <c r="D834">
        <v>7.4</v>
      </c>
      <c r="E834">
        <v>7.5</v>
      </c>
      <c r="F834">
        <v>183</v>
      </c>
      <c r="G834">
        <v>1726</v>
      </c>
      <c r="H834">
        <v>2185</v>
      </c>
      <c r="I834">
        <v>5866</v>
      </c>
      <c r="J834">
        <v>44</v>
      </c>
      <c r="K834">
        <v>3.8</v>
      </c>
      <c r="L834">
        <v>16.600000000000001</v>
      </c>
      <c r="M834">
        <v>461</v>
      </c>
      <c r="N834">
        <v>81</v>
      </c>
      <c r="O834">
        <v>6</v>
      </c>
      <c r="P834">
        <v>30</v>
      </c>
      <c r="Q834">
        <v>7.4</v>
      </c>
      <c r="R834">
        <v>30.4</v>
      </c>
      <c r="S834">
        <v>48.9</v>
      </c>
      <c r="T834">
        <v>13.3</v>
      </c>
      <c r="U834">
        <v>2.78</v>
      </c>
      <c r="V834">
        <v>21.91</v>
      </c>
      <c r="W834">
        <v>2.4300000000000002</v>
      </c>
      <c r="X834" s="1">
        <v>43726</v>
      </c>
    </row>
    <row r="835" spans="1:24" x14ac:dyDescent="0.25">
      <c r="A835" t="s">
        <v>366</v>
      </c>
      <c r="B835">
        <v>2019</v>
      </c>
      <c r="D835">
        <v>7.5</v>
      </c>
      <c r="E835">
        <v>7.65</v>
      </c>
      <c r="F835">
        <v>126</v>
      </c>
      <c r="G835">
        <v>1866</v>
      </c>
      <c r="H835">
        <v>2080</v>
      </c>
      <c r="I835">
        <v>5573</v>
      </c>
      <c r="J835">
        <v>26</v>
      </c>
      <c r="K835">
        <v>3.7</v>
      </c>
      <c r="L835">
        <v>15.6</v>
      </c>
      <c r="M835">
        <v>437</v>
      </c>
      <c r="N835">
        <v>80</v>
      </c>
      <c r="O835">
        <v>6.4</v>
      </c>
      <c r="P835">
        <v>27.8</v>
      </c>
      <c r="Q835">
        <v>8.6</v>
      </c>
      <c r="R835">
        <v>31.2</v>
      </c>
      <c r="S835">
        <v>50.1</v>
      </c>
      <c r="T835">
        <v>10.1</v>
      </c>
      <c r="U835">
        <v>2.62</v>
      </c>
      <c r="V835">
        <v>12.91</v>
      </c>
      <c r="W835">
        <v>3.06</v>
      </c>
      <c r="X835" s="1">
        <v>43726</v>
      </c>
    </row>
    <row r="836" spans="1:24" x14ac:dyDescent="0.25">
      <c r="A836" t="s">
        <v>367</v>
      </c>
      <c r="B836">
        <v>2019</v>
      </c>
      <c r="D836">
        <v>7.5</v>
      </c>
      <c r="E836">
        <v>7.65</v>
      </c>
      <c r="F836">
        <v>128</v>
      </c>
      <c r="G836">
        <v>1493</v>
      </c>
      <c r="H836">
        <v>1758</v>
      </c>
      <c r="I836">
        <v>4852</v>
      </c>
      <c r="J836">
        <v>30</v>
      </c>
      <c r="K836">
        <v>2.4</v>
      </c>
      <c r="L836">
        <v>14.4</v>
      </c>
      <c r="M836">
        <v>385</v>
      </c>
      <c r="N836">
        <v>116</v>
      </c>
      <c r="O836">
        <v>5.0999999999999996</v>
      </c>
      <c r="P836">
        <v>24.2</v>
      </c>
      <c r="Q836">
        <v>7.9</v>
      </c>
      <c r="R836">
        <v>30.3</v>
      </c>
      <c r="S836">
        <v>50.2</v>
      </c>
      <c r="T836">
        <v>11.6</v>
      </c>
      <c r="U836">
        <v>2.1800000000000002</v>
      </c>
      <c r="V836">
        <v>16.12</v>
      </c>
      <c r="W836">
        <v>1.99</v>
      </c>
      <c r="X836" s="1">
        <v>43726</v>
      </c>
    </row>
    <row r="837" spans="1:24" x14ac:dyDescent="0.25">
      <c r="A837" t="s">
        <v>368</v>
      </c>
      <c r="B837">
        <v>2019</v>
      </c>
      <c r="D837">
        <v>7</v>
      </c>
      <c r="E837">
        <v>7.6</v>
      </c>
      <c r="F837">
        <v>213</v>
      </c>
      <c r="G837">
        <v>1451</v>
      </c>
      <c r="H837">
        <v>1773</v>
      </c>
      <c r="I837">
        <v>4996</v>
      </c>
      <c r="J837">
        <v>38</v>
      </c>
      <c r="K837">
        <v>2.9</v>
      </c>
      <c r="L837">
        <v>15.4</v>
      </c>
      <c r="M837">
        <v>388</v>
      </c>
      <c r="N837">
        <v>122</v>
      </c>
      <c r="O837">
        <v>4.9000000000000004</v>
      </c>
      <c r="P837">
        <v>24.9</v>
      </c>
      <c r="Q837">
        <v>7.5</v>
      </c>
      <c r="R837">
        <v>29.6</v>
      </c>
      <c r="S837">
        <v>50.1</v>
      </c>
      <c r="T837">
        <v>12.8</v>
      </c>
      <c r="U837">
        <v>2.15</v>
      </c>
      <c r="V837">
        <v>9.33</v>
      </c>
      <c r="W837">
        <v>2.76</v>
      </c>
      <c r="X837" s="1">
        <v>43726</v>
      </c>
    </row>
    <row r="838" spans="1:24" x14ac:dyDescent="0.25">
      <c r="A838" t="s">
        <v>369</v>
      </c>
      <c r="B838">
        <v>2019</v>
      </c>
      <c r="D838">
        <v>7.4</v>
      </c>
      <c r="E838">
        <v>7.7</v>
      </c>
      <c r="F838">
        <v>186</v>
      </c>
      <c r="G838">
        <v>1321</v>
      </c>
      <c r="H838">
        <v>1677</v>
      </c>
      <c r="I838">
        <v>4763</v>
      </c>
      <c r="J838">
        <v>26</v>
      </c>
      <c r="K838">
        <v>2.5</v>
      </c>
      <c r="L838">
        <v>17.5</v>
      </c>
      <c r="M838">
        <v>354</v>
      </c>
      <c r="N838">
        <v>119</v>
      </c>
      <c r="O838">
        <v>4.9000000000000004</v>
      </c>
      <c r="P838">
        <v>23</v>
      </c>
      <c r="Q838">
        <v>7.4</v>
      </c>
      <c r="R838">
        <v>30.4</v>
      </c>
      <c r="S838">
        <v>51.8</v>
      </c>
      <c r="T838">
        <v>10.4</v>
      </c>
      <c r="U838">
        <v>2.17</v>
      </c>
      <c r="V838">
        <v>10.43</v>
      </c>
      <c r="W838">
        <v>2.2400000000000002</v>
      </c>
      <c r="X838" s="1">
        <v>43726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R463"/>
  <sheetViews>
    <sheetView tabSelected="1" workbookViewId="0">
      <pane xSplit="5" ySplit="1" topLeftCell="F2" activePane="bottomRight" state="frozen"/>
      <selection activeCell="E443" sqref="E443"/>
      <selection pane="topRight" activeCell="E443" sqref="E443"/>
      <selection pane="bottomLeft" activeCell="E443" sqref="E443"/>
      <selection pane="bottomRight" activeCell="C4" sqref="C4"/>
    </sheetView>
  </sheetViews>
  <sheetFormatPr defaultColWidth="11" defaultRowHeight="15.75" x14ac:dyDescent="0.25"/>
  <cols>
    <col min="6" max="6" width="14.875" customWidth="1"/>
    <col min="7" max="10" width="14.875" bestFit="1" customWidth="1"/>
    <col min="11" max="12" width="15.875" bestFit="1" customWidth="1"/>
  </cols>
  <sheetData>
    <row r="1" spans="1:44" x14ac:dyDescent="0.25">
      <c r="A1" t="s">
        <v>4</v>
      </c>
      <c r="B1" t="s">
        <v>60</v>
      </c>
      <c r="C1" t="s">
        <v>34</v>
      </c>
      <c r="D1" t="s">
        <v>31</v>
      </c>
      <c r="E1" t="s">
        <v>103</v>
      </c>
      <c r="F1" t="s">
        <v>334</v>
      </c>
      <c r="G1" t="s">
        <v>303</v>
      </c>
      <c r="H1" t="s">
        <v>304</v>
      </c>
      <c r="I1" t="s">
        <v>305</v>
      </c>
      <c r="J1" t="s">
        <v>306</v>
      </c>
      <c r="K1" t="s">
        <v>307</v>
      </c>
      <c r="L1" t="s">
        <v>302</v>
      </c>
      <c r="M1" t="s">
        <v>308</v>
      </c>
      <c r="N1" t="s">
        <v>309</v>
      </c>
      <c r="O1" t="s">
        <v>310</v>
      </c>
      <c r="P1" s="2" t="s">
        <v>311</v>
      </c>
      <c r="Q1" t="s">
        <v>312</v>
      </c>
      <c r="R1" t="s">
        <v>313</v>
      </c>
      <c r="S1" t="s">
        <v>314</v>
      </c>
      <c r="T1" t="s">
        <v>315</v>
      </c>
      <c r="U1" t="s">
        <v>316</v>
      </c>
      <c r="V1" t="s">
        <v>317</v>
      </c>
      <c r="W1" t="s">
        <v>318</v>
      </c>
      <c r="X1" t="s">
        <v>319</v>
      </c>
      <c r="Y1" t="s">
        <v>320</v>
      </c>
      <c r="Z1" t="s">
        <v>321</v>
      </c>
      <c r="AA1" t="s">
        <v>322</v>
      </c>
      <c r="AB1" t="s">
        <v>323</v>
      </c>
      <c r="AC1" t="s">
        <v>324</v>
      </c>
      <c r="AD1" t="s">
        <v>325</v>
      </c>
      <c r="AE1" t="s">
        <v>326</v>
      </c>
      <c r="AF1" t="s">
        <v>327</v>
      </c>
      <c r="AG1" t="s">
        <v>329</v>
      </c>
      <c r="AH1" t="s">
        <v>328</v>
      </c>
      <c r="AI1" t="s">
        <v>331</v>
      </c>
      <c r="AJ1" t="s">
        <v>330</v>
      </c>
      <c r="AK1" t="s">
        <v>86</v>
      </c>
      <c r="AL1" t="s">
        <v>80</v>
      </c>
      <c r="AM1" t="s">
        <v>81</v>
      </c>
      <c r="AN1" t="s">
        <v>82</v>
      </c>
      <c r="AO1" t="s">
        <v>83</v>
      </c>
      <c r="AP1" t="s">
        <v>84</v>
      </c>
      <c r="AQ1" t="s">
        <v>85</v>
      </c>
    </row>
    <row r="2" spans="1:44" x14ac:dyDescent="0.25">
      <c r="A2" s="1" t="s">
        <v>809</v>
      </c>
      <c r="B2" s="1" t="s">
        <v>7</v>
      </c>
      <c r="C2" s="1" t="s">
        <v>283</v>
      </c>
      <c r="D2" s="1" t="s">
        <v>286</v>
      </c>
      <c r="E2" s="21">
        <v>2017</v>
      </c>
      <c r="F2" s="7">
        <v>121.113593141286</v>
      </c>
      <c r="G2" s="7">
        <v>7.2560000000000002</v>
      </c>
      <c r="H2" s="7">
        <v>3.6669999999999998</v>
      </c>
      <c r="I2" s="7">
        <v>1.0309999999999999</v>
      </c>
      <c r="J2" s="7">
        <v>0.34699999999999998</v>
      </c>
      <c r="K2" s="7">
        <v>1.4830000000000001</v>
      </c>
      <c r="L2" s="7">
        <v>0</v>
      </c>
      <c r="M2" s="7">
        <v>1.4790000000000001</v>
      </c>
      <c r="N2" s="7">
        <v>0.10100000000000001</v>
      </c>
      <c r="O2" s="7">
        <v>0</v>
      </c>
      <c r="P2" s="7">
        <v>4.4720000000000004</v>
      </c>
      <c r="Q2" s="7">
        <v>0.60199999999999998</v>
      </c>
      <c r="R2" s="7">
        <v>0</v>
      </c>
      <c r="S2" s="7">
        <v>5.6029999999999998</v>
      </c>
      <c r="T2" s="7">
        <v>2.7090000000000001</v>
      </c>
      <c r="U2" s="7">
        <v>3.6989999999999998</v>
      </c>
      <c r="V2" s="7">
        <v>0.22700000000000001</v>
      </c>
      <c r="W2" s="7">
        <v>2.1080000000000001</v>
      </c>
      <c r="X2" s="7">
        <v>1.9990000000000001</v>
      </c>
      <c r="Y2" s="7">
        <v>0.13500000000000001</v>
      </c>
      <c r="Z2" s="7">
        <v>0</v>
      </c>
      <c r="AA2" s="7">
        <v>6.2789999999999999</v>
      </c>
      <c r="AB2" s="7">
        <v>0.59799999999999998</v>
      </c>
      <c r="AC2" s="7">
        <v>0.34200000000000003</v>
      </c>
      <c r="AD2" s="7">
        <v>0.26600000000000001</v>
      </c>
      <c r="AE2" s="7">
        <v>4.3170000000000002</v>
      </c>
      <c r="AF2" s="7">
        <v>10.238</v>
      </c>
      <c r="AG2" s="7">
        <v>0</v>
      </c>
      <c r="AH2" s="7">
        <v>9.6020000000000003</v>
      </c>
      <c r="AI2" s="7">
        <v>0</v>
      </c>
      <c r="AJ2" s="7">
        <v>1.482</v>
      </c>
      <c r="AK2" s="7">
        <v>1.2889999999999999</v>
      </c>
      <c r="AL2" s="7">
        <v>36.917999999999999</v>
      </c>
      <c r="AM2" s="7">
        <v>33.124000000000002</v>
      </c>
      <c r="AN2" s="7">
        <v>0.89700000000000002</v>
      </c>
      <c r="AO2" s="7">
        <v>17.082000000000001</v>
      </c>
      <c r="AP2" s="7">
        <v>6.0519999999999996</v>
      </c>
      <c r="AQ2" s="7">
        <v>13.784000000000001</v>
      </c>
      <c r="AR2" s="7"/>
    </row>
    <row r="3" spans="1:44" x14ac:dyDescent="0.25">
      <c r="A3" t="s">
        <v>810</v>
      </c>
      <c r="B3" s="1" t="s">
        <v>7</v>
      </c>
      <c r="C3" s="1" t="s">
        <v>283</v>
      </c>
      <c r="D3" s="1" t="s">
        <v>286</v>
      </c>
      <c r="E3" s="21">
        <v>2017</v>
      </c>
      <c r="F3" s="7">
        <v>103.04746947520501</v>
      </c>
      <c r="G3" s="7">
        <v>6.1189999999999998</v>
      </c>
      <c r="H3" s="7">
        <v>4.3760000000000003</v>
      </c>
      <c r="I3" s="7">
        <v>0.94299999999999995</v>
      </c>
      <c r="J3" s="7">
        <v>0.28799999999999998</v>
      </c>
      <c r="K3" s="7">
        <v>1.4990000000000001</v>
      </c>
      <c r="L3" s="7">
        <v>0</v>
      </c>
      <c r="M3" s="7">
        <v>1.1459999999999999</v>
      </c>
      <c r="N3" s="7">
        <v>8.7999999999999995E-2</v>
      </c>
      <c r="O3" s="7">
        <v>0</v>
      </c>
      <c r="P3" s="7">
        <v>3.51</v>
      </c>
      <c r="Q3" s="7">
        <v>0.43</v>
      </c>
      <c r="R3" s="7">
        <v>0</v>
      </c>
      <c r="S3" s="7">
        <v>4.5810000000000004</v>
      </c>
      <c r="T3" s="7">
        <v>2.1589999999999998</v>
      </c>
      <c r="U3" s="7">
        <v>3.4750000000000001</v>
      </c>
      <c r="V3" s="7">
        <v>0.185</v>
      </c>
      <c r="W3" s="7">
        <v>2.0009999999999999</v>
      </c>
      <c r="X3" s="7">
        <v>1.9390000000000001</v>
      </c>
      <c r="Y3" s="7">
        <v>0.14499999999999999</v>
      </c>
      <c r="Z3" s="7">
        <v>0</v>
      </c>
      <c r="AA3" s="7">
        <v>5.8259999999999996</v>
      </c>
      <c r="AB3" s="7">
        <v>0.48599999999999999</v>
      </c>
      <c r="AC3" s="7">
        <v>0.309</v>
      </c>
      <c r="AD3" s="7">
        <v>0.22</v>
      </c>
      <c r="AE3" s="7">
        <v>3.71</v>
      </c>
      <c r="AF3" s="7">
        <v>9.4480000000000004</v>
      </c>
      <c r="AG3" s="7">
        <v>0</v>
      </c>
      <c r="AH3" s="7">
        <v>8.1790000000000003</v>
      </c>
      <c r="AI3" s="7">
        <v>0</v>
      </c>
      <c r="AJ3" s="7">
        <v>1.341</v>
      </c>
      <c r="AK3" s="7">
        <v>0.99399999999999999</v>
      </c>
      <c r="AL3" s="7">
        <v>32.884</v>
      </c>
      <c r="AM3" s="7">
        <v>29.518999999999998</v>
      </c>
      <c r="AN3" s="7">
        <v>0.89800000000000002</v>
      </c>
      <c r="AO3" s="7">
        <v>14.914999999999999</v>
      </c>
      <c r="AP3" s="7">
        <v>4.7439999999999998</v>
      </c>
      <c r="AQ3" s="7">
        <v>13.225</v>
      </c>
    </row>
    <row r="4" spans="1:44" x14ac:dyDescent="0.25">
      <c r="A4" t="s">
        <v>811</v>
      </c>
      <c r="B4" s="1" t="s">
        <v>7</v>
      </c>
      <c r="C4" s="1" t="s">
        <v>283</v>
      </c>
      <c r="D4" s="1" t="s">
        <v>286</v>
      </c>
      <c r="E4" s="21">
        <v>2017</v>
      </c>
      <c r="F4" s="7">
        <v>130.25029373849799</v>
      </c>
      <c r="G4" s="7">
        <v>6.8150000000000004</v>
      </c>
      <c r="H4" s="7">
        <v>3.7850000000000001</v>
      </c>
      <c r="I4" s="7">
        <v>1.258</v>
      </c>
      <c r="J4" s="7">
        <v>0.433</v>
      </c>
      <c r="K4" s="7">
        <v>1.7609999999999999</v>
      </c>
      <c r="L4" s="7">
        <v>0</v>
      </c>
      <c r="M4" s="7">
        <v>1.411</v>
      </c>
      <c r="N4" s="7">
        <v>0.14599999999999999</v>
      </c>
      <c r="O4" s="7">
        <v>0</v>
      </c>
      <c r="P4" s="7">
        <v>3.9540000000000002</v>
      </c>
      <c r="Q4" s="7">
        <v>0.58699999999999997</v>
      </c>
      <c r="R4" s="7">
        <v>0</v>
      </c>
      <c r="S4" s="7">
        <v>5.64</v>
      </c>
      <c r="T4" s="7">
        <v>3.1190000000000002</v>
      </c>
      <c r="U4" s="7">
        <v>4.008</v>
      </c>
      <c r="V4" s="7">
        <v>0.2</v>
      </c>
      <c r="W4" s="7">
        <v>2.1280000000000001</v>
      </c>
      <c r="X4" s="7">
        <v>2.1539999999999999</v>
      </c>
      <c r="Y4" s="7">
        <v>0.11</v>
      </c>
      <c r="Z4" s="7">
        <v>0</v>
      </c>
      <c r="AA4" s="7">
        <v>4.3129999999999997</v>
      </c>
      <c r="AB4" s="7">
        <v>0.48799999999999999</v>
      </c>
      <c r="AC4" s="7">
        <v>0.46</v>
      </c>
      <c r="AD4" s="7">
        <v>0.29699999999999999</v>
      </c>
      <c r="AE4" s="7">
        <v>5.5869999999999997</v>
      </c>
      <c r="AF4" s="7">
        <v>12.526</v>
      </c>
      <c r="AG4" s="7">
        <v>0</v>
      </c>
      <c r="AH4" s="7">
        <v>8.3520000000000003</v>
      </c>
      <c r="AI4" s="7">
        <v>0</v>
      </c>
      <c r="AJ4" s="7">
        <v>1.748</v>
      </c>
      <c r="AK4" s="7">
        <v>0.96699999999999997</v>
      </c>
      <c r="AL4" s="7">
        <v>37.509</v>
      </c>
      <c r="AM4" s="7">
        <v>33.771000000000001</v>
      </c>
      <c r="AN4" s="7">
        <v>0.9</v>
      </c>
      <c r="AO4" s="7">
        <v>17.946000000000002</v>
      </c>
      <c r="AP4" s="7">
        <v>5.5110000000000001</v>
      </c>
      <c r="AQ4" s="7">
        <v>14.052</v>
      </c>
    </row>
    <row r="5" spans="1:44" x14ac:dyDescent="0.25">
      <c r="A5" t="s">
        <v>812</v>
      </c>
      <c r="B5" s="1" t="s">
        <v>7</v>
      </c>
      <c r="C5" s="1" t="s">
        <v>283</v>
      </c>
      <c r="D5" s="1" t="s">
        <v>286</v>
      </c>
      <c r="E5" s="21">
        <v>2017</v>
      </c>
      <c r="F5" s="7">
        <v>153.31287140669301</v>
      </c>
      <c r="G5" s="7">
        <v>7.9169999999999998</v>
      </c>
      <c r="H5" s="7">
        <v>4.0750000000000002</v>
      </c>
      <c r="I5" s="7">
        <v>1.5469999999999999</v>
      </c>
      <c r="J5" s="7">
        <v>0.47199999999999998</v>
      </c>
      <c r="K5" s="7">
        <v>2.2210000000000001</v>
      </c>
      <c r="L5" s="7">
        <v>0</v>
      </c>
      <c r="M5" s="7">
        <v>1.6850000000000001</v>
      </c>
      <c r="N5" s="7">
        <v>0.16300000000000001</v>
      </c>
      <c r="O5" s="7">
        <v>0</v>
      </c>
      <c r="P5" s="7">
        <v>3.9390000000000001</v>
      </c>
      <c r="Q5" s="7">
        <v>0.69599999999999995</v>
      </c>
      <c r="R5" s="7">
        <v>0</v>
      </c>
      <c r="S5" s="7">
        <v>6.5069999999999997</v>
      </c>
      <c r="T5" s="7">
        <v>3.6680000000000001</v>
      </c>
      <c r="U5" s="7">
        <v>4.9909999999999997</v>
      </c>
      <c r="V5" s="7">
        <v>0.25700000000000001</v>
      </c>
      <c r="W5" s="7">
        <v>2.4750000000000001</v>
      </c>
      <c r="X5" s="7">
        <v>2.6589999999999998</v>
      </c>
      <c r="Y5" s="7">
        <v>0.26</v>
      </c>
      <c r="Z5" s="7">
        <v>0</v>
      </c>
      <c r="AA5" s="7">
        <v>5.6120000000000001</v>
      </c>
      <c r="AB5" s="7">
        <v>0.54</v>
      </c>
      <c r="AC5" s="7">
        <v>0.52</v>
      </c>
      <c r="AD5" s="7">
        <v>0.34</v>
      </c>
      <c r="AE5" s="7">
        <v>6.3170000000000002</v>
      </c>
      <c r="AF5" s="7">
        <v>13.523</v>
      </c>
      <c r="AG5" s="7">
        <v>0</v>
      </c>
      <c r="AH5" s="7">
        <v>11.705</v>
      </c>
      <c r="AI5" s="7">
        <v>0</v>
      </c>
      <c r="AJ5" s="7">
        <v>2.89</v>
      </c>
      <c r="AK5" s="7">
        <v>1.2250000000000001</v>
      </c>
      <c r="AL5" s="7">
        <v>43.531999999999996</v>
      </c>
      <c r="AM5" s="7">
        <v>41.447000000000003</v>
      </c>
      <c r="AN5" s="7">
        <v>0.95199999999999996</v>
      </c>
      <c r="AO5" s="7">
        <v>21.513000000000002</v>
      </c>
      <c r="AP5" s="7">
        <v>5.7869999999999999</v>
      </c>
      <c r="AQ5" s="7">
        <v>16.231999999999999</v>
      </c>
    </row>
    <row r="6" spans="1:44" x14ac:dyDescent="0.25">
      <c r="A6" t="s">
        <v>813</v>
      </c>
      <c r="B6" s="1" t="s">
        <v>0</v>
      </c>
      <c r="C6" s="1" t="s">
        <v>283</v>
      </c>
      <c r="D6" s="1" t="s">
        <v>283</v>
      </c>
      <c r="E6" s="21">
        <v>2017</v>
      </c>
      <c r="F6" s="7">
        <v>177.25349386975901</v>
      </c>
      <c r="G6" s="7">
        <v>5.5010000000000003</v>
      </c>
      <c r="H6" s="7">
        <v>1.607</v>
      </c>
      <c r="I6" s="7">
        <v>1.8360000000000001</v>
      </c>
      <c r="J6" s="7">
        <v>0.50700000000000001</v>
      </c>
      <c r="K6" s="7">
        <v>1.5780000000000001</v>
      </c>
      <c r="L6" s="7">
        <v>0</v>
      </c>
      <c r="M6" s="7">
        <v>1.631</v>
      </c>
      <c r="N6" s="7">
        <v>0.122</v>
      </c>
      <c r="O6" s="7">
        <v>0</v>
      </c>
      <c r="P6" s="7">
        <v>2.2639999999999998</v>
      </c>
      <c r="Q6" s="7">
        <v>1.1559999999999999</v>
      </c>
      <c r="R6" s="7">
        <v>0.54900000000000004</v>
      </c>
      <c r="S6" s="7">
        <v>7.758</v>
      </c>
      <c r="T6" s="7">
        <v>4.4210000000000003</v>
      </c>
      <c r="U6" s="7">
        <v>5.62</v>
      </c>
      <c r="V6" s="7">
        <v>0.47699999999999998</v>
      </c>
      <c r="W6" s="7">
        <v>2.214</v>
      </c>
      <c r="X6" s="7">
        <v>2.976</v>
      </c>
      <c r="Y6" s="7">
        <v>0.19900000000000001</v>
      </c>
      <c r="Z6" s="7">
        <v>0</v>
      </c>
      <c r="AA6" s="7">
        <v>4.9530000000000003</v>
      </c>
      <c r="AB6" s="7">
        <v>0.68200000000000005</v>
      </c>
      <c r="AC6" s="7">
        <v>0.53800000000000003</v>
      </c>
      <c r="AD6" s="7">
        <v>0.24299999999999999</v>
      </c>
      <c r="AE6" s="7">
        <v>14.461</v>
      </c>
      <c r="AF6" s="7">
        <v>19.731999999999999</v>
      </c>
      <c r="AG6" s="7">
        <v>0</v>
      </c>
      <c r="AH6" s="7">
        <v>9.3770000000000007</v>
      </c>
      <c r="AI6" s="7">
        <v>0</v>
      </c>
      <c r="AJ6" s="7">
        <v>2.8109999999999999</v>
      </c>
      <c r="AK6" s="7">
        <v>0.95399999999999996</v>
      </c>
      <c r="AL6" s="7">
        <v>40.415999999999997</v>
      </c>
      <c r="AM6" s="7">
        <v>52.796999999999997</v>
      </c>
      <c r="AN6" s="7">
        <v>1.306</v>
      </c>
      <c r="AO6" s="7">
        <v>25.37</v>
      </c>
      <c r="AP6" s="7">
        <v>4.0170000000000003</v>
      </c>
      <c r="AQ6" s="7">
        <v>11.029</v>
      </c>
    </row>
    <row r="7" spans="1:44" x14ac:dyDescent="0.25">
      <c r="A7" t="s">
        <v>814</v>
      </c>
      <c r="B7" s="1" t="s">
        <v>1</v>
      </c>
      <c r="C7" s="1" t="s">
        <v>283</v>
      </c>
      <c r="D7" s="1" t="s">
        <v>283</v>
      </c>
      <c r="E7" s="21">
        <v>2017</v>
      </c>
      <c r="F7" s="7">
        <v>153.92406487407999</v>
      </c>
      <c r="G7" s="7">
        <v>6.484</v>
      </c>
      <c r="H7" s="7">
        <v>1.4950000000000001</v>
      </c>
      <c r="I7" s="7">
        <v>1.7290000000000001</v>
      </c>
      <c r="J7" s="7">
        <v>0.47699999999999998</v>
      </c>
      <c r="K7" s="7">
        <v>1.819</v>
      </c>
      <c r="L7" s="7">
        <v>0</v>
      </c>
      <c r="M7" s="7">
        <v>1.7430000000000001</v>
      </c>
      <c r="N7" s="7">
        <v>0</v>
      </c>
      <c r="O7" s="7">
        <v>0</v>
      </c>
      <c r="P7" s="7">
        <v>2.5270000000000001</v>
      </c>
      <c r="Q7" s="7">
        <v>0.69</v>
      </c>
      <c r="R7" s="7">
        <v>0</v>
      </c>
      <c r="S7" s="7">
        <v>7.6369999999999996</v>
      </c>
      <c r="T7" s="7">
        <v>3.9089999999999998</v>
      </c>
      <c r="U7" s="7">
        <v>4.9710000000000001</v>
      </c>
      <c r="V7" s="7">
        <v>0.314</v>
      </c>
      <c r="W7" s="7">
        <v>2.4689999999999999</v>
      </c>
      <c r="X7" s="7">
        <v>2.5670000000000002</v>
      </c>
      <c r="Y7" s="7">
        <v>0.19</v>
      </c>
      <c r="Z7" s="7">
        <v>0</v>
      </c>
      <c r="AA7" s="7">
        <v>5.4829999999999997</v>
      </c>
      <c r="AB7" s="7">
        <v>0.45300000000000001</v>
      </c>
      <c r="AC7" s="7">
        <v>0.50800000000000001</v>
      </c>
      <c r="AD7" s="7">
        <v>0.251</v>
      </c>
      <c r="AE7" s="7">
        <v>10.115</v>
      </c>
      <c r="AF7" s="7">
        <v>15.944000000000001</v>
      </c>
      <c r="AG7" s="7">
        <v>0</v>
      </c>
      <c r="AH7" s="7">
        <v>8.1489999999999991</v>
      </c>
      <c r="AI7" s="7">
        <v>0</v>
      </c>
      <c r="AJ7" s="7">
        <v>3.8969999999999998</v>
      </c>
      <c r="AK7" s="7">
        <v>0.75900000000000001</v>
      </c>
      <c r="AL7" s="7">
        <v>39.021000000000001</v>
      </c>
      <c r="AM7" s="7">
        <v>44.8</v>
      </c>
      <c r="AN7" s="7">
        <v>1.1479999999999999</v>
      </c>
      <c r="AO7" s="7">
        <v>22.747</v>
      </c>
      <c r="AP7" s="7">
        <v>4.2699999999999996</v>
      </c>
      <c r="AQ7" s="7">
        <v>12.004</v>
      </c>
    </row>
    <row r="8" spans="1:44" x14ac:dyDescent="0.25">
      <c r="A8" t="s">
        <v>815</v>
      </c>
      <c r="B8" s="1" t="s">
        <v>2</v>
      </c>
      <c r="C8" s="1" t="s">
        <v>283</v>
      </c>
      <c r="D8" s="1" t="s">
        <v>283</v>
      </c>
      <c r="E8" s="21">
        <v>2017</v>
      </c>
      <c r="F8" s="7">
        <v>150.44810997638899</v>
      </c>
      <c r="G8" s="7">
        <v>5.4749999999999996</v>
      </c>
      <c r="H8" s="7">
        <v>1.4630000000000001</v>
      </c>
      <c r="I8" s="7">
        <v>1.506</v>
      </c>
      <c r="J8" s="7">
        <v>0.47599999999999998</v>
      </c>
      <c r="K8" s="7">
        <v>1.6120000000000001</v>
      </c>
      <c r="L8" s="7">
        <v>0</v>
      </c>
      <c r="M8" s="7">
        <v>1.496</v>
      </c>
      <c r="N8" s="7">
        <v>0.14599999999999999</v>
      </c>
      <c r="O8" s="7">
        <v>0</v>
      </c>
      <c r="P8" s="7">
        <v>2.2890000000000001</v>
      </c>
      <c r="Q8" s="7">
        <v>0.65300000000000002</v>
      </c>
      <c r="R8" s="7">
        <v>0</v>
      </c>
      <c r="S8" s="7">
        <v>6.3849999999999998</v>
      </c>
      <c r="T8" s="7">
        <v>4.1120000000000001</v>
      </c>
      <c r="U8" s="7">
        <v>4.7519999999999998</v>
      </c>
      <c r="V8" s="7">
        <v>0.25900000000000001</v>
      </c>
      <c r="W8" s="7">
        <v>2.0590000000000002</v>
      </c>
      <c r="X8" s="7">
        <v>2.4860000000000002</v>
      </c>
      <c r="Y8" s="7">
        <v>0.184</v>
      </c>
      <c r="Z8" s="7">
        <v>0</v>
      </c>
      <c r="AA8" s="7">
        <v>4.7869999999999999</v>
      </c>
      <c r="AB8" s="7">
        <v>0.432</v>
      </c>
      <c r="AC8" s="7">
        <v>0.56299999999999994</v>
      </c>
      <c r="AD8" s="7">
        <v>0.215</v>
      </c>
      <c r="AE8" s="7">
        <v>11.598000000000001</v>
      </c>
      <c r="AF8" s="7">
        <v>16.428999999999998</v>
      </c>
      <c r="AG8" s="7">
        <v>0</v>
      </c>
      <c r="AH8" s="7">
        <v>9.7170000000000005</v>
      </c>
      <c r="AI8" s="7">
        <v>0</v>
      </c>
      <c r="AJ8" s="7">
        <v>2.5920000000000001</v>
      </c>
      <c r="AK8" s="7">
        <v>0.67600000000000005</v>
      </c>
      <c r="AL8" s="7">
        <v>35.353000000000002</v>
      </c>
      <c r="AM8" s="7">
        <v>46.332999999999998</v>
      </c>
      <c r="AN8" s="7">
        <v>1.3109999999999999</v>
      </c>
      <c r="AO8" s="7">
        <v>20.89</v>
      </c>
      <c r="AP8" s="7">
        <v>3.931</v>
      </c>
      <c r="AQ8" s="7">
        <v>10.532</v>
      </c>
    </row>
    <row r="9" spans="1:44" x14ac:dyDescent="0.25">
      <c r="A9" t="s">
        <v>816</v>
      </c>
      <c r="B9" s="1" t="s">
        <v>3</v>
      </c>
      <c r="C9" s="1" t="s">
        <v>283</v>
      </c>
      <c r="D9" s="1" t="s">
        <v>283</v>
      </c>
      <c r="E9" s="21">
        <v>2017</v>
      </c>
      <c r="F9" s="7">
        <v>107.292008878502</v>
      </c>
      <c r="G9" s="7">
        <v>4.6509999999999998</v>
      </c>
      <c r="H9" s="7">
        <v>1.5980000000000001</v>
      </c>
      <c r="I9" s="7">
        <v>1.1910000000000001</v>
      </c>
      <c r="J9" s="7">
        <v>0.33200000000000002</v>
      </c>
      <c r="K9" s="7">
        <v>1.2809999999999999</v>
      </c>
      <c r="L9" s="7">
        <v>0</v>
      </c>
      <c r="M9" s="7">
        <v>1.173</v>
      </c>
      <c r="N9" s="7">
        <v>0</v>
      </c>
      <c r="O9" s="7">
        <v>0</v>
      </c>
      <c r="P9" s="7">
        <v>1.94</v>
      </c>
      <c r="Q9" s="7">
        <v>0.51</v>
      </c>
      <c r="R9" s="7">
        <v>0</v>
      </c>
      <c r="S9" s="7">
        <v>5.1870000000000003</v>
      </c>
      <c r="T9" s="7">
        <v>2.6619999999999999</v>
      </c>
      <c r="U9" s="7">
        <v>3.76</v>
      </c>
      <c r="V9" s="7">
        <v>0.188</v>
      </c>
      <c r="W9" s="7">
        <v>1.758</v>
      </c>
      <c r="X9" s="7">
        <v>1.8759999999999999</v>
      </c>
      <c r="Y9" s="7">
        <v>0.16500000000000001</v>
      </c>
      <c r="Z9" s="7">
        <v>0</v>
      </c>
      <c r="AA9" s="7">
        <v>3.38</v>
      </c>
      <c r="AB9" s="7">
        <v>0.34</v>
      </c>
      <c r="AC9" s="7">
        <v>0.39500000000000002</v>
      </c>
      <c r="AD9" s="7">
        <v>0.15</v>
      </c>
      <c r="AE9" s="7">
        <v>7.0620000000000003</v>
      </c>
      <c r="AF9" s="7">
        <v>11.965</v>
      </c>
      <c r="AG9" s="7">
        <v>0</v>
      </c>
      <c r="AH9" s="7">
        <v>5.19</v>
      </c>
      <c r="AI9" s="7">
        <v>0</v>
      </c>
      <c r="AJ9" s="7">
        <v>1.94</v>
      </c>
      <c r="AK9" s="7">
        <v>0.55800000000000005</v>
      </c>
      <c r="AL9" s="7">
        <v>28.271999999999998</v>
      </c>
      <c r="AM9" s="7">
        <v>30.422000000000001</v>
      </c>
      <c r="AN9" s="7">
        <v>1.0760000000000001</v>
      </c>
      <c r="AO9" s="7">
        <v>16.106000000000002</v>
      </c>
      <c r="AP9" s="7">
        <v>3.113</v>
      </c>
      <c r="AQ9" s="7">
        <v>9.0530000000000008</v>
      </c>
    </row>
    <row r="10" spans="1:44" x14ac:dyDescent="0.25">
      <c r="A10" t="s">
        <v>160</v>
      </c>
      <c r="B10" s="1" t="s">
        <v>11</v>
      </c>
      <c r="C10" s="1" t="s">
        <v>283</v>
      </c>
      <c r="D10" s="1" t="s">
        <v>286</v>
      </c>
      <c r="E10" s="21">
        <v>2017</v>
      </c>
      <c r="F10" s="7">
        <v>108.78247088657599</v>
      </c>
      <c r="G10" s="7">
        <v>5.7370000000000001</v>
      </c>
      <c r="H10" s="7">
        <v>1.1419999999999999</v>
      </c>
      <c r="I10" s="7">
        <v>0.95199999999999996</v>
      </c>
      <c r="J10" s="7">
        <v>0.45700000000000002</v>
      </c>
      <c r="K10" s="7">
        <v>1.129</v>
      </c>
      <c r="L10" s="7">
        <v>0</v>
      </c>
      <c r="M10" s="7">
        <v>1.089</v>
      </c>
      <c r="N10" s="7">
        <v>9.5000000000000001E-2</v>
      </c>
      <c r="O10" s="7">
        <v>0</v>
      </c>
      <c r="P10" s="7">
        <v>2.9630000000000001</v>
      </c>
      <c r="Q10" s="7">
        <v>0.57099999999999995</v>
      </c>
      <c r="R10" s="7">
        <v>0</v>
      </c>
      <c r="S10" s="7">
        <v>5.609</v>
      </c>
      <c r="T10" s="7">
        <v>2.88</v>
      </c>
      <c r="U10" s="7">
        <v>2.9820000000000002</v>
      </c>
      <c r="V10" s="7">
        <v>0.20599999999999999</v>
      </c>
      <c r="W10" s="7">
        <v>1.869</v>
      </c>
      <c r="X10" s="7">
        <v>1.865</v>
      </c>
      <c r="Y10" s="7">
        <v>0.13</v>
      </c>
      <c r="Z10" s="7">
        <v>0</v>
      </c>
      <c r="AA10" s="7">
        <v>6.2889999999999997</v>
      </c>
      <c r="AB10" s="7">
        <v>0.26500000000000001</v>
      </c>
      <c r="AC10" s="7">
        <v>0.39</v>
      </c>
      <c r="AD10" s="7">
        <v>0.13700000000000001</v>
      </c>
      <c r="AE10" s="7">
        <v>5.1980000000000004</v>
      </c>
      <c r="AF10" s="7">
        <v>10.305999999999999</v>
      </c>
      <c r="AG10" s="7">
        <v>0</v>
      </c>
      <c r="AH10" s="7">
        <v>7.7110000000000003</v>
      </c>
      <c r="AI10" s="7">
        <v>0</v>
      </c>
      <c r="AJ10" s="7">
        <v>2.391</v>
      </c>
      <c r="AK10" s="7">
        <v>0.66400000000000003</v>
      </c>
      <c r="AL10" s="7">
        <v>29.675999999999998</v>
      </c>
      <c r="AM10" s="7">
        <v>32.686999999999998</v>
      </c>
      <c r="AN10" s="7">
        <v>1.101</v>
      </c>
      <c r="AO10" s="7">
        <v>16.111999999999998</v>
      </c>
      <c r="AP10" s="7">
        <v>4.1470000000000002</v>
      </c>
      <c r="AQ10" s="7">
        <v>9.4169999999999998</v>
      </c>
    </row>
    <row r="11" spans="1:44" x14ac:dyDescent="0.25">
      <c r="A11" t="s">
        <v>161</v>
      </c>
      <c r="B11" s="1" t="s">
        <v>11</v>
      </c>
      <c r="C11" s="1" t="s">
        <v>283</v>
      </c>
      <c r="D11" s="1" t="s">
        <v>286</v>
      </c>
      <c r="E11" s="21">
        <v>2017</v>
      </c>
      <c r="F11" s="7">
        <v>207.91031887889</v>
      </c>
      <c r="G11" s="7">
        <v>9.2219999999999995</v>
      </c>
      <c r="H11" s="7">
        <v>2.4</v>
      </c>
      <c r="I11" s="7">
        <v>1.5740000000000001</v>
      </c>
      <c r="J11" s="7">
        <v>0.94399999999999995</v>
      </c>
      <c r="K11" s="7">
        <v>2.0390000000000001</v>
      </c>
      <c r="L11" s="7">
        <v>0</v>
      </c>
      <c r="M11" s="7">
        <v>2.0230000000000001</v>
      </c>
      <c r="N11" s="7">
        <v>0.104</v>
      </c>
      <c r="O11" s="7">
        <v>0</v>
      </c>
      <c r="P11" s="7">
        <v>5.9560000000000004</v>
      </c>
      <c r="Q11" s="7">
        <v>1.306</v>
      </c>
      <c r="R11" s="7">
        <v>9.7000000000000003E-2</v>
      </c>
      <c r="S11" s="7">
        <v>9.7050000000000001</v>
      </c>
      <c r="T11" s="7">
        <v>5.41</v>
      </c>
      <c r="U11" s="7">
        <v>5.6289999999999996</v>
      </c>
      <c r="V11" s="7">
        <v>0.48099999999999998</v>
      </c>
      <c r="W11" s="7">
        <v>3.2690000000000001</v>
      </c>
      <c r="X11" s="7">
        <v>3.31</v>
      </c>
      <c r="Y11" s="7">
        <v>0.28899999999999998</v>
      </c>
      <c r="Z11" s="7">
        <v>0</v>
      </c>
      <c r="AA11" s="7">
        <v>18.675000000000001</v>
      </c>
      <c r="AB11" s="7">
        <v>0.61499999999999999</v>
      </c>
      <c r="AC11" s="7">
        <v>0.78100000000000003</v>
      </c>
      <c r="AD11" s="7">
        <v>0.30499999999999999</v>
      </c>
      <c r="AE11" s="7">
        <v>9.94</v>
      </c>
      <c r="AF11" s="7">
        <v>17.498999999999999</v>
      </c>
      <c r="AG11" s="7">
        <v>0</v>
      </c>
      <c r="AH11" s="7">
        <v>14.362</v>
      </c>
      <c r="AI11" s="7">
        <v>0</v>
      </c>
      <c r="AJ11" s="7">
        <v>4.5679999999999996</v>
      </c>
      <c r="AK11" s="7">
        <v>1.972</v>
      </c>
      <c r="AL11" s="7">
        <v>53.758000000000003</v>
      </c>
      <c r="AM11" s="7">
        <v>66.745000000000005</v>
      </c>
      <c r="AN11" s="7">
        <v>1.242</v>
      </c>
      <c r="AO11" s="7">
        <v>29.495999999999999</v>
      </c>
      <c r="AP11" s="7">
        <v>8.0830000000000002</v>
      </c>
      <c r="AQ11" s="7">
        <v>16.178999999999998</v>
      </c>
    </row>
    <row r="12" spans="1:44" x14ac:dyDescent="0.25">
      <c r="A12" t="s">
        <v>162</v>
      </c>
      <c r="B12" s="1" t="s">
        <v>11</v>
      </c>
      <c r="C12" s="1" t="s">
        <v>283</v>
      </c>
      <c r="D12" s="1" t="s">
        <v>286</v>
      </c>
      <c r="E12" s="21">
        <v>2017</v>
      </c>
      <c r="F12" s="7">
        <v>235.46675791013701</v>
      </c>
      <c r="G12" s="7">
        <v>10.356</v>
      </c>
      <c r="H12" s="7">
        <v>2.5579999999999998</v>
      </c>
      <c r="I12" s="7">
        <v>1.603</v>
      </c>
      <c r="J12" s="7">
        <v>0.96399999999999997</v>
      </c>
      <c r="K12" s="7">
        <v>2.2869999999999999</v>
      </c>
      <c r="L12" s="7">
        <v>0</v>
      </c>
      <c r="M12" s="7">
        <v>2.2480000000000002</v>
      </c>
      <c r="N12" s="7">
        <v>0.152</v>
      </c>
      <c r="O12" s="7">
        <v>0</v>
      </c>
      <c r="P12" s="7">
        <v>7.5990000000000002</v>
      </c>
      <c r="Q12" s="7">
        <v>1.1259999999999999</v>
      </c>
      <c r="R12" s="7">
        <v>7.8E-2</v>
      </c>
      <c r="S12" s="7">
        <v>10.73</v>
      </c>
      <c r="T12" s="7">
        <v>5.3710000000000004</v>
      </c>
      <c r="U12" s="7">
        <v>6.2320000000000002</v>
      </c>
      <c r="V12" s="7">
        <v>0.378</v>
      </c>
      <c r="W12" s="7">
        <v>3.6619999999999999</v>
      </c>
      <c r="X12" s="7">
        <v>3.891</v>
      </c>
      <c r="Y12" s="7">
        <v>0.221</v>
      </c>
      <c r="Z12" s="7">
        <v>0</v>
      </c>
      <c r="AA12" s="7">
        <v>16.664999999999999</v>
      </c>
      <c r="AB12" s="7">
        <v>0.57899999999999996</v>
      </c>
      <c r="AC12" s="7">
        <v>0.67700000000000005</v>
      </c>
      <c r="AD12" s="7">
        <v>0.249</v>
      </c>
      <c r="AE12" s="7">
        <v>11.497999999999999</v>
      </c>
      <c r="AF12" s="7">
        <v>24.042999999999999</v>
      </c>
      <c r="AG12" s="7">
        <v>0</v>
      </c>
      <c r="AH12" s="7">
        <v>18.782</v>
      </c>
      <c r="AI12" s="7">
        <v>0</v>
      </c>
      <c r="AJ12" s="7">
        <v>4.0250000000000004</v>
      </c>
      <c r="AK12" s="7">
        <v>2.7290000000000001</v>
      </c>
      <c r="AL12" s="7">
        <v>59.456000000000003</v>
      </c>
      <c r="AM12" s="7">
        <v>76.518000000000001</v>
      </c>
      <c r="AN12" s="7">
        <v>1.2869999999999999</v>
      </c>
      <c r="AO12" s="7">
        <v>31.689</v>
      </c>
      <c r="AP12" s="7">
        <v>9.9990000000000006</v>
      </c>
      <c r="AQ12" s="7">
        <v>17.768000000000001</v>
      </c>
    </row>
    <row r="13" spans="1:44" x14ac:dyDescent="0.25">
      <c r="A13" t="s">
        <v>163</v>
      </c>
      <c r="B13" s="1" t="s">
        <v>11</v>
      </c>
      <c r="C13" s="1" t="s">
        <v>283</v>
      </c>
      <c r="D13" s="1" t="s">
        <v>286</v>
      </c>
      <c r="E13" s="21">
        <v>2017</v>
      </c>
      <c r="F13" s="7">
        <v>156.931356997976</v>
      </c>
      <c r="G13" s="7">
        <v>4.2249999999999996</v>
      </c>
      <c r="H13" s="7">
        <v>1.1439999999999999</v>
      </c>
      <c r="I13" s="7">
        <v>0.46600000000000003</v>
      </c>
      <c r="J13" s="7">
        <v>0.38400000000000001</v>
      </c>
      <c r="K13" s="7">
        <v>0.747</v>
      </c>
      <c r="L13" s="7">
        <v>0</v>
      </c>
      <c r="M13" s="7">
        <v>0.81699999999999995</v>
      </c>
      <c r="N13" s="7">
        <v>7.9000000000000001E-2</v>
      </c>
      <c r="O13" s="7">
        <v>0</v>
      </c>
      <c r="P13" s="7">
        <v>2.3610000000000002</v>
      </c>
      <c r="Q13" s="7">
        <v>0.317</v>
      </c>
      <c r="R13" s="7">
        <v>0</v>
      </c>
      <c r="S13" s="7">
        <v>3.5790000000000002</v>
      </c>
      <c r="T13" s="7">
        <v>1.792</v>
      </c>
      <c r="U13" s="7">
        <v>1.9159999999999999</v>
      </c>
      <c r="V13" s="7">
        <v>0.47299999999999998</v>
      </c>
      <c r="W13" s="7">
        <v>1.284</v>
      </c>
      <c r="X13" s="7">
        <v>1.2350000000000001</v>
      </c>
      <c r="Y13" s="7">
        <v>6.2E-2</v>
      </c>
      <c r="Z13" s="7">
        <v>0</v>
      </c>
      <c r="AA13" s="7">
        <v>7.0090000000000003</v>
      </c>
      <c r="AB13" s="7">
        <v>0.224</v>
      </c>
      <c r="AC13" s="7">
        <v>0.23300000000000001</v>
      </c>
      <c r="AD13" s="7">
        <v>0</v>
      </c>
      <c r="AE13" s="7">
        <v>60.686</v>
      </c>
      <c r="AF13" s="7">
        <v>18.696999999999999</v>
      </c>
      <c r="AG13" s="7">
        <v>0</v>
      </c>
      <c r="AH13" s="7">
        <v>6.165</v>
      </c>
      <c r="AI13" s="7">
        <v>0</v>
      </c>
      <c r="AJ13" s="7">
        <v>1.278</v>
      </c>
      <c r="AK13" s="7">
        <v>0.78700000000000003</v>
      </c>
      <c r="AL13" s="7">
        <v>20.881</v>
      </c>
      <c r="AM13" s="7">
        <v>94.292000000000002</v>
      </c>
      <c r="AN13" s="7">
        <v>4.516</v>
      </c>
      <c r="AO13" s="7">
        <v>10.657999999999999</v>
      </c>
      <c r="AP13" s="7">
        <v>3.2570000000000001</v>
      </c>
      <c r="AQ13" s="7">
        <v>6.9660000000000002</v>
      </c>
    </row>
    <row r="14" spans="1:44" x14ac:dyDescent="0.25">
      <c r="A14" t="s">
        <v>164</v>
      </c>
      <c r="B14" s="1" t="s">
        <v>12</v>
      </c>
      <c r="C14" s="1" t="s">
        <v>298</v>
      </c>
      <c r="D14" s="1" t="s">
        <v>283</v>
      </c>
      <c r="E14" s="21">
        <v>2017</v>
      </c>
      <c r="F14" s="7">
        <v>39.077171994443297</v>
      </c>
      <c r="G14" s="7">
        <v>1.821</v>
      </c>
      <c r="H14" s="7">
        <v>0.52500000000000002</v>
      </c>
      <c r="I14" s="7">
        <v>0.52600000000000002</v>
      </c>
      <c r="J14" s="7">
        <v>0.13600000000000001</v>
      </c>
      <c r="K14" s="7">
        <v>0.38200000000000001</v>
      </c>
      <c r="L14" s="7">
        <v>0</v>
      </c>
      <c r="M14" s="7">
        <v>0.435</v>
      </c>
      <c r="N14" s="7">
        <v>0</v>
      </c>
      <c r="O14" s="7">
        <v>0</v>
      </c>
      <c r="P14" s="7">
        <v>0.93</v>
      </c>
      <c r="Q14" s="7">
        <v>0.127</v>
      </c>
      <c r="R14" s="7">
        <v>0</v>
      </c>
      <c r="S14" s="7">
        <v>1.5940000000000001</v>
      </c>
      <c r="T14" s="7">
        <v>0.86099999999999999</v>
      </c>
      <c r="U14" s="7">
        <v>1.1140000000000001</v>
      </c>
      <c r="V14" s="7">
        <v>6.5000000000000002E-2</v>
      </c>
      <c r="W14" s="7">
        <v>0.59</v>
      </c>
      <c r="X14" s="7">
        <v>0.58099999999999996</v>
      </c>
      <c r="Y14" s="7">
        <v>0</v>
      </c>
      <c r="Z14" s="7">
        <v>0</v>
      </c>
      <c r="AA14" s="7">
        <v>1.4670000000000001</v>
      </c>
      <c r="AB14" s="7">
        <v>0.14799999999999999</v>
      </c>
      <c r="AC14" s="7">
        <v>0.11600000000000001</v>
      </c>
      <c r="AD14" s="7">
        <v>5.6000000000000001E-2</v>
      </c>
      <c r="AE14" s="7">
        <v>1.774</v>
      </c>
      <c r="AF14" s="7">
        <v>4.9290000000000003</v>
      </c>
      <c r="AG14" s="7">
        <v>0</v>
      </c>
      <c r="AH14" s="7">
        <v>2.23</v>
      </c>
      <c r="AI14" s="7">
        <v>0</v>
      </c>
      <c r="AJ14" s="7">
        <v>0.78700000000000003</v>
      </c>
      <c r="AK14" s="7">
        <v>0.16900000000000001</v>
      </c>
      <c r="AL14" s="7">
        <v>9.6869999999999994</v>
      </c>
      <c r="AM14" s="7">
        <v>11.507</v>
      </c>
      <c r="AN14" s="7">
        <v>1.1879999999999999</v>
      </c>
      <c r="AO14" s="7">
        <v>4.9320000000000004</v>
      </c>
      <c r="AP14" s="7">
        <v>1.365</v>
      </c>
      <c r="AQ14" s="7">
        <v>3.39</v>
      </c>
    </row>
    <row r="15" spans="1:44" x14ac:dyDescent="0.25">
      <c r="A15" t="s">
        <v>165</v>
      </c>
      <c r="B15" s="1" t="s">
        <v>12</v>
      </c>
      <c r="C15" s="1" t="s">
        <v>298</v>
      </c>
      <c r="D15" s="1" t="s">
        <v>283</v>
      </c>
      <c r="E15" s="21">
        <v>2017</v>
      </c>
      <c r="F15" s="7">
        <v>51.832351190553702</v>
      </c>
      <c r="G15" s="7">
        <v>2.1859999999999999</v>
      </c>
      <c r="H15" s="7">
        <v>0.48099999999999998</v>
      </c>
      <c r="I15" s="7">
        <v>0.36499999999999999</v>
      </c>
      <c r="J15" s="7">
        <v>0.21099999999999999</v>
      </c>
      <c r="K15" s="7">
        <v>0.45</v>
      </c>
      <c r="L15" s="7">
        <v>0</v>
      </c>
      <c r="M15" s="7">
        <v>0.6</v>
      </c>
      <c r="N15" s="7">
        <v>0</v>
      </c>
      <c r="O15" s="7">
        <v>0</v>
      </c>
      <c r="P15" s="7">
        <v>0.92700000000000005</v>
      </c>
      <c r="Q15" s="7">
        <v>0.16700000000000001</v>
      </c>
      <c r="R15" s="7">
        <v>0</v>
      </c>
      <c r="S15" s="7">
        <v>1.956</v>
      </c>
      <c r="T15" s="7">
        <v>1.24</v>
      </c>
      <c r="U15" s="7">
        <v>1.5029999999999999</v>
      </c>
      <c r="V15" s="7">
        <v>0.111</v>
      </c>
      <c r="W15" s="7">
        <v>0.67700000000000005</v>
      </c>
      <c r="X15" s="7">
        <v>0.70699999999999996</v>
      </c>
      <c r="Y15" s="7">
        <v>0</v>
      </c>
      <c r="Z15" s="7">
        <v>0</v>
      </c>
      <c r="AA15" s="7">
        <v>1.3859999999999999</v>
      </c>
      <c r="AB15" s="7">
        <v>0.23400000000000001</v>
      </c>
      <c r="AC15" s="7">
        <v>0.248</v>
      </c>
      <c r="AD15" s="7">
        <v>8.6999999999999994E-2</v>
      </c>
      <c r="AE15" s="7">
        <v>3.286</v>
      </c>
      <c r="AF15" s="7">
        <v>4.2140000000000004</v>
      </c>
      <c r="AG15" s="7">
        <v>0</v>
      </c>
      <c r="AH15" s="7">
        <v>4.7990000000000004</v>
      </c>
      <c r="AI15" s="7">
        <v>0</v>
      </c>
      <c r="AJ15" s="7">
        <v>1.9</v>
      </c>
      <c r="AK15" s="7">
        <v>0.20300000000000001</v>
      </c>
      <c r="AL15" s="7">
        <v>11.581</v>
      </c>
      <c r="AM15" s="7">
        <v>16.154</v>
      </c>
      <c r="AN15" s="7">
        <v>1.395</v>
      </c>
      <c r="AO15" s="7">
        <v>6.3609999999999998</v>
      </c>
      <c r="AP15" s="7">
        <v>1.5269999999999999</v>
      </c>
      <c r="AQ15" s="7">
        <v>3.6930000000000001</v>
      </c>
    </row>
    <row r="16" spans="1:44" x14ac:dyDescent="0.25">
      <c r="A16" t="s">
        <v>166</v>
      </c>
      <c r="B16" s="1" t="s">
        <v>12</v>
      </c>
      <c r="C16" s="1" t="s">
        <v>298</v>
      </c>
      <c r="D16" s="1" t="s">
        <v>283</v>
      </c>
      <c r="E16" s="21">
        <v>2017</v>
      </c>
      <c r="F16" s="7">
        <v>47.189053170420898</v>
      </c>
      <c r="G16" s="7">
        <v>2.637</v>
      </c>
      <c r="H16" s="7">
        <v>0.81699999999999995</v>
      </c>
      <c r="I16" s="7">
        <v>0.57399999999999995</v>
      </c>
      <c r="J16" s="7">
        <v>0.158</v>
      </c>
      <c r="K16" s="7">
        <v>0.54600000000000004</v>
      </c>
      <c r="L16" s="7">
        <v>0</v>
      </c>
      <c r="M16" s="7">
        <v>0.55200000000000005</v>
      </c>
      <c r="N16" s="7">
        <v>0</v>
      </c>
      <c r="O16" s="7">
        <v>0</v>
      </c>
      <c r="P16" s="7">
        <v>1.274</v>
      </c>
      <c r="Q16" s="7">
        <v>0.17699999999999999</v>
      </c>
      <c r="R16" s="7">
        <v>0</v>
      </c>
      <c r="S16" s="7">
        <v>2.2639999999999998</v>
      </c>
      <c r="T16" s="7">
        <v>1.228</v>
      </c>
      <c r="U16" s="7">
        <v>1.6379999999999999</v>
      </c>
      <c r="V16" s="7">
        <v>7.5999999999999998E-2</v>
      </c>
      <c r="W16" s="7">
        <v>0.81100000000000005</v>
      </c>
      <c r="X16" s="7">
        <v>0.86599999999999999</v>
      </c>
      <c r="Y16" s="7">
        <v>5.8000000000000003E-2</v>
      </c>
      <c r="Z16" s="7">
        <v>0</v>
      </c>
      <c r="AA16" s="7">
        <v>1.3160000000000001</v>
      </c>
      <c r="AB16" s="7">
        <v>0.16300000000000001</v>
      </c>
      <c r="AC16" s="7">
        <v>0.16600000000000001</v>
      </c>
      <c r="AD16" s="7">
        <v>8.6999999999999994E-2</v>
      </c>
      <c r="AE16" s="7">
        <v>2.0630000000000002</v>
      </c>
      <c r="AF16" s="7">
        <v>5.0010000000000003</v>
      </c>
      <c r="AG16" s="7">
        <v>0</v>
      </c>
      <c r="AH16" s="7">
        <v>3.056</v>
      </c>
      <c r="AI16" s="7">
        <v>0</v>
      </c>
      <c r="AJ16" s="7">
        <v>0.74099999999999999</v>
      </c>
      <c r="AK16" s="7">
        <v>0.21299999999999999</v>
      </c>
      <c r="AL16" s="7">
        <v>13.676</v>
      </c>
      <c r="AM16" s="7">
        <v>12.593</v>
      </c>
      <c r="AN16" s="7">
        <v>0.92100000000000004</v>
      </c>
      <c r="AO16" s="7">
        <v>7.1180000000000003</v>
      </c>
      <c r="AP16" s="7">
        <v>1.8260000000000001</v>
      </c>
      <c r="AQ16" s="7">
        <v>4.7320000000000002</v>
      </c>
    </row>
    <row r="17" spans="1:43" x14ac:dyDescent="0.25">
      <c r="A17" t="s">
        <v>167</v>
      </c>
      <c r="B17" s="1" t="s">
        <v>12</v>
      </c>
      <c r="C17" s="1" t="s">
        <v>298</v>
      </c>
      <c r="D17" s="1" t="s">
        <v>283</v>
      </c>
      <c r="E17" s="21">
        <v>2017</v>
      </c>
      <c r="F17" s="7">
        <v>42.828535469469699</v>
      </c>
      <c r="G17" s="7">
        <v>2.3879999999999999</v>
      </c>
      <c r="H17" s="7">
        <v>0.86899999999999999</v>
      </c>
      <c r="I17" s="7">
        <v>0.79800000000000004</v>
      </c>
      <c r="J17" s="7">
        <v>0.15</v>
      </c>
      <c r="K17" s="7">
        <v>0.502</v>
      </c>
      <c r="L17" s="7">
        <v>0</v>
      </c>
      <c r="M17" s="7">
        <v>0.54700000000000004</v>
      </c>
      <c r="N17" s="7">
        <v>0</v>
      </c>
      <c r="O17" s="7">
        <v>0</v>
      </c>
      <c r="P17" s="7">
        <v>1.171</v>
      </c>
      <c r="Q17" s="7">
        <v>0.154</v>
      </c>
      <c r="R17" s="7">
        <v>0</v>
      </c>
      <c r="S17" s="7">
        <v>2.048</v>
      </c>
      <c r="T17" s="7">
        <v>0.98</v>
      </c>
      <c r="U17" s="7">
        <v>1.486</v>
      </c>
      <c r="V17" s="7">
        <v>0.09</v>
      </c>
      <c r="W17" s="7">
        <v>0.80900000000000005</v>
      </c>
      <c r="X17" s="7">
        <v>0.76200000000000001</v>
      </c>
      <c r="Y17" s="7">
        <v>5.3999999999999999E-2</v>
      </c>
      <c r="Z17" s="7">
        <v>0</v>
      </c>
      <c r="AA17" s="7">
        <v>1.619</v>
      </c>
      <c r="AB17" s="7">
        <v>0.14699999999999999</v>
      </c>
      <c r="AC17" s="7">
        <v>0.14299999999999999</v>
      </c>
      <c r="AD17" s="7">
        <v>6.9000000000000006E-2</v>
      </c>
      <c r="AE17" s="7">
        <v>1.6319999999999999</v>
      </c>
      <c r="AF17" s="7">
        <v>5.1760000000000002</v>
      </c>
      <c r="AG17" s="7">
        <v>0</v>
      </c>
      <c r="AH17" s="7">
        <v>2.2429999999999999</v>
      </c>
      <c r="AI17" s="7">
        <v>0</v>
      </c>
      <c r="AJ17" s="7">
        <v>0.79800000000000004</v>
      </c>
      <c r="AK17" s="7">
        <v>0.16700000000000001</v>
      </c>
      <c r="AL17" s="7">
        <v>12.808</v>
      </c>
      <c r="AM17" s="7">
        <v>11.827</v>
      </c>
      <c r="AN17" s="7">
        <v>0.92300000000000004</v>
      </c>
      <c r="AO17" s="7">
        <v>6.383</v>
      </c>
      <c r="AP17" s="7">
        <v>1.718</v>
      </c>
      <c r="AQ17" s="7">
        <v>4.7069999999999999</v>
      </c>
    </row>
    <row r="18" spans="1:43" x14ac:dyDescent="0.25">
      <c r="A18" t="s">
        <v>168</v>
      </c>
      <c r="B18" s="1" t="s">
        <v>13</v>
      </c>
      <c r="C18" s="1" t="s">
        <v>283</v>
      </c>
      <c r="D18" s="1" t="s">
        <v>286</v>
      </c>
      <c r="E18" s="21">
        <v>2017</v>
      </c>
      <c r="F18" s="7">
        <v>122.94058921818799</v>
      </c>
      <c r="G18" s="7">
        <v>6.1109999999999998</v>
      </c>
      <c r="H18" s="7">
        <v>1.393</v>
      </c>
      <c r="I18" s="7">
        <v>0.98</v>
      </c>
      <c r="J18" s="7">
        <v>0.54600000000000004</v>
      </c>
      <c r="K18" s="7">
        <v>1.2310000000000001</v>
      </c>
      <c r="L18" s="7">
        <v>0</v>
      </c>
      <c r="M18" s="7">
        <v>1.3520000000000001</v>
      </c>
      <c r="N18" s="7">
        <v>0.115</v>
      </c>
      <c r="O18" s="7">
        <v>0</v>
      </c>
      <c r="P18" s="7">
        <v>3.1890000000000001</v>
      </c>
      <c r="Q18" s="7">
        <v>0.59099999999999997</v>
      </c>
      <c r="R18" s="7">
        <v>6.5000000000000002E-2</v>
      </c>
      <c r="S18" s="7">
        <v>6.0890000000000004</v>
      </c>
      <c r="T18" s="7">
        <v>3.1440000000000001</v>
      </c>
      <c r="U18" s="7">
        <v>3.4769999999999999</v>
      </c>
      <c r="V18" s="7">
        <v>0.248</v>
      </c>
      <c r="W18" s="7">
        <v>2.0939999999999999</v>
      </c>
      <c r="X18" s="7">
        <v>2.0409999999999999</v>
      </c>
      <c r="Y18" s="7">
        <v>0.13300000000000001</v>
      </c>
      <c r="Z18" s="7">
        <v>0</v>
      </c>
      <c r="AA18" s="7">
        <v>7.4059999999999997</v>
      </c>
      <c r="AB18" s="7">
        <v>0.52900000000000003</v>
      </c>
      <c r="AC18" s="7">
        <v>0.34699999999999998</v>
      </c>
      <c r="AD18" s="7">
        <v>0.17799999999999999</v>
      </c>
      <c r="AE18" s="7">
        <v>6.266</v>
      </c>
      <c r="AF18" s="7">
        <v>11.000999999999999</v>
      </c>
      <c r="AG18" s="7">
        <v>0</v>
      </c>
      <c r="AH18" s="7">
        <v>8.1059999999999999</v>
      </c>
      <c r="AI18" s="7">
        <v>0</v>
      </c>
      <c r="AJ18" s="7">
        <v>3.5419999999999998</v>
      </c>
      <c r="AK18" s="7">
        <v>0.83199999999999996</v>
      </c>
      <c r="AL18" s="7">
        <v>32.798999999999999</v>
      </c>
      <c r="AM18" s="7">
        <v>37.375</v>
      </c>
      <c r="AN18" s="7">
        <v>1.1399999999999999</v>
      </c>
      <c r="AO18" s="7">
        <v>17.882000000000001</v>
      </c>
      <c r="AP18" s="7">
        <v>4.6559999999999997</v>
      </c>
      <c r="AQ18" s="7">
        <v>10.260999999999999</v>
      </c>
    </row>
    <row r="19" spans="1:43" x14ac:dyDescent="0.25">
      <c r="A19" t="s">
        <v>169</v>
      </c>
      <c r="B19" s="1" t="s">
        <v>13</v>
      </c>
      <c r="C19" s="1" t="s">
        <v>283</v>
      </c>
      <c r="D19" s="1" t="s">
        <v>286</v>
      </c>
      <c r="E19" s="21">
        <v>2017</v>
      </c>
      <c r="F19" s="7">
        <v>317.92136747485199</v>
      </c>
      <c r="G19" s="7">
        <v>11.611000000000001</v>
      </c>
      <c r="H19" s="7">
        <v>1.8029999999999999</v>
      </c>
      <c r="I19" s="7">
        <v>2.6059999999999999</v>
      </c>
      <c r="J19" s="7">
        <v>1.496</v>
      </c>
      <c r="K19" s="7">
        <v>2.903</v>
      </c>
      <c r="L19" s="7">
        <v>0</v>
      </c>
      <c r="M19" s="7">
        <v>3.1579999999999999</v>
      </c>
      <c r="N19" s="7">
        <v>0.29899999999999999</v>
      </c>
      <c r="O19" s="7">
        <v>0</v>
      </c>
      <c r="P19" s="7">
        <v>6.8140000000000001</v>
      </c>
      <c r="Q19" s="7">
        <v>1.5589999999999999</v>
      </c>
      <c r="R19" s="7">
        <v>0.183</v>
      </c>
      <c r="S19" s="7">
        <v>15.476000000000001</v>
      </c>
      <c r="T19" s="7">
        <v>8.3379999999999992</v>
      </c>
      <c r="U19" s="7">
        <v>9.0960000000000001</v>
      </c>
      <c r="V19" s="7">
        <v>0.66700000000000004</v>
      </c>
      <c r="W19" s="7">
        <v>4.7309999999999999</v>
      </c>
      <c r="X19" s="7">
        <v>5.0650000000000004</v>
      </c>
      <c r="Y19" s="7">
        <v>0.36599999999999999</v>
      </c>
      <c r="Z19" s="7">
        <v>0</v>
      </c>
      <c r="AA19" s="7">
        <v>9.2989999999999995</v>
      </c>
      <c r="AB19" s="7">
        <v>0.84199999999999997</v>
      </c>
      <c r="AC19" s="7">
        <v>1.341</v>
      </c>
      <c r="AD19" s="7">
        <v>0.53600000000000003</v>
      </c>
      <c r="AE19" s="7">
        <v>25.498999999999999</v>
      </c>
      <c r="AF19" s="7">
        <v>27.672999999999998</v>
      </c>
      <c r="AG19" s="7">
        <v>0</v>
      </c>
      <c r="AH19" s="7">
        <v>22.8</v>
      </c>
      <c r="AI19" s="7">
        <v>0</v>
      </c>
      <c r="AJ19" s="7">
        <v>10.521000000000001</v>
      </c>
      <c r="AK19" s="7">
        <v>1.9710000000000001</v>
      </c>
      <c r="AL19" s="7">
        <v>76.171000000000006</v>
      </c>
      <c r="AM19" s="7">
        <v>98.510999999999996</v>
      </c>
      <c r="AN19" s="7">
        <v>1.2929999999999999</v>
      </c>
      <c r="AO19" s="7">
        <v>45.481000000000002</v>
      </c>
      <c r="AP19" s="7">
        <v>10.271000000000001</v>
      </c>
      <c r="AQ19" s="7">
        <v>20.419</v>
      </c>
    </row>
    <row r="20" spans="1:43" x14ac:dyDescent="0.25">
      <c r="A20" t="s">
        <v>170</v>
      </c>
      <c r="B20" s="1" t="s">
        <v>13</v>
      </c>
      <c r="C20" s="1" t="s">
        <v>283</v>
      </c>
      <c r="D20" s="1" t="s">
        <v>286</v>
      </c>
      <c r="E20" s="21">
        <v>2017</v>
      </c>
      <c r="F20" s="7">
        <v>136.52750962764301</v>
      </c>
      <c r="G20" s="7">
        <v>6.0369999999999999</v>
      </c>
      <c r="H20" s="7">
        <v>1.538</v>
      </c>
      <c r="I20" s="7">
        <v>0.89600000000000002</v>
      </c>
      <c r="J20" s="7">
        <v>0.51900000000000002</v>
      </c>
      <c r="K20" s="7">
        <v>1.1399999999999999</v>
      </c>
      <c r="L20" s="7">
        <v>0</v>
      </c>
      <c r="M20" s="7">
        <v>1.2849999999999999</v>
      </c>
      <c r="N20" s="7">
        <v>0.106</v>
      </c>
      <c r="O20" s="7">
        <v>0</v>
      </c>
      <c r="P20" s="7">
        <v>3.55</v>
      </c>
      <c r="Q20" s="7">
        <v>0.58799999999999997</v>
      </c>
      <c r="R20" s="7">
        <v>5.0999999999999997E-2</v>
      </c>
      <c r="S20" s="7">
        <v>5.86</v>
      </c>
      <c r="T20" s="7">
        <v>3.1</v>
      </c>
      <c r="U20" s="7">
        <v>3.0750000000000002</v>
      </c>
      <c r="V20" s="7">
        <v>0.223</v>
      </c>
      <c r="W20" s="7">
        <v>1.877</v>
      </c>
      <c r="X20" s="7">
        <v>1.8380000000000001</v>
      </c>
      <c r="Y20" s="7">
        <v>0.11</v>
      </c>
      <c r="Z20" s="7">
        <v>0.60899999999999999</v>
      </c>
      <c r="AA20" s="7">
        <v>9.1379999999999999</v>
      </c>
      <c r="AB20" s="7">
        <v>0.33200000000000002</v>
      </c>
      <c r="AC20" s="7">
        <v>0.33700000000000002</v>
      </c>
      <c r="AD20" s="7">
        <v>0.124</v>
      </c>
      <c r="AE20" s="7">
        <v>7.9039999999999999</v>
      </c>
      <c r="AF20" s="7">
        <v>27.081</v>
      </c>
      <c r="AG20" s="7">
        <v>0</v>
      </c>
      <c r="AH20" s="7">
        <v>7.7329999999999997</v>
      </c>
      <c r="AI20" s="7">
        <v>0</v>
      </c>
      <c r="AJ20" s="7">
        <v>2.6429999999999998</v>
      </c>
      <c r="AK20" s="7">
        <v>0.83499999999999996</v>
      </c>
      <c r="AL20" s="7">
        <v>32.402000000000001</v>
      </c>
      <c r="AM20" s="7">
        <v>55.292000000000002</v>
      </c>
      <c r="AN20" s="7">
        <v>1.706</v>
      </c>
      <c r="AO20" s="7">
        <v>17.331</v>
      </c>
      <c r="AP20" s="7">
        <v>4.9409999999999998</v>
      </c>
      <c r="AQ20" s="7">
        <v>10.130000000000001</v>
      </c>
    </row>
    <row r="21" spans="1:43" x14ac:dyDescent="0.25">
      <c r="A21" t="s">
        <v>171</v>
      </c>
      <c r="B21" s="1" t="s">
        <v>13</v>
      </c>
      <c r="C21" s="1" t="s">
        <v>283</v>
      </c>
      <c r="D21" s="1" t="s">
        <v>286</v>
      </c>
      <c r="E21" s="21">
        <v>2017</v>
      </c>
      <c r="F21" s="7">
        <v>95.375941041711499</v>
      </c>
      <c r="G21" s="7">
        <v>4.8220000000000001</v>
      </c>
      <c r="H21" s="7">
        <v>1.177</v>
      </c>
      <c r="I21" s="7">
        <v>0.90400000000000003</v>
      </c>
      <c r="J21" s="7">
        <v>0.39400000000000002</v>
      </c>
      <c r="K21" s="7">
        <v>1.0129999999999999</v>
      </c>
      <c r="L21" s="7">
        <v>0</v>
      </c>
      <c r="M21" s="7">
        <v>1.048</v>
      </c>
      <c r="N21" s="7">
        <v>9.9000000000000005E-2</v>
      </c>
      <c r="O21" s="7">
        <v>0</v>
      </c>
      <c r="P21" s="7">
        <v>2.702</v>
      </c>
      <c r="Q21" s="7">
        <v>0.42099999999999999</v>
      </c>
      <c r="R21" s="7">
        <v>0</v>
      </c>
      <c r="S21" s="7">
        <v>4.6829999999999998</v>
      </c>
      <c r="T21" s="7">
        <v>2.3359999999999999</v>
      </c>
      <c r="U21" s="7">
        <v>2.6030000000000002</v>
      </c>
      <c r="V21" s="7">
        <v>0.17799999999999999</v>
      </c>
      <c r="W21" s="7">
        <v>1.573</v>
      </c>
      <c r="X21" s="7">
        <v>1.534</v>
      </c>
      <c r="Y21" s="7">
        <v>0.13900000000000001</v>
      </c>
      <c r="Z21" s="7">
        <v>0</v>
      </c>
      <c r="AA21" s="7">
        <v>7.8310000000000004</v>
      </c>
      <c r="AB21" s="7">
        <v>0.49099999999999999</v>
      </c>
      <c r="AC21" s="7">
        <v>0.24299999999999999</v>
      </c>
      <c r="AD21" s="7">
        <v>0.125</v>
      </c>
      <c r="AE21" s="7">
        <v>4.0469999999999997</v>
      </c>
      <c r="AF21" s="7">
        <v>8.7889999999999997</v>
      </c>
      <c r="AG21" s="7">
        <v>0</v>
      </c>
      <c r="AH21" s="7">
        <v>6.202</v>
      </c>
      <c r="AI21" s="7">
        <v>0</v>
      </c>
      <c r="AJ21" s="7">
        <v>2.2040000000000002</v>
      </c>
      <c r="AK21" s="7">
        <v>0.747</v>
      </c>
      <c r="AL21" s="7">
        <v>25.626000000000001</v>
      </c>
      <c r="AM21" s="7">
        <v>29.931999999999999</v>
      </c>
      <c r="AN21" s="7">
        <v>1.1679999999999999</v>
      </c>
      <c r="AO21" s="7">
        <v>13.467000000000001</v>
      </c>
      <c r="AP21" s="7">
        <v>3.8490000000000002</v>
      </c>
      <c r="AQ21" s="7">
        <v>8.31</v>
      </c>
    </row>
    <row r="22" spans="1:43" x14ac:dyDescent="0.25">
      <c r="A22" t="s">
        <v>160</v>
      </c>
      <c r="B22" s="1" t="s">
        <v>11</v>
      </c>
      <c r="C22" s="1" t="s">
        <v>283</v>
      </c>
      <c r="D22" s="1" t="s">
        <v>286</v>
      </c>
      <c r="E22" s="21">
        <v>2017</v>
      </c>
      <c r="F22" s="7">
        <v>178.54069284489501</v>
      </c>
      <c r="G22" s="7">
        <v>7.54</v>
      </c>
      <c r="H22" s="7">
        <v>2.2170000000000001</v>
      </c>
      <c r="I22" s="7">
        <v>1.2649999999999999</v>
      </c>
      <c r="J22" s="7">
        <v>0.69199999999999995</v>
      </c>
      <c r="K22" s="7">
        <v>1.8540000000000001</v>
      </c>
      <c r="L22" s="7">
        <v>0</v>
      </c>
      <c r="M22" s="7">
        <v>1.738</v>
      </c>
      <c r="N22" s="7">
        <v>0.28399999999999997</v>
      </c>
      <c r="O22" s="7">
        <v>0</v>
      </c>
      <c r="P22" s="7">
        <v>4.7670000000000003</v>
      </c>
      <c r="Q22" s="7">
        <v>0.77500000000000002</v>
      </c>
      <c r="R22" s="7">
        <v>0</v>
      </c>
      <c r="S22" s="7">
        <v>7.056</v>
      </c>
      <c r="T22" s="7">
        <v>4.1609999999999996</v>
      </c>
      <c r="U22" s="7">
        <v>3.891</v>
      </c>
      <c r="V22" s="7">
        <v>0.309</v>
      </c>
      <c r="W22" s="7">
        <v>2.5299999999999998</v>
      </c>
      <c r="X22" s="7">
        <v>2.6880000000000002</v>
      </c>
      <c r="Y22" s="7">
        <v>0.55500000000000005</v>
      </c>
      <c r="Z22" s="7">
        <v>0</v>
      </c>
      <c r="AA22" s="7">
        <v>6.1050000000000004</v>
      </c>
      <c r="AB22" s="7">
        <v>0.56299999999999994</v>
      </c>
      <c r="AC22" s="7">
        <v>0.65200000000000002</v>
      </c>
      <c r="AD22" s="7">
        <v>0</v>
      </c>
      <c r="AE22" s="7">
        <v>14.6</v>
      </c>
      <c r="AF22" s="7">
        <v>25.9</v>
      </c>
      <c r="AG22" s="7">
        <v>0</v>
      </c>
      <c r="AH22" s="7">
        <v>11.189</v>
      </c>
      <c r="AI22" s="7">
        <v>0</v>
      </c>
      <c r="AJ22" s="7">
        <v>2.1019999999999999</v>
      </c>
      <c r="AK22" s="7">
        <v>1.246</v>
      </c>
      <c r="AL22" s="7">
        <v>42.322000000000003</v>
      </c>
      <c r="AM22" s="7">
        <v>61.110999999999997</v>
      </c>
      <c r="AN22" s="7">
        <v>1.444</v>
      </c>
      <c r="AO22" s="7">
        <v>21.965</v>
      </c>
      <c r="AP22" s="7">
        <v>6.7889999999999997</v>
      </c>
      <c r="AQ22" s="7">
        <v>13.568</v>
      </c>
    </row>
    <row r="23" spans="1:43" x14ac:dyDescent="0.25">
      <c r="A23" t="s">
        <v>161</v>
      </c>
      <c r="B23" s="1" t="s">
        <v>11</v>
      </c>
      <c r="C23" s="1" t="s">
        <v>283</v>
      </c>
      <c r="D23" s="1" t="s">
        <v>286</v>
      </c>
      <c r="E23" s="21">
        <v>2017</v>
      </c>
      <c r="F23" s="7">
        <v>147.65977650026201</v>
      </c>
      <c r="G23" s="7">
        <v>7.016</v>
      </c>
      <c r="H23" s="7">
        <v>1.38</v>
      </c>
      <c r="I23" s="7">
        <v>0.95599999999999996</v>
      </c>
      <c r="J23" s="7">
        <v>0.73699999999999999</v>
      </c>
      <c r="K23" s="7">
        <v>1.484</v>
      </c>
      <c r="L23" s="7">
        <v>0</v>
      </c>
      <c r="M23" s="7">
        <v>1.3640000000000001</v>
      </c>
      <c r="N23" s="7">
        <v>0.221</v>
      </c>
      <c r="O23" s="7">
        <v>0</v>
      </c>
      <c r="P23" s="7">
        <v>4.1740000000000004</v>
      </c>
      <c r="Q23" s="7">
        <v>0.629</v>
      </c>
      <c r="R23" s="7">
        <v>0</v>
      </c>
      <c r="S23" s="7">
        <v>7.0460000000000003</v>
      </c>
      <c r="T23" s="7">
        <v>3.52</v>
      </c>
      <c r="U23" s="7">
        <v>3.8959999999999999</v>
      </c>
      <c r="V23" s="7">
        <v>0.27800000000000002</v>
      </c>
      <c r="W23" s="7">
        <v>2.4369999999999998</v>
      </c>
      <c r="X23" s="7">
        <v>2.3119999999999998</v>
      </c>
      <c r="Y23" s="7">
        <v>0.47299999999999998</v>
      </c>
      <c r="Z23" s="7">
        <v>0.80800000000000005</v>
      </c>
      <c r="AA23" s="7">
        <v>9.6389999999999993</v>
      </c>
      <c r="AB23" s="7">
        <v>0.52400000000000002</v>
      </c>
      <c r="AC23" s="7">
        <v>0.48299999999999998</v>
      </c>
      <c r="AD23" s="7">
        <v>0.19700000000000001</v>
      </c>
      <c r="AE23" s="7">
        <v>8.6449999999999996</v>
      </c>
      <c r="AF23" s="7">
        <v>10.986000000000001</v>
      </c>
      <c r="AG23" s="7">
        <v>0</v>
      </c>
      <c r="AH23" s="7">
        <v>12.47</v>
      </c>
      <c r="AI23" s="7">
        <v>0</v>
      </c>
      <c r="AJ23" s="7">
        <v>2.903</v>
      </c>
      <c r="AK23" s="7">
        <v>1.1839999999999999</v>
      </c>
      <c r="AL23" s="7">
        <v>38.731000000000002</v>
      </c>
      <c r="AM23" s="7">
        <v>45.847000000000001</v>
      </c>
      <c r="AN23" s="7">
        <v>1.1839999999999999</v>
      </c>
      <c r="AO23" s="7">
        <v>21.399000000000001</v>
      </c>
      <c r="AP23" s="7">
        <v>5.7590000000000003</v>
      </c>
      <c r="AQ23" s="7">
        <v>11.573</v>
      </c>
    </row>
    <row r="24" spans="1:43" x14ac:dyDescent="0.25">
      <c r="A24" t="s">
        <v>162</v>
      </c>
      <c r="B24" s="1" t="s">
        <v>11</v>
      </c>
      <c r="C24" s="1" t="s">
        <v>283</v>
      </c>
      <c r="D24" s="1" t="s">
        <v>286</v>
      </c>
      <c r="E24" s="21">
        <v>2017</v>
      </c>
      <c r="F24" s="7">
        <v>240.443168447679</v>
      </c>
      <c r="G24" s="7">
        <v>8.3239999999999998</v>
      </c>
      <c r="H24" s="7">
        <v>1.5680000000000001</v>
      </c>
      <c r="I24" s="7">
        <v>1.9910000000000001</v>
      </c>
      <c r="J24" s="7">
        <v>1</v>
      </c>
      <c r="K24" s="7">
        <v>2.2999999999999998</v>
      </c>
      <c r="L24" s="7">
        <v>0</v>
      </c>
      <c r="M24" s="7">
        <v>1.8859999999999999</v>
      </c>
      <c r="N24" s="7">
        <v>0.217</v>
      </c>
      <c r="O24" s="7">
        <v>0</v>
      </c>
      <c r="P24" s="7">
        <v>4.8899999999999997</v>
      </c>
      <c r="Q24" s="7">
        <v>1.0780000000000001</v>
      </c>
      <c r="R24" s="7">
        <v>7.3999999999999996E-2</v>
      </c>
      <c r="S24" s="7">
        <v>9.6110000000000007</v>
      </c>
      <c r="T24" s="7">
        <v>5.726</v>
      </c>
      <c r="U24" s="7">
        <v>6.3620000000000001</v>
      </c>
      <c r="V24" s="7">
        <v>0.437</v>
      </c>
      <c r="W24" s="7">
        <v>3.1720000000000002</v>
      </c>
      <c r="X24" s="7">
        <v>3.5880000000000001</v>
      </c>
      <c r="Y24" s="7">
        <v>0.38</v>
      </c>
      <c r="Z24" s="7">
        <v>0</v>
      </c>
      <c r="AA24" s="7">
        <v>18.855</v>
      </c>
      <c r="AB24" s="7">
        <v>0.57899999999999996</v>
      </c>
      <c r="AC24" s="7">
        <v>0.76</v>
      </c>
      <c r="AD24" s="7">
        <v>0.26300000000000001</v>
      </c>
      <c r="AE24" s="7">
        <v>15.993</v>
      </c>
      <c r="AF24" s="7">
        <v>23.974</v>
      </c>
      <c r="AG24" s="7">
        <v>0</v>
      </c>
      <c r="AH24" s="7">
        <v>22.305</v>
      </c>
      <c r="AI24" s="7">
        <v>0</v>
      </c>
      <c r="AJ24" s="7">
        <v>3.9940000000000002</v>
      </c>
      <c r="AK24" s="7">
        <v>2.4089999999999998</v>
      </c>
      <c r="AL24" s="7">
        <v>52.603999999999999</v>
      </c>
      <c r="AM24" s="7">
        <v>86.722999999999999</v>
      </c>
      <c r="AN24" s="7">
        <v>1.649</v>
      </c>
      <c r="AO24" s="7">
        <v>30.428000000000001</v>
      </c>
      <c r="AP24" s="7">
        <v>6.9930000000000003</v>
      </c>
      <c r="AQ24" s="7">
        <v>15.183</v>
      </c>
    </row>
    <row r="25" spans="1:43" x14ac:dyDescent="0.25">
      <c r="A25" t="s">
        <v>163</v>
      </c>
      <c r="B25" s="1" t="s">
        <v>11</v>
      </c>
      <c r="C25" s="1" t="s">
        <v>283</v>
      </c>
      <c r="D25" s="1" t="s">
        <v>286</v>
      </c>
      <c r="E25" s="21">
        <v>2017</v>
      </c>
      <c r="F25" s="7">
        <v>165.221058362837</v>
      </c>
      <c r="G25" s="7">
        <v>6.6959999999999997</v>
      </c>
      <c r="H25" s="7">
        <v>1.3109999999999999</v>
      </c>
      <c r="I25" s="7">
        <v>1.4630000000000001</v>
      </c>
      <c r="J25" s="7">
        <v>0.68100000000000005</v>
      </c>
      <c r="K25" s="7">
        <v>1.4770000000000001</v>
      </c>
      <c r="L25" s="7">
        <v>0</v>
      </c>
      <c r="M25" s="7">
        <v>1.4039999999999999</v>
      </c>
      <c r="N25" s="7">
        <v>0.20300000000000001</v>
      </c>
      <c r="O25" s="7">
        <v>0</v>
      </c>
      <c r="P25" s="7">
        <v>4.2990000000000004</v>
      </c>
      <c r="Q25" s="7">
        <v>0.67900000000000005</v>
      </c>
      <c r="R25" s="7">
        <v>0.13500000000000001</v>
      </c>
      <c r="S25" s="7">
        <v>6.9139999999999997</v>
      </c>
      <c r="T25" s="7">
        <v>3.44</v>
      </c>
      <c r="U25" s="7">
        <v>3.903</v>
      </c>
      <c r="V25" s="7">
        <v>0.314</v>
      </c>
      <c r="W25" s="7">
        <v>2.38</v>
      </c>
      <c r="X25" s="7">
        <v>2.3820000000000001</v>
      </c>
      <c r="Y25" s="7">
        <v>0.47799999999999998</v>
      </c>
      <c r="Z25" s="7">
        <v>0</v>
      </c>
      <c r="AA25" s="7">
        <v>13.311</v>
      </c>
      <c r="AB25" s="7">
        <v>0.55900000000000005</v>
      </c>
      <c r="AC25" s="7">
        <v>0.44900000000000001</v>
      </c>
      <c r="AD25" s="7">
        <v>0.23599999999999999</v>
      </c>
      <c r="AE25" s="7">
        <v>8.2089999999999996</v>
      </c>
      <c r="AF25" s="7">
        <v>14.661</v>
      </c>
      <c r="AG25" s="7">
        <v>0</v>
      </c>
      <c r="AH25" s="7">
        <v>11.46</v>
      </c>
      <c r="AI25" s="7">
        <v>0</v>
      </c>
      <c r="AJ25" s="7">
        <v>2.8620000000000001</v>
      </c>
      <c r="AK25" s="7">
        <v>1.694</v>
      </c>
      <c r="AL25" s="7">
        <v>38.158999999999999</v>
      </c>
      <c r="AM25" s="7">
        <v>51.747</v>
      </c>
      <c r="AN25" s="7">
        <v>1.3560000000000001</v>
      </c>
      <c r="AO25" s="7">
        <v>20.625</v>
      </c>
      <c r="AP25" s="7">
        <v>5.9059999999999997</v>
      </c>
      <c r="AQ25" s="7">
        <v>11.628</v>
      </c>
    </row>
    <row r="26" spans="1:43" x14ac:dyDescent="0.25">
      <c r="A26" t="s">
        <v>164</v>
      </c>
      <c r="B26" s="1" t="s">
        <v>12</v>
      </c>
      <c r="C26" s="1" t="s">
        <v>298</v>
      </c>
      <c r="D26" s="1" t="s">
        <v>283</v>
      </c>
      <c r="E26" s="21">
        <v>2017</v>
      </c>
      <c r="F26" s="7">
        <v>46.343213228080302</v>
      </c>
      <c r="G26" s="7">
        <v>1.9890000000000001</v>
      </c>
      <c r="H26" s="7">
        <v>0.78</v>
      </c>
      <c r="I26" s="7">
        <v>0.39800000000000002</v>
      </c>
      <c r="J26" s="7">
        <v>5.8999999999999997E-2</v>
      </c>
      <c r="K26" s="7">
        <v>0.6</v>
      </c>
      <c r="L26" s="7">
        <v>0</v>
      </c>
      <c r="M26" s="7">
        <v>0.50800000000000001</v>
      </c>
      <c r="N26" s="7">
        <v>0</v>
      </c>
      <c r="O26" s="7">
        <v>0</v>
      </c>
      <c r="P26" s="7">
        <v>1.425</v>
      </c>
      <c r="Q26" s="7">
        <v>0.109</v>
      </c>
      <c r="R26" s="7">
        <v>0</v>
      </c>
      <c r="S26" s="7">
        <v>1.619</v>
      </c>
      <c r="T26" s="7">
        <v>0.66400000000000003</v>
      </c>
      <c r="U26" s="7">
        <v>1.3149999999999999</v>
      </c>
      <c r="V26" s="7">
        <v>6.2E-2</v>
      </c>
      <c r="W26" s="7">
        <v>0.81200000000000006</v>
      </c>
      <c r="X26" s="7">
        <v>0.79100000000000004</v>
      </c>
      <c r="Y26" s="7">
        <v>0.26500000000000001</v>
      </c>
      <c r="Z26" s="7">
        <v>0.35199999999999998</v>
      </c>
      <c r="AA26" s="7">
        <v>4.2869999999999999</v>
      </c>
      <c r="AB26" s="7">
        <v>0.44</v>
      </c>
      <c r="AC26" s="7">
        <v>0</v>
      </c>
      <c r="AD26" s="7">
        <v>5.8999999999999997E-2</v>
      </c>
      <c r="AE26" s="7">
        <v>1.411</v>
      </c>
      <c r="AF26" s="7">
        <v>3.5179999999999998</v>
      </c>
      <c r="AG26" s="7">
        <v>0</v>
      </c>
      <c r="AH26" s="7">
        <v>2.665</v>
      </c>
      <c r="AI26" s="7">
        <v>0</v>
      </c>
      <c r="AJ26" s="7">
        <v>0.55600000000000005</v>
      </c>
      <c r="AK26" s="7">
        <v>0.77400000000000002</v>
      </c>
      <c r="AL26" s="7">
        <v>11.747999999999999</v>
      </c>
      <c r="AM26" s="7">
        <v>12.936</v>
      </c>
      <c r="AN26" s="7">
        <v>1.101</v>
      </c>
      <c r="AO26" s="7">
        <v>5.9889999999999999</v>
      </c>
      <c r="AP26" s="7">
        <v>1.9330000000000001</v>
      </c>
      <c r="AQ26" s="7">
        <v>3.8260000000000001</v>
      </c>
    </row>
    <row r="27" spans="1:43" x14ac:dyDescent="0.25">
      <c r="A27" t="s">
        <v>165</v>
      </c>
      <c r="B27" s="1" t="s">
        <v>12</v>
      </c>
      <c r="C27" s="1" t="s">
        <v>298</v>
      </c>
      <c r="D27" s="1" t="s">
        <v>283</v>
      </c>
      <c r="E27" s="21">
        <v>2017</v>
      </c>
      <c r="F27" s="7">
        <v>35.064109769537701</v>
      </c>
      <c r="G27" s="7">
        <v>1.986</v>
      </c>
      <c r="H27" s="7">
        <v>0.64100000000000001</v>
      </c>
      <c r="I27" s="7">
        <v>0.39300000000000002</v>
      </c>
      <c r="J27" s="7">
        <v>0.126</v>
      </c>
      <c r="K27" s="7">
        <v>0.55600000000000005</v>
      </c>
      <c r="L27" s="7">
        <v>0</v>
      </c>
      <c r="M27" s="7">
        <v>0.39700000000000002</v>
      </c>
      <c r="N27" s="7">
        <v>0</v>
      </c>
      <c r="O27" s="7">
        <v>0</v>
      </c>
      <c r="P27" s="7">
        <v>1.0409999999999999</v>
      </c>
      <c r="Q27" s="7">
        <v>0.09</v>
      </c>
      <c r="R27" s="7">
        <v>0</v>
      </c>
      <c r="S27" s="7">
        <v>1.4630000000000001</v>
      </c>
      <c r="T27" s="7">
        <v>0.70199999999999996</v>
      </c>
      <c r="U27" s="7">
        <v>1.054</v>
      </c>
      <c r="V27" s="7">
        <v>4.9000000000000002E-2</v>
      </c>
      <c r="W27" s="7">
        <v>0.64800000000000002</v>
      </c>
      <c r="X27" s="7">
        <v>0.63500000000000001</v>
      </c>
      <c r="Y27" s="7">
        <v>0</v>
      </c>
      <c r="Z27" s="7">
        <v>0</v>
      </c>
      <c r="AA27" s="7">
        <v>1.736</v>
      </c>
      <c r="AB27" s="7">
        <v>0</v>
      </c>
      <c r="AC27" s="7">
        <v>0.24399999999999999</v>
      </c>
      <c r="AD27" s="7">
        <v>0</v>
      </c>
      <c r="AE27" s="7">
        <v>1.2330000000000001</v>
      </c>
      <c r="AF27" s="7">
        <v>3.52</v>
      </c>
      <c r="AG27" s="7">
        <v>0</v>
      </c>
      <c r="AH27" s="7">
        <v>2.742</v>
      </c>
      <c r="AI27" s="7">
        <v>0</v>
      </c>
      <c r="AJ27" s="7">
        <v>0.52700000000000002</v>
      </c>
      <c r="AK27" s="7">
        <v>0.246</v>
      </c>
      <c r="AL27" s="7">
        <v>9.7810000000000006</v>
      </c>
      <c r="AM27" s="7">
        <v>10.002000000000001</v>
      </c>
      <c r="AN27" s="7">
        <v>1.0229999999999999</v>
      </c>
      <c r="AO27" s="7">
        <v>4.641</v>
      </c>
      <c r="AP27" s="7">
        <v>1.4379999999999999</v>
      </c>
      <c r="AQ27" s="7">
        <v>3.702</v>
      </c>
    </row>
    <row r="28" spans="1:43" x14ac:dyDescent="0.25">
      <c r="A28" t="s">
        <v>166</v>
      </c>
      <c r="B28" s="1" t="s">
        <v>12</v>
      </c>
      <c r="C28" s="1" t="s">
        <v>298</v>
      </c>
      <c r="D28" s="1" t="s">
        <v>283</v>
      </c>
      <c r="E28" s="21">
        <v>2017</v>
      </c>
      <c r="F28" s="7">
        <v>50.059655457886599</v>
      </c>
      <c r="G28" s="7">
        <v>2.1469999999999998</v>
      </c>
      <c r="H28" s="7">
        <v>0.59799999999999998</v>
      </c>
      <c r="I28" s="7">
        <v>0.78900000000000003</v>
      </c>
      <c r="J28" s="7">
        <v>0.14899999999999999</v>
      </c>
      <c r="K28" s="7">
        <v>0.45500000000000002</v>
      </c>
      <c r="L28" s="7">
        <v>0</v>
      </c>
      <c r="M28" s="7">
        <v>0.46400000000000002</v>
      </c>
      <c r="N28" s="7">
        <v>0</v>
      </c>
      <c r="O28" s="7">
        <v>0</v>
      </c>
      <c r="P28" s="7">
        <v>1.2070000000000001</v>
      </c>
      <c r="Q28" s="7">
        <v>0.13300000000000001</v>
      </c>
      <c r="R28" s="7">
        <v>0</v>
      </c>
      <c r="S28" s="7">
        <v>1.865</v>
      </c>
      <c r="T28" s="7">
        <v>0.85599999999999998</v>
      </c>
      <c r="U28" s="7">
        <v>1.4039999999999999</v>
      </c>
      <c r="V28" s="7">
        <v>8.3000000000000004E-2</v>
      </c>
      <c r="W28" s="7">
        <v>0.68</v>
      </c>
      <c r="X28" s="7">
        <v>0.70199999999999996</v>
      </c>
      <c r="Y28" s="7">
        <v>0</v>
      </c>
      <c r="Z28" s="7">
        <v>0</v>
      </c>
      <c r="AA28" s="7">
        <v>4.0540000000000003</v>
      </c>
      <c r="AB28" s="7">
        <v>0.32400000000000001</v>
      </c>
      <c r="AC28" s="7">
        <v>0</v>
      </c>
      <c r="AD28" s="7">
        <v>0</v>
      </c>
      <c r="AE28" s="7">
        <v>2.556</v>
      </c>
      <c r="AF28" s="7">
        <v>6.0819999999999999</v>
      </c>
      <c r="AG28" s="7">
        <v>0</v>
      </c>
      <c r="AH28" s="7">
        <v>2.855</v>
      </c>
      <c r="AI28" s="7">
        <v>0</v>
      </c>
      <c r="AJ28" s="7">
        <v>0.68899999999999995</v>
      </c>
      <c r="AK28" s="7">
        <v>0.252</v>
      </c>
      <c r="AL28" s="7">
        <v>11.532</v>
      </c>
      <c r="AM28" s="7">
        <v>16.559999999999999</v>
      </c>
      <c r="AN28" s="7">
        <v>1.4359999999999999</v>
      </c>
      <c r="AO28" s="7">
        <v>5.7229999999999999</v>
      </c>
      <c r="AP28" s="7">
        <v>1.671</v>
      </c>
      <c r="AQ28" s="7">
        <v>4.1379999999999999</v>
      </c>
    </row>
    <row r="29" spans="1:43" x14ac:dyDescent="0.25">
      <c r="A29" t="s">
        <v>167</v>
      </c>
      <c r="B29" s="1" t="s">
        <v>12</v>
      </c>
      <c r="C29" s="1" t="s">
        <v>298</v>
      </c>
      <c r="D29" s="1" t="s">
        <v>283</v>
      </c>
      <c r="E29" s="21">
        <v>2017</v>
      </c>
      <c r="F29" s="7">
        <v>53.6055357389493</v>
      </c>
      <c r="G29" s="7">
        <v>2.3079999999999998</v>
      </c>
      <c r="H29" s="7">
        <v>0.65200000000000002</v>
      </c>
      <c r="I29" s="7">
        <v>0.56699999999999995</v>
      </c>
      <c r="J29" s="7">
        <v>0.16800000000000001</v>
      </c>
      <c r="K29" s="7">
        <v>0.55700000000000005</v>
      </c>
      <c r="L29" s="7">
        <v>0</v>
      </c>
      <c r="M29" s="7">
        <v>0.59099999999999997</v>
      </c>
      <c r="N29" s="7">
        <v>7.0999999999999994E-2</v>
      </c>
      <c r="O29" s="7">
        <v>0</v>
      </c>
      <c r="P29" s="7">
        <v>1.1060000000000001</v>
      </c>
      <c r="Q29" s="7">
        <v>0.17100000000000001</v>
      </c>
      <c r="R29" s="7">
        <v>0</v>
      </c>
      <c r="S29" s="7">
        <v>1.931</v>
      </c>
      <c r="T29" s="7">
        <v>1.2070000000000001</v>
      </c>
      <c r="U29" s="7">
        <v>1.6160000000000001</v>
      </c>
      <c r="V29" s="7">
        <v>9.9000000000000005E-2</v>
      </c>
      <c r="W29" s="7">
        <v>0.80500000000000005</v>
      </c>
      <c r="X29" s="7">
        <v>0.81599999999999995</v>
      </c>
      <c r="Y29" s="7">
        <v>5.7000000000000002E-2</v>
      </c>
      <c r="Z29" s="7">
        <v>0</v>
      </c>
      <c r="AA29" s="7">
        <v>3.83</v>
      </c>
      <c r="AB29" s="7">
        <v>0.316</v>
      </c>
      <c r="AC29" s="7">
        <v>0.246</v>
      </c>
      <c r="AD29" s="7">
        <v>0</v>
      </c>
      <c r="AE29" s="7">
        <v>3.294</v>
      </c>
      <c r="AF29" s="7">
        <v>4.5780000000000003</v>
      </c>
      <c r="AG29" s="7">
        <v>0</v>
      </c>
      <c r="AH29" s="7">
        <v>3.1680000000000001</v>
      </c>
      <c r="AI29" s="7">
        <v>0</v>
      </c>
      <c r="AJ29" s="7">
        <v>1.0389999999999999</v>
      </c>
      <c r="AK29" s="7">
        <v>0.23699999999999999</v>
      </c>
      <c r="AL29" s="7">
        <v>12.722</v>
      </c>
      <c r="AM29" s="7">
        <v>16.471</v>
      </c>
      <c r="AN29" s="7">
        <v>1.2949999999999999</v>
      </c>
      <c r="AO29" s="7">
        <v>6.702</v>
      </c>
      <c r="AP29" s="7">
        <v>1.768</v>
      </c>
      <c r="AQ29" s="7">
        <v>4.2519999999999998</v>
      </c>
    </row>
    <row r="30" spans="1:43" x14ac:dyDescent="0.25">
      <c r="A30" t="s">
        <v>168</v>
      </c>
      <c r="B30" s="1" t="s">
        <v>13</v>
      </c>
      <c r="C30" s="1" t="s">
        <v>283</v>
      </c>
      <c r="D30" s="1" t="s">
        <v>286</v>
      </c>
      <c r="E30" s="21">
        <v>2017</v>
      </c>
      <c r="F30" s="7">
        <v>158.800365356724</v>
      </c>
      <c r="G30" s="7">
        <v>6.46</v>
      </c>
      <c r="H30" s="7">
        <v>1.2849999999999999</v>
      </c>
      <c r="I30" s="7">
        <v>1.3009999999999999</v>
      </c>
      <c r="J30" s="7">
        <v>0.80800000000000005</v>
      </c>
      <c r="K30" s="7">
        <v>1.849</v>
      </c>
      <c r="L30" s="7">
        <v>0</v>
      </c>
      <c r="M30" s="7">
        <v>1.5289999999999999</v>
      </c>
      <c r="N30" s="7">
        <v>0.13600000000000001</v>
      </c>
      <c r="O30" s="7">
        <v>0</v>
      </c>
      <c r="P30" s="7">
        <v>3.9449999999999998</v>
      </c>
      <c r="Q30" s="7">
        <v>0.81399999999999995</v>
      </c>
      <c r="R30" s="7">
        <v>0</v>
      </c>
      <c r="S30" s="7">
        <v>8.2010000000000005</v>
      </c>
      <c r="T30" s="7">
        <v>4.6210000000000004</v>
      </c>
      <c r="U30" s="7">
        <v>5.3819999999999997</v>
      </c>
      <c r="V30" s="7">
        <v>0.311</v>
      </c>
      <c r="W30" s="7">
        <v>2.766</v>
      </c>
      <c r="X30" s="7">
        <v>2.9449999999999998</v>
      </c>
      <c r="Y30" s="7">
        <v>0.193</v>
      </c>
      <c r="Z30" s="7">
        <v>0</v>
      </c>
      <c r="AA30" s="7">
        <v>4.9109999999999996</v>
      </c>
      <c r="AB30" s="7">
        <v>0.45800000000000002</v>
      </c>
      <c r="AC30" s="7">
        <v>0.627</v>
      </c>
      <c r="AD30" s="7">
        <v>0.22500000000000001</v>
      </c>
      <c r="AE30" s="7">
        <v>7.7930000000000001</v>
      </c>
      <c r="AF30" s="7">
        <v>13.069000000000001</v>
      </c>
      <c r="AG30" s="7">
        <v>0</v>
      </c>
      <c r="AH30" s="7">
        <v>11.010999999999999</v>
      </c>
      <c r="AI30" s="7">
        <v>0</v>
      </c>
      <c r="AJ30" s="7">
        <v>4.5860000000000003</v>
      </c>
      <c r="AK30" s="7">
        <v>1.0309999999999999</v>
      </c>
      <c r="AL30" s="7">
        <v>42.545999999999999</v>
      </c>
      <c r="AM30" s="7">
        <v>42.68</v>
      </c>
      <c r="AN30" s="7">
        <v>1.0029999999999999</v>
      </c>
      <c r="AO30" s="7">
        <v>25.233000000000001</v>
      </c>
      <c r="AP30" s="7">
        <v>5.61</v>
      </c>
      <c r="AQ30" s="7">
        <v>11.702999999999999</v>
      </c>
    </row>
    <row r="31" spans="1:43" x14ac:dyDescent="0.25">
      <c r="A31" t="s">
        <v>169</v>
      </c>
      <c r="B31" s="1" t="s">
        <v>13</v>
      </c>
      <c r="C31" s="1" t="s">
        <v>283</v>
      </c>
      <c r="D31" s="1" t="s">
        <v>286</v>
      </c>
      <c r="E31" s="21">
        <v>2017</v>
      </c>
      <c r="F31" s="7">
        <v>99.689948762228795</v>
      </c>
      <c r="G31" s="7">
        <v>4.8470000000000004</v>
      </c>
      <c r="H31" s="7">
        <v>1.389</v>
      </c>
      <c r="I31" s="7">
        <v>0.96</v>
      </c>
      <c r="J31" s="7">
        <v>0.41399999999999998</v>
      </c>
      <c r="K31" s="7">
        <v>1.1319999999999999</v>
      </c>
      <c r="L31" s="7">
        <v>0</v>
      </c>
      <c r="M31" s="7">
        <v>1.1839999999999999</v>
      </c>
      <c r="N31" s="7">
        <v>0.154</v>
      </c>
      <c r="O31" s="7">
        <v>0</v>
      </c>
      <c r="P31" s="7">
        <v>2.9630000000000001</v>
      </c>
      <c r="Q31" s="7">
        <v>0.42899999999999999</v>
      </c>
      <c r="R31" s="7">
        <v>7.2999999999999995E-2</v>
      </c>
      <c r="S31" s="7">
        <v>4.6459999999999999</v>
      </c>
      <c r="T31" s="7">
        <v>2.484</v>
      </c>
      <c r="U31" s="7">
        <v>3.1640000000000001</v>
      </c>
      <c r="V31" s="7">
        <v>0.30499999999999999</v>
      </c>
      <c r="W31" s="7">
        <v>1.9319999999999999</v>
      </c>
      <c r="X31" s="7">
        <v>1.9079999999999999</v>
      </c>
      <c r="Y31" s="7">
        <v>0.29099999999999998</v>
      </c>
      <c r="Z31" s="7">
        <v>0</v>
      </c>
      <c r="AA31" s="7">
        <v>4.3550000000000004</v>
      </c>
      <c r="AB31" s="7">
        <v>1.117</v>
      </c>
      <c r="AC31" s="7">
        <v>0</v>
      </c>
      <c r="AD31" s="7">
        <v>0.126</v>
      </c>
      <c r="AE31" s="7">
        <v>3.63</v>
      </c>
      <c r="AF31" s="7">
        <v>7.5679999999999996</v>
      </c>
      <c r="AG31" s="7">
        <v>0</v>
      </c>
      <c r="AH31" s="7">
        <v>4.8040000000000003</v>
      </c>
      <c r="AI31" s="7">
        <v>0</v>
      </c>
      <c r="AJ31" s="7">
        <v>2.1949999999999998</v>
      </c>
      <c r="AK31" s="7">
        <v>0.56100000000000005</v>
      </c>
      <c r="AL31" s="7">
        <v>28.274999999999999</v>
      </c>
      <c r="AM31" s="7">
        <v>23.795000000000002</v>
      </c>
      <c r="AN31" s="7">
        <v>0.84199999999999997</v>
      </c>
      <c r="AO31" s="7">
        <v>15.231999999999999</v>
      </c>
      <c r="AP31" s="7">
        <v>4.3010000000000002</v>
      </c>
      <c r="AQ31" s="7">
        <v>8.7420000000000009</v>
      </c>
    </row>
    <row r="32" spans="1:43" x14ac:dyDescent="0.25">
      <c r="A32" t="s">
        <v>170</v>
      </c>
      <c r="B32" s="1" t="s">
        <v>13</v>
      </c>
      <c r="C32" s="1" t="s">
        <v>283</v>
      </c>
      <c r="D32" s="1" t="s">
        <v>286</v>
      </c>
      <c r="E32" s="21">
        <v>2017</v>
      </c>
      <c r="F32" s="7">
        <v>110.29713512614801</v>
      </c>
      <c r="G32" s="7">
        <v>4.4779999999999998</v>
      </c>
      <c r="H32" s="7">
        <v>0.86499999999999999</v>
      </c>
      <c r="I32" s="7">
        <v>0.85</v>
      </c>
      <c r="J32" s="7">
        <v>0.66900000000000004</v>
      </c>
      <c r="K32" s="7">
        <v>1.2410000000000001</v>
      </c>
      <c r="L32" s="7">
        <v>0</v>
      </c>
      <c r="M32" s="7">
        <v>1.054</v>
      </c>
      <c r="N32" s="7">
        <v>0.11700000000000001</v>
      </c>
      <c r="O32" s="7">
        <v>0</v>
      </c>
      <c r="P32" s="7">
        <v>2.6219999999999999</v>
      </c>
      <c r="Q32" s="7">
        <v>0.48399999999999999</v>
      </c>
      <c r="R32" s="7">
        <v>0</v>
      </c>
      <c r="S32" s="7">
        <v>5.2089999999999996</v>
      </c>
      <c r="T32" s="7">
        <v>3.105</v>
      </c>
      <c r="U32" s="7">
        <v>3.7050000000000001</v>
      </c>
      <c r="V32" s="7">
        <v>0.20599999999999999</v>
      </c>
      <c r="W32" s="7">
        <v>1.845</v>
      </c>
      <c r="X32" s="7">
        <v>2.0099999999999998</v>
      </c>
      <c r="Y32" s="7">
        <v>0.20799999999999999</v>
      </c>
      <c r="Z32" s="7">
        <v>0</v>
      </c>
      <c r="AA32" s="7">
        <v>3.3490000000000002</v>
      </c>
      <c r="AB32" s="7">
        <v>0.35</v>
      </c>
      <c r="AC32" s="7">
        <v>0.437</v>
      </c>
      <c r="AD32" s="7">
        <v>9.5000000000000001E-2</v>
      </c>
      <c r="AE32" s="7">
        <v>9.7870000000000008</v>
      </c>
      <c r="AF32" s="7">
        <v>9.7230000000000008</v>
      </c>
      <c r="AG32" s="7">
        <v>0</v>
      </c>
      <c r="AH32" s="7">
        <v>7.875</v>
      </c>
      <c r="AI32" s="7">
        <v>0</v>
      </c>
      <c r="AJ32" s="7">
        <v>2.4039999999999999</v>
      </c>
      <c r="AK32" s="7">
        <v>0.52900000000000003</v>
      </c>
      <c r="AL32" s="7">
        <v>28.667999999999999</v>
      </c>
      <c r="AM32" s="7">
        <v>34.020000000000003</v>
      </c>
      <c r="AN32" s="7">
        <v>1.1870000000000001</v>
      </c>
      <c r="AO32" s="7">
        <v>16.771999999999998</v>
      </c>
      <c r="AP32" s="7">
        <v>3.7930000000000001</v>
      </c>
      <c r="AQ32" s="7">
        <v>8.1029999999999998</v>
      </c>
    </row>
    <row r="33" spans="1:43" x14ac:dyDescent="0.25">
      <c r="A33" t="s">
        <v>171</v>
      </c>
      <c r="B33" s="1" t="s">
        <v>13</v>
      </c>
      <c r="C33" s="1" t="s">
        <v>283</v>
      </c>
      <c r="D33" s="1" t="s">
        <v>286</v>
      </c>
      <c r="E33" s="21">
        <v>2017</v>
      </c>
      <c r="F33" s="7">
        <v>213.43401209393701</v>
      </c>
      <c r="G33" s="7">
        <v>7.468</v>
      </c>
      <c r="H33" s="7">
        <v>1.2709999999999999</v>
      </c>
      <c r="I33" s="7">
        <v>1.5469999999999999</v>
      </c>
      <c r="J33" s="7">
        <v>1.1020000000000001</v>
      </c>
      <c r="K33" s="7">
        <v>2.0310000000000001</v>
      </c>
      <c r="L33" s="7">
        <v>0</v>
      </c>
      <c r="M33" s="7">
        <v>2.0720000000000001</v>
      </c>
      <c r="N33" s="7">
        <v>0.33400000000000002</v>
      </c>
      <c r="O33" s="7">
        <v>0</v>
      </c>
      <c r="P33" s="7">
        <v>5.141</v>
      </c>
      <c r="Q33" s="7">
        <v>0.999</v>
      </c>
      <c r="R33" s="7">
        <v>6.2E-2</v>
      </c>
      <c r="S33" s="7">
        <v>9.5969999999999995</v>
      </c>
      <c r="T33" s="7">
        <v>5.117</v>
      </c>
      <c r="U33" s="7">
        <v>5.9989999999999997</v>
      </c>
      <c r="V33" s="7">
        <v>0.36399999999999999</v>
      </c>
      <c r="W33" s="7">
        <v>3.2010000000000001</v>
      </c>
      <c r="X33" s="7">
        <v>3.23</v>
      </c>
      <c r="Y33" s="7">
        <v>0.39100000000000001</v>
      </c>
      <c r="Z33" s="7">
        <v>0</v>
      </c>
      <c r="AA33" s="7">
        <v>10.724</v>
      </c>
      <c r="AB33" s="7">
        <v>0.69299999999999995</v>
      </c>
      <c r="AC33" s="7">
        <v>0.68500000000000005</v>
      </c>
      <c r="AD33" s="7">
        <v>0.252</v>
      </c>
      <c r="AE33" s="7">
        <v>14.326000000000001</v>
      </c>
      <c r="AF33" s="7">
        <v>17.879000000000001</v>
      </c>
      <c r="AG33" s="7">
        <v>0</v>
      </c>
      <c r="AH33" s="7">
        <v>12.775</v>
      </c>
      <c r="AI33" s="7">
        <v>0</v>
      </c>
      <c r="AJ33" s="7">
        <v>4.1630000000000003</v>
      </c>
      <c r="AK33" s="7">
        <v>1.369</v>
      </c>
      <c r="AL33" s="7">
        <v>49.926000000000002</v>
      </c>
      <c r="AM33" s="7">
        <v>61.497</v>
      </c>
      <c r="AN33" s="7">
        <v>1.232</v>
      </c>
      <c r="AO33" s="7">
        <v>28.96</v>
      </c>
      <c r="AP33" s="7">
        <v>7.5469999999999997</v>
      </c>
      <c r="AQ33" s="7">
        <v>13.419</v>
      </c>
    </row>
    <row r="34" spans="1:43" x14ac:dyDescent="0.25">
      <c r="A34" t="s">
        <v>799</v>
      </c>
      <c r="B34" s="1" t="s">
        <v>818</v>
      </c>
      <c r="C34" s="1" t="s">
        <v>283</v>
      </c>
      <c r="D34" s="1" t="s">
        <v>286</v>
      </c>
      <c r="E34" s="21">
        <v>2017</v>
      </c>
      <c r="G34">
        <v>4.8360000000000003</v>
      </c>
      <c r="H34">
        <v>1.823</v>
      </c>
      <c r="I34">
        <v>0.82699999999999996</v>
      </c>
      <c r="J34">
        <v>0.25900000000000001</v>
      </c>
      <c r="K34">
        <v>0.92300000000000004</v>
      </c>
      <c r="L34" s="7">
        <v>0</v>
      </c>
      <c r="M34">
        <v>1.0149999999999999</v>
      </c>
      <c r="N34">
        <v>8.1000000000000003E-2</v>
      </c>
      <c r="O34" s="7">
        <v>0</v>
      </c>
      <c r="P34">
        <v>2.4929999999999999</v>
      </c>
      <c r="Q34">
        <v>0.35899999999999999</v>
      </c>
      <c r="R34">
        <v>0</v>
      </c>
      <c r="S34">
        <v>3.6419999999999999</v>
      </c>
      <c r="T34">
        <v>2.056</v>
      </c>
      <c r="U34">
        <v>2.319</v>
      </c>
      <c r="V34">
        <v>0.14899999999999999</v>
      </c>
      <c r="W34">
        <v>1.2829999999999999</v>
      </c>
      <c r="X34">
        <v>1.304</v>
      </c>
      <c r="Y34">
        <v>0.51610398944417202</v>
      </c>
      <c r="Z34">
        <v>0.109</v>
      </c>
      <c r="AA34">
        <v>3.2250000000000001</v>
      </c>
      <c r="AB34">
        <v>0.40400000000000003</v>
      </c>
      <c r="AC34">
        <v>0.4</v>
      </c>
      <c r="AD34">
        <v>7.5999999999999998E-2</v>
      </c>
      <c r="AE34">
        <v>3.8180000000000001</v>
      </c>
      <c r="AF34">
        <v>8.5760000000000005</v>
      </c>
      <c r="AG34" s="7">
        <v>0</v>
      </c>
      <c r="AH34">
        <v>6.1479999999999997</v>
      </c>
      <c r="AI34" s="7">
        <v>0</v>
      </c>
      <c r="AJ34">
        <v>1.2270000000000001</v>
      </c>
      <c r="AK34">
        <v>0.94099999999999995</v>
      </c>
      <c r="AL34">
        <v>23.994103989444177</v>
      </c>
      <c r="AM34">
        <v>23.874000000000002</v>
      </c>
      <c r="AN34">
        <v>0.99499443740441351</v>
      </c>
      <c r="AO34">
        <v>11.73710398944417</v>
      </c>
      <c r="AP34">
        <v>3.5889999999999995</v>
      </c>
      <c r="AQ34">
        <v>8.668000000000001</v>
      </c>
    </row>
    <row r="35" spans="1:43" x14ac:dyDescent="0.25">
      <c r="A35" t="s">
        <v>800</v>
      </c>
      <c r="B35" s="1" t="s">
        <v>818</v>
      </c>
      <c r="C35" s="1" t="s">
        <v>283</v>
      </c>
      <c r="D35" s="1" t="s">
        <v>286</v>
      </c>
      <c r="E35" s="21">
        <v>2017</v>
      </c>
      <c r="G35">
        <v>5.52</v>
      </c>
      <c r="H35">
        <v>2.395</v>
      </c>
      <c r="I35">
        <v>0.76700000000000002</v>
      </c>
      <c r="J35">
        <v>0.30299999999999999</v>
      </c>
      <c r="K35">
        <v>1.091</v>
      </c>
      <c r="L35" s="7">
        <v>0</v>
      </c>
      <c r="M35">
        <v>1.099</v>
      </c>
      <c r="N35">
        <v>9.7000000000000003E-2</v>
      </c>
      <c r="O35" s="7">
        <v>0</v>
      </c>
      <c r="P35">
        <v>3.0339999999999998</v>
      </c>
      <c r="Q35">
        <v>0.46500000000000002</v>
      </c>
      <c r="R35">
        <v>0</v>
      </c>
      <c r="S35">
        <v>4.1760000000000002</v>
      </c>
      <c r="T35">
        <v>2.2029999999999998</v>
      </c>
      <c r="U35">
        <v>2.5720000000000001</v>
      </c>
      <c r="V35">
        <v>0.193</v>
      </c>
      <c r="W35">
        <v>1.6259999999999999</v>
      </c>
      <c r="X35">
        <v>1.581</v>
      </c>
      <c r="Y35">
        <v>0.70675635834119399</v>
      </c>
      <c r="Z35">
        <v>9.2999999999999999E-2</v>
      </c>
      <c r="AA35">
        <v>5.2350000000000003</v>
      </c>
      <c r="AB35">
        <v>0.40600000000000003</v>
      </c>
      <c r="AC35">
        <v>0.36799999999999999</v>
      </c>
      <c r="AD35">
        <v>0.113</v>
      </c>
      <c r="AE35">
        <v>3.3690000000000002</v>
      </c>
      <c r="AF35">
        <v>7.9169999999999998</v>
      </c>
      <c r="AG35" s="7">
        <v>0</v>
      </c>
      <c r="AH35">
        <v>6.2539999999999996</v>
      </c>
      <c r="AI35" s="7">
        <v>0</v>
      </c>
      <c r="AJ35">
        <v>1.679</v>
      </c>
      <c r="AK35">
        <v>1.1679999999999999</v>
      </c>
      <c r="AL35">
        <v>27.921756358341192</v>
      </c>
      <c r="AM35">
        <v>25.340999999999998</v>
      </c>
      <c r="AN35">
        <v>0.90757184737162022</v>
      </c>
      <c r="AO35">
        <v>13.615756358341192</v>
      </c>
      <c r="AP35">
        <v>4.2299999999999995</v>
      </c>
      <c r="AQ35">
        <v>10.075999999999999</v>
      </c>
    </row>
    <row r="36" spans="1:43" x14ac:dyDescent="0.25">
      <c r="A36" t="s">
        <v>801</v>
      </c>
      <c r="B36" s="1" t="s">
        <v>818</v>
      </c>
      <c r="C36" s="1" t="s">
        <v>283</v>
      </c>
      <c r="D36" s="1" t="s">
        <v>286</v>
      </c>
      <c r="E36" s="21">
        <v>2017</v>
      </c>
      <c r="G36">
        <v>4.5179999999999998</v>
      </c>
      <c r="H36">
        <v>1.34</v>
      </c>
      <c r="I36">
        <v>0.495</v>
      </c>
      <c r="J36">
        <v>0.24099999999999999</v>
      </c>
      <c r="K36">
        <v>0.87</v>
      </c>
      <c r="L36" s="7">
        <v>0</v>
      </c>
      <c r="M36">
        <v>0.90100000000000002</v>
      </c>
      <c r="N36">
        <v>7.9000000000000001E-2</v>
      </c>
      <c r="O36" s="7">
        <v>0</v>
      </c>
      <c r="P36">
        <v>2.1669999999999998</v>
      </c>
      <c r="Q36">
        <v>0.316</v>
      </c>
      <c r="R36">
        <v>0</v>
      </c>
      <c r="S36">
        <v>3.339</v>
      </c>
      <c r="T36">
        <v>1.94</v>
      </c>
      <c r="U36">
        <v>1.891</v>
      </c>
      <c r="V36">
        <v>0.13700000000000001</v>
      </c>
      <c r="W36">
        <v>1.1879999999999999</v>
      </c>
      <c r="X36">
        <v>1.2529999999999999</v>
      </c>
      <c r="Y36">
        <v>0.50851411211455499</v>
      </c>
      <c r="Z36">
        <v>8.3000000000000004E-2</v>
      </c>
      <c r="AA36">
        <v>5.077</v>
      </c>
      <c r="AB36">
        <v>0.372</v>
      </c>
      <c r="AC36">
        <v>0.26900000000000002</v>
      </c>
      <c r="AD36">
        <v>0.113</v>
      </c>
      <c r="AE36">
        <v>2.8330000000000002</v>
      </c>
      <c r="AF36">
        <v>7.0339999999999998</v>
      </c>
      <c r="AG36" s="7">
        <v>0</v>
      </c>
      <c r="AH36">
        <v>4.95</v>
      </c>
      <c r="AI36" s="7">
        <v>0</v>
      </c>
      <c r="AJ36">
        <v>1.327</v>
      </c>
      <c r="AK36">
        <v>0.81399999999999995</v>
      </c>
      <c r="AL36">
        <v>21.266514112114553</v>
      </c>
      <c r="AM36">
        <v>21.975000000000001</v>
      </c>
      <c r="AN36">
        <v>1.0333146224223864</v>
      </c>
      <c r="AO36">
        <v>10.655514112114556</v>
      </c>
      <c r="AP36">
        <v>3.1469999999999998</v>
      </c>
      <c r="AQ36">
        <v>7.4639999999999995</v>
      </c>
    </row>
    <row r="37" spans="1:43" x14ac:dyDescent="0.25">
      <c r="A37" t="s">
        <v>802</v>
      </c>
      <c r="B37" s="1" t="s">
        <v>818</v>
      </c>
      <c r="C37" s="1" t="s">
        <v>283</v>
      </c>
      <c r="D37" s="1" t="s">
        <v>286</v>
      </c>
      <c r="E37" s="21">
        <v>2017</v>
      </c>
      <c r="G37">
        <v>10.877000000000001</v>
      </c>
      <c r="H37">
        <v>2.589</v>
      </c>
      <c r="I37">
        <v>1.675</v>
      </c>
      <c r="J37">
        <v>1.048</v>
      </c>
      <c r="K37">
        <v>2.2309999999999999</v>
      </c>
      <c r="L37" s="7">
        <v>0</v>
      </c>
      <c r="M37">
        <v>2.85</v>
      </c>
      <c r="N37">
        <v>0.13700000000000001</v>
      </c>
      <c r="O37" s="7">
        <v>0</v>
      </c>
      <c r="P37">
        <v>6.5190000000000001</v>
      </c>
      <c r="Q37">
        <v>1.222</v>
      </c>
      <c r="R37">
        <v>6.8000000000000005E-2</v>
      </c>
      <c r="S37">
        <v>10.675000000000001</v>
      </c>
      <c r="T37">
        <v>5.9480000000000004</v>
      </c>
      <c r="U37">
        <v>5.4379999999999997</v>
      </c>
      <c r="V37">
        <v>0.40100000000000002</v>
      </c>
      <c r="W37">
        <v>3.2869999999999999</v>
      </c>
      <c r="X37">
        <v>3.3119999999999998</v>
      </c>
      <c r="Y37">
        <v>1.7372188347219599</v>
      </c>
      <c r="Z37">
        <v>0.23599999999999999</v>
      </c>
      <c r="AA37">
        <v>23.428999999999998</v>
      </c>
      <c r="AB37">
        <v>0</v>
      </c>
      <c r="AC37">
        <v>1.788</v>
      </c>
      <c r="AD37">
        <v>0</v>
      </c>
      <c r="AE37">
        <v>23.640999999999998</v>
      </c>
      <c r="AF37">
        <v>28.257999999999999</v>
      </c>
      <c r="AG37" s="7">
        <v>0</v>
      </c>
      <c r="AH37">
        <v>20.834</v>
      </c>
      <c r="AI37" s="7">
        <v>0</v>
      </c>
      <c r="AJ37">
        <v>3.4980000000000002</v>
      </c>
      <c r="AK37">
        <v>2.5859999999999999</v>
      </c>
      <c r="AL37">
        <v>60.250218834721963</v>
      </c>
      <c r="AM37">
        <v>101.44800000000001</v>
      </c>
      <c r="AN37">
        <v>1.68377811669517</v>
      </c>
      <c r="AO37">
        <v>32.324218834721954</v>
      </c>
      <c r="AP37">
        <v>9.5060000000000002</v>
      </c>
      <c r="AQ37">
        <v>18.420000000000002</v>
      </c>
    </row>
    <row r="38" spans="1:43" x14ac:dyDescent="0.25">
      <c r="A38" t="s">
        <v>803</v>
      </c>
      <c r="B38" s="1" t="s">
        <v>818</v>
      </c>
      <c r="C38" s="1" t="s">
        <v>283</v>
      </c>
      <c r="D38" s="1" t="s">
        <v>283</v>
      </c>
      <c r="E38" s="21">
        <v>2017</v>
      </c>
      <c r="G38">
        <v>8.8279999999999994</v>
      </c>
      <c r="H38">
        <v>1.4630000000000001</v>
      </c>
      <c r="I38">
        <v>1.0760000000000001</v>
      </c>
      <c r="J38">
        <v>0.82199999999999995</v>
      </c>
      <c r="K38">
        <v>1.6479999999999999</v>
      </c>
      <c r="L38" s="7">
        <v>0</v>
      </c>
      <c r="M38">
        <v>2.0750000000000002</v>
      </c>
      <c r="N38">
        <v>0.14099999999999999</v>
      </c>
      <c r="O38" s="7">
        <v>0</v>
      </c>
      <c r="P38">
        <v>4.585</v>
      </c>
      <c r="Q38">
        <v>0.84599999999999997</v>
      </c>
      <c r="R38">
        <v>5.6000000000000001E-2</v>
      </c>
      <c r="S38">
        <v>8.23</v>
      </c>
      <c r="T38">
        <v>4.4320000000000004</v>
      </c>
      <c r="U38">
        <v>3.5819999999999999</v>
      </c>
      <c r="V38">
        <v>0.35899999999999999</v>
      </c>
      <c r="W38">
        <v>2.56</v>
      </c>
      <c r="X38">
        <v>2.476</v>
      </c>
      <c r="Y38">
        <v>0.54810560803099695</v>
      </c>
      <c r="Z38">
        <v>0.14099999999999999</v>
      </c>
      <c r="AA38">
        <v>5.742</v>
      </c>
      <c r="AB38">
        <v>0.42499999999999999</v>
      </c>
      <c r="AC38">
        <v>0.70899999999999996</v>
      </c>
      <c r="AD38">
        <v>0</v>
      </c>
      <c r="AE38">
        <v>10.718</v>
      </c>
      <c r="AF38">
        <v>20.344999999999999</v>
      </c>
      <c r="AG38" s="7">
        <v>0</v>
      </c>
      <c r="AH38">
        <v>16.695</v>
      </c>
      <c r="AI38" s="7">
        <v>0</v>
      </c>
      <c r="AJ38">
        <v>2.6320000000000001</v>
      </c>
      <c r="AK38">
        <v>1.7270000000000001</v>
      </c>
      <c r="AL38">
        <v>43.868105608030994</v>
      </c>
      <c r="AM38">
        <v>57.265999999999998</v>
      </c>
      <c r="AN38">
        <v>1.3054131060885437</v>
      </c>
      <c r="AO38">
        <v>23.230105608030996</v>
      </c>
      <c r="AP38">
        <v>6.8010000000000002</v>
      </c>
      <c r="AQ38">
        <v>13.837</v>
      </c>
    </row>
    <row r="39" spans="1:43" x14ac:dyDescent="0.25">
      <c r="A39" t="s">
        <v>804</v>
      </c>
      <c r="B39" s="1" t="s">
        <v>818</v>
      </c>
      <c r="C39" s="1" t="s">
        <v>283</v>
      </c>
      <c r="D39" s="1" t="s">
        <v>283</v>
      </c>
      <c r="E39" s="21">
        <v>2017</v>
      </c>
      <c r="G39">
        <v>4.843</v>
      </c>
      <c r="H39">
        <v>1.1839999999999999</v>
      </c>
      <c r="I39">
        <v>0.51600000000000001</v>
      </c>
      <c r="J39">
        <v>0.32200000000000001</v>
      </c>
      <c r="K39">
        <v>0.83</v>
      </c>
      <c r="L39" s="7">
        <v>0</v>
      </c>
      <c r="M39">
        <v>0.92200000000000004</v>
      </c>
      <c r="N39">
        <v>0.121</v>
      </c>
      <c r="O39" s="7">
        <v>0</v>
      </c>
      <c r="P39">
        <v>2.2810000000000001</v>
      </c>
      <c r="Q39">
        <v>0.318</v>
      </c>
      <c r="R39">
        <v>0</v>
      </c>
      <c r="S39">
        <v>3.6680000000000001</v>
      </c>
      <c r="T39">
        <v>2.0579999999999998</v>
      </c>
      <c r="U39">
        <v>1.877</v>
      </c>
      <c r="V39">
        <v>0.13700000000000001</v>
      </c>
      <c r="W39">
        <v>1.2350000000000001</v>
      </c>
      <c r="X39">
        <v>1.2509999999999999</v>
      </c>
      <c r="Y39">
        <v>1.87122666101715</v>
      </c>
      <c r="Z39">
        <v>0.114</v>
      </c>
      <c r="AA39">
        <v>3.484</v>
      </c>
      <c r="AB39">
        <v>0.28899999999999998</v>
      </c>
      <c r="AC39">
        <v>0.46200000000000002</v>
      </c>
      <c r="AD39">
        <v>9.0999999999999998E-2</v>
      </c>
      <c r="AE39">
        <v>3.0750000000000002</v>
      </c>
      <c r="AF39">
        <v>6.9870000000000001</v>
      </c>
      <c r="AG39" s="7">
        <v>0</v>
      </c>
      <c r="AH39">
        <v>6.9779999999999998</v>
      </c>
      <c r="AI39" s="7">
        <v>0</v>
      </c>
      <c r="AJ39">
        <v>1.4470000000000001</v>
      </c>
      <c r="AK39">
        <v>1.1579999999999999</v>
      </c>
      <c r="AL39">
        <v>23.548226661017154</v>
      </c>
      <c r="AM39">
        <v>22.812999999999999</v>
      </c>
      <c r="AN39">
        <v>0.96877783318459887</v>
      </c>
      <c r="AO39">
        <v>12.52922666101715</v>
      </c>
      <c r="AP39">
        <v>3.3240000000000003</v>
      </c>
      <c r="AQ39">
        <v>7.6950000000000003</v>
      </c>
    </row>
    <row r="40" spans="1:43" x14ac:dyDescent="0.25">
      <c r="A40" t="s">
        <v>799</v>
      </c>
      <c r="B40" s="1" t="s">
        <v>818</v>
      </c>
      <c r="C40" s="1" t="s">
        <v>283</v>
      </c>
      <c r="D40" s="1" t="s">
        <v>286</v>
      </c>
      <c r="E40" s="21">
        <v>2017</v>
      </c>
      <c r="G40">
        <v>8.7650000000000006</v>
      </c>
      <c r="H40">
        <v>1.6819999999999999</v>
      </c>
      <c r="I40">
        <v>1.222</v>
      </c>
      <c r="J40">
        <v>0.76300000000000001</v>
      </c>
      <c r="K40">
        <v>1.708</v>
      </c>
      <c r="L40" s="7">
        <v>0</v>
      </c>
      <c r="M40">
        <v>1.9259999999999999</v>
      </c>
      <c r="N40">
        <v>0.126</v>
      </c>
      <c r="O40" s="7">
        <v>0</v>
      </c>
      <c r="P40">
        <v>4.3650000000000002</v>
      </c>
      <c r="Q40">
        <v>1.026</v>
      </c>
      <c r="R40">
        <v>6.9000000000000006E-2</v>
      </c>
      <c r="S40">
        <v>8.5269999999999992</v>
      </c>
      <c r="T40">
        <v>5.23</v>
      </c>
      <c r="U40">
        <v>4.1109999999999998</v>
      </c>
      <c r="V40">
        <v>0.373</v>
      </c>
      <c r="W40">
        <v>2.7189999999999999</v>
      </c>
      <c r="X40">
        <v>2.7639999999999998</v>
      </c>
      <c r="Y40">
        <v>1.4320353066972999</v>
      </c>
      <c r="Z40">
        <v>0.193</v>
      </c>
      <c r="AA40">
        <v>5.218</v>
      </c>
      <c r="AB40">
        <v>0</v>
      </c>
      <c r="AC40">
        <v>1.2030000000000001</v>
      </c>
      <c r="AD40">
        <v>0.24099999999999999</v>
      </c>
      <c r="AE40">
        <v>5.7629999999999999</v>
      </c>
      <c r="AF40">
        <v>13.289</v>
      </c>
      <c r="AG40" s="7">
        <v>0</v>
      </c>
      <c r="AH40">
        <v>13.441000000000001</v>
      </c>
      <c r="AI40" s="7">
        <v>0</v>
      </c>
      <c r="AJ40">
        <v>3.38</v>
      </c>
      <c r="AK40">
        <v>1.661</v>
      </c>
      <c r="AL40">
        <v>47.001035306697304</v>
      </c>
      <c r="AM40">
        <v>42.535000000000004</v>
      </c>
      <c r="AN40">
        <v>0.90498006527824459</v>
      </c>
      <c r="AO40">
        <v>26.444035306697305</v>
      </c>
      <c r="AP40">
        <v>6.4169999999999998</v>
      </c>
      <c r="AQ40">
        <v>14.14</v>
      </c>
    </row>
    <row r="41" spans="1:43" x14ac:dyDescent="0.25">
      <c r="A41" t="s">
        <v>800</v>
      </c>
      <c r="B41" s="1" t="s">
        <v>818</v>
      </c>
      <c r="C41" s="1" t="s">
        <v>283</v>
      </c>
      <c r="D41" s="1" t="s">
        <v>286</v>
      </c>
      <c r="E41" s="21">
        <v>2017</v>
      </c>
      <c r="G41">
        <v>8.2279999999999998</v>
      </c>
      <c r="H41">
        <v>2.2799999999999998</v>
      </c>
      <c r="I41">
        <v>1.1990000000000001</v>
      </c>
      <c r="J41">
        <v>0.61499999999999999</v>
      </c>
      <c r="K41">
        <v>1.611</v>
      </c>
      <c r="L41" s="7">
        <v>0</v>
      </c>
      <c r="M41">
        <v>1.6990000000000001</v>
      </c>
      <c r="N41">
        <v>0.16800000000000001</v>
      </c>
      <c r="O41" s="7">
        <v>0</v>
      </c>
      <c r="P41">
        <v>4.1790000000000003</v>
      </c>
      <c r="Q41">
        <v>0.877</v>
      </c>
      <c r="R41">
        <v>5.7000000000000002E-2</v>
      </c>
      <c r="S41">
        <v>7.4710000000000001</v>
      </c>
      <c r="T41">
        <v>4.0999999999999996</v>
      </c>
      <c r="U41">
        <v>3.827</v>
      </c>
      <c r="V41">
        <v>0.33600000000000002</v>
      </c>
      <c r="W41">
        <v>2.7050000000000001</v>
      </c>
      <c r="X41">
        <v>2.5419999999999998</v>
      </c>
      <c r="Y41">
        <v>1.1513319525110599</v>
      </c>
      <c r="Z41">
        <v>0.19</v>
      </c>
      <c r="AA41">
        <v>5.9809999999999999</v>
      </c>
      <c r="AB41">
        <v>0.54</v>
      </c>
      <c r="AC41">
        <v>0.59399999999999997</v>
      </c>
      <c r="AD41">
        <v>0.19500000000000001</v>
      </c>
      <c r="AE41">
        <v>5.2060000000000004</v>
      </c>
      <c r="AF41">
        <v>12.877000000000001</v>
      </c>
      <c r="AG41" s="7">
        <v>0</v>
      </c>
      <c r="AH41">
        <v>11.756</v>
      </c>
      <c r="AI41" s="7">
        <v>0</v>
      </c>
      <c r="AJ41">
        <v>2.593</v>
      </c>
      <c r="AK41">
        <v>1.4530000000000001</v>
      </c>
      <c r="AL41">
        <v>43.235331952511046</v>
      </c>
      <c r="AM41">
        <v>39.742000000000004</v>
      </c>
      <c r="AN41">
        <v>0.91920191670210705</v>
      </c>
      <c r="AO41">
        <v>23.256331952511061</v>
      </c>
      <c r="AP41">
        <v>6.0460000000000003</v>
      </c>
      <c r="AQ41">
        <v>13.933</v>
      </c>
    </row>
    <row r="42" spans="1:43" x14ac:dyDescent="0.25">
      <c r="A42" t="s">
        <v>801</v>
      </c>
      <c r="B42" s="1" t="s">
        <v>818</v>
      </c>
      <c r="C42" s="1" t="s">
        <v>283</v>
      </c>
      <c r="D42" s="1" t="s">
        <v>286</v>
      </c>
      <c r="E42" s="21">
        <v>2017</v>
      </c>
      <c r="G42">
        <v>8.9969999999999999</v>
      </c>
      <c r="H42">
        <v>2.1379999999999999</v>
      </c>
      <c r="I42">
        <v>1.3029999999999999</v>
      </c>
      <c r="J42">
        <v>0.66700000000000004</v>
      </c>
      <c r="K42">
        <v>1.58</v>
      </c>
      <c r="L42" s="7">
        <v>0</v>
      </c>
      <c r="M42">
        <v>1.706</v>
      </c>
      <c r="N42">
        <v>8.4000000000000005E-2</v>
      </c>
      <c r="O42" s="7">
        <v>0</v>
      </c>
      <c r="P42">
        <v>4.42</v>
      </c>
      <c r="Q42">
        <v>1</v>
      </c>
      <c r="R42">
        <v>7.0000000000000007E-2</v>
      </c>
      <c r="S42">
        <v>8.2040000000000006</v>
      </c>
      <c r="T42">
        <v>4.5880000000000001</v>
      </c>
      <c r="U42">
        <v>4.0119999999999996</v>
      </c>
      <c r="V42">
        <v>0.41</v>
      </c>
      <c r="W42">
        <v>2.64</v>
      </c>
      <c r="X42">
        <v>2.5310000000000001</v>
      </c>
      <c r="Y42">
        <v>1.2409847311504001</v>
      </c>
      <c r="Z42">
        <v>0.158</v>
      </c>
      <c r="AA42">
        <v>7.4960000000000004</v>
      </c>
      <c r="AB42">
        <v>0.54700000000000004</v>
      </c>
      <c r="AC42">
        <v>0.8</v>
      </c>
      <c r="AD42">
        <v>0.2</v>
      </c>
      <c r="AE42">
        <v>7.6619999999999999</v>
      </c>
      <c r="AF42">
        <v>17.696999999999999</v>
      </c>
      <c r="AG42" s="7">
        <v>0</v>
      </c>
      <c r="AH42">
        <v>11.606</v>
      </c>
      <c r="AI42" s="7">
        <v>0</v>
      </c>
      <c r="AJ42">
        <v>2.6709999999999998</v>
      </c>
      <c r="AK42">
        <v>2.2799999999999998</v>
      </c>
      <c r="AL42">
        <v>45.748984731150394</v>
      </c>
      <c r="AM42">
        <v>48.679000000000002</v>
      </c>
      <c r="AN42">
        <v>1.0640454708682217</v>
      </c>
      <c r="AO42">
        <v>24.853984731150405</v>
      </c>
      <c r="AP42">
        <v>6.21</v>
      </c>
      <c r="AQ42">
        <v>14.684999999999999</v>
      </c>
    </row>
    <row r="43" spans="1:43" x14ac:dyDescent="0.25">
      <c r="A43" t="s">
        <v>802</v>
      </c>
      <c r="B43" s="1" t="s">
        <v>818</v>
      </c>
      <c r="C43" s="1" t="s">
        <v>283</v>
      </c>
      <c r="D43" s="1" t="s">
        <v>286</v>
      </c>
      <c r="E43" s="21">
        <v>2017</v>
      </c>
      <c r="G43">
        <v>6.6369999999999996</v>
      </c>
      <c r="H43">
        <v>1.8129999999999999</v>
      </c>
      <c r="I43">
        <v>0.96699999999999997</v>
      </c>
      <c r="J43">
        <v>0.40699999999999997</v>
      </c>
      <c r="K43">
        <v>1.583</v>
      </c>
      <c r="L43" s="7">
        <v>0</v>
      </c>
      <c r="M43">
        <v>1.1200000000000001</v>
      </c>
      <c r="N43">
        <v>9.4E-2</v>
      </c>
      <c r="O43" s="7">
        <v>0</v>
      </c>
      <c r="P43">
        <v>3.1840000000000002</v>
      </c>
      <c r="Q43">
        <v>0.58199999999999996</v>
      </c>
      <c r="R43">
        <v>0</v>
      </c>
      <c r="S43">
        <v>5.4569999999999999</v>
      </c>
      <c r="T43">
        <v>3.0059999999999998</v>
      </c>
      <c r="U43">
        <v>2.5019999999999998</v>
      </c>
      <c r="V43">
        <v>0.22600000000000001</v>
      </c>
      <c r="W43">
        <v>1.784</v>
      </c>
      <c r="X43">
        <v>1.706</v>
      </c>
      <c r="Y43">
        <v>0.72247204630432704</v>
      </c>
      <c r="Z43">
        <v>0.10299999999999999</v>
      </c>
      <c r="AA43">
        <v>3.4079999999999999</v>
      </c>
      <c r="AB43">
        <v>0.35199999999999998</v>
      </c>
      <c r="AC43">
        <v>0.39800000000000002</v>
      </c>
      <c r="AD43">
        <v>0.14399999999999999</v>
      </c>
      <c r="AE43">
        <v>4.1840000000000002</v>
      </c>
      <c r="AF43">
        <v>10.743</v>
      </c>
      <c r="AG43" s="7">
        <v>0</v>
      </c>
      <c r="AH43">
        <v>6.7949999999999999</v>
      </c>
      <c r="AI43" s="7">
        <v>0</v>
      </c>
      <c r="AJ43">
        <v>1.9790000000000001</v>
      </c>
      <c r="AK43">
        <v>0.85099999999999998</v>
      </c>
      <c r="AL43">
        <v>31.893472046304325</v>
      </c>
      <c r="AM43">
        <v>28.003</v>
      </c>
      <c r="AN43">
        <v>0.87801666621131846</v>
      </c>
      <c r="AO43">
        <v>16.088472046304329</v>
      </c>
      <c r="AP43">
        <v>4.3980000000000006</v>
      </c>
      <c r="AQ43">
        <v>11.407</v>
      </c>
    </row>
    <row r="44" spans="1:43" x14ac:dyDescent="0.25">
      <c r="A44" t="s">
        <v>803</v>
      </c>
      <c r="B44" s="1" t="s">
        <v>818</v>
      </c>
      <c r="C44" s="1" t="s">
        <v>283</v>
      </c>
      <c r="D44" s="1" t="s">
        <v>283</v>
      </c>
      <c r="E44" s="21">
        <v>2017</v>
      </c>
      <c r="G44">
        <v>11.289</v>
      </c>
      <c r="H44">
        <v>2.1280000000000001</v>
      </c>
      <c r="I44">
        <v>1.4450000000000001</v>
      </c>
      <c r="J44">
        <v>0.84599999999999997</v>
      </c>
      <c r="K44">
        <v>1.9710000000000001</v>
      </c>
      <c r="L44" s="7">
        <v>0</v>
      </c>
      <c r="M44">
        <v>2.327</v>
      </c>
      <c r="N44">
        <v>0.158</v>
      </c>
      <c r="O44" s="7">
        <v>0</v>
      </c>
      <c r="P44">
        <v>5.35</v>
      </c>
      <c r="Q44">
        <v>1.1479999999999999</v>
      </c>
      <c r="R44">
        <v>7.3999999999999996E-2</v>
      </c>
      <c r="S44">
        <v>10.191000000000001</v>
      </c>
      <c r="T44">
        <v>5.4770000000000003</v>
      </c>
      <c r="U44">
        <v>4.7329999999999997</v>
      </c>
      <c r="V44">
        <v>0.48599999999999999</v>
      </c>
      <c r="W44">
        <v>3.2360000000000002</v>
      </c>
      <c r="X44">
        <v>3.1120000000000001</v>
      </c>
      <c r="Y44">
        <v>1.4693996323362399</v>
      </c>
      <c r="Z44">
        <v>0.20899999999999999</v>
      </c>
      <c r="AA44">
        <v>7.5259999999999998</v>
      </c>
      <c r="AB44">
        <v>0.41499999999999998</v>
      </c>
      <c r="AC44">
        <v>0.82299999999999995</v>
      </c>
      <c r="AD44">
        <v>0.23599999999999999</v>
      </c>
      <c r="AE44">
        <v>7.1470000000000002</v>
      </c>
      <c r="AF44">
        <v>15.696999999999999</v>
      </c>
      <c r="AG44" s="7">
        <v>0</v>
      </c>
      <c r="AH44">
        <v>14.71</v>
      </c>
      <c r="AI44" s="7">
        <v>0</v>
      </c>
      <c r="AJ44">
        <v>3.3849999999999998</v>
      </c>
      <c r="AK44">
        <v>1.609</v>
      </c>
      <c r="AL44">
        <v>55.649399632336248</v>
      </c>
      <c r="AM44">
        <v>49.939</v>
      </c>
      <c r="AN44">
        <v>0.89738614126902272</v>
      </c>
      <c r="AO44">
        <v>30.135399632336242</v>
      </c>
      <c r="AP44">
        <v>7.8349999999999991</v>
      </c>
      <c r="AQ44">
        <v>17.679000000000002</v>
      </c>
    </row>
    <row r="45" spans="1:43" x14ac:dyDescent="0.25">
      <c r="A45" t="s">
        <v>804</v>
      </c>
      <c r="B45" s="1" t="s">
        <v>818</v>
      </c>
      <c r="C45" s="1" t="s">
        <v>283</v>
      </c>
      <c r="D45" s="1" t="s">
        <v>283</v>
      </c>
      <c r="E45" s="21">
        <v>2017</v>
      </c>
      <c r="G45">
        <v>9.266</v>
      </c>
      <c r="H45">
        <v>1.6180000000000001</v>
      </c>
      <c r="I45">
        <v>1.403</v>
      </c>
      <c r="J45">
        <v>0.77100000000000002</v>
      </c>
      <c r="K45">
        <v>1.804</v>
      </c>
      <c r="L45" s="7">
        <v>0</v>
      </c>
      <c r="M45">
        <v>2.1139999999999999</v>
      </c>
      <c r="N45">
        <v>0.126</v>
      </c>
      <c r="O45" s="7">
        <v>0</v>
      </c>
      <c r="P45">
        <v>4.641</v>
      </c>
      <c r="Q45">
        <v>1.1339999999999999</v>
      </c>
      <c r="R45">
        <v>8.5000000000000006E-2</v>
      </c>
      <c r="S45">
        <v>9.609</v>
      </c>
      <c r="T45">
        <v>5.4640000000000004</v>
      </c>
      <c r="U45">
        <v>4.7880000000000003</v>
      </c>
      <c r="V45">
        <v>0.495</v>
      </c>
      <c r="W45">
        <v>2.97</v>
      </c>
      <c r="X45">
        <v>3.0150000000000001</v>
      </c>
      <c r="Y45">
        <v>1.46218755814011</v>
      </c>
      <c r="Z45">
        <v>0.22800000000000001</v>
      </c>
      <c r="AA45">
        <v>7.7190000000000003</v>
      </c>
      <c r="AB45">
        <v>0.63</v>
      </c>
      <c r="AC45">
        <v>0.72499999999999998</v>
      </c>
      <c r="AD45">
        <v>0.248</v>
      </c>
      <c r="AE45">
        <v>8.0370000000000008</v>
      </c>
      <c r="AF45">
        <v>17.777000000000001</v>
      </c>
      <c r="AG45" s="7">
        <v>0</v>
      </c>
      <c r="AH45">
        <v>16.41</v>
      </c>
      <c r="AI45" s="7">
        <v>0</v>
      </c>
      <c r="AJ45">
        <v>3.7309999999999999</v>
      </c>
      <c r="AK45">
        <v>1.718</v>
      </c>
      <c r="AL45">
        <v>50.993187558140114</v>
      </c>
      <c r="AM45">
        <v>55.277000000000008</v>
      </c>
      <c r="AN45">
        <v>1.0840075438895771</v>
      </c>
      <c r="AO45">
        <v>29.250187558140112</v>
      </c>
      <c r="AP45">
        <v>6.8810000000000002</v>
      </c>
      <c r="AQ45">
        <v>14.862000000000002</v>
      </c>
    </row>
    <row r="46" spans="1:43" x14ac:dyDescent="0.25">
      <c r="A46" t="s">
        <v>799</v>
      </c>
      <c r="B46" s="1" t="s">
        <v>818</v>
      </c>
      <c r="C46" s="1" t="s">
        <v>283</v>
      </c>
      <c r="D46" s="1" t="s">
        <v>286</v>
      </c>
      <c r="E46" s="21">
        <v>2017</v>
      </c>
      <c r="G46">
        <v>10.297000000000001</v>
      </c>
      <c r="H46">
        <v>2.0099999999999998</v>
      </c>
      <c r="I46">
        <v>1.667</v>
      </c>
      <c r="J46">
        <v>0.96499999999999997</v>
      </c>
      <c r="K46">
        <v>2.194</v>
      </c>
      <c r="L46" s="7">
        <v>0</v>
      </c>
      <c r="M46">
        <v>2.3010000000000002</v>
      </c>
      <c r="N46">
        <v>0.254</v>
      </c>
      <c r="O46" s="7">
        <v>0</v>
      </c>
      <c r="P46">
        <v>5.5609999999999999</v>
      </c>
      <c r="Q46">
        <v>1.2529999999999999</v>
      </c>
      <c r="R46">
        <v>8.2000000000000003E-2</v>
      </c>
      <c r="S46">
        <v>10.852</v>
      </c>
      <c r="T46">
        <v>5.9569999999999999</v>
      </c>
      <c r="U46">
        <v>5.3220000000000001</v>
      </c>
      <c r="V46">
        <v>0.48599999999999999</v>
      </c>
      <c r="W46">
        <v>3.5219999999999998</v>
      </c>
      <c r="X46">
        <v>3.5169999999999999</v>
      </c>
      <c r="Y46">
        <v>1.67933085732156</v>
      </c>
      <c r="Z46">
        <v>0.22</v>
      </c>
      <c r="AA46">
        <v>7.1020000000000003</v>
      </c>
      <c r="AB46">
        <v>0.50700000000000001</v>
      </c>
      <c r="AC46">
        <v>0.82299999999999995</v>
      </c>
      <c r="AD46">
        <v>0.314</v>
      </c>
      <c r="AE46">
        <v>8.4760000000000009</v>
      </c>
      <c r="AF46">
        <v>17.571999999999999</v>
      </c>
      <c r="AG46" s="7">
        <v>0</v>
      </c>
      <c r="AH46">
        <v>16.434999999999999</v>
      </c>
      <c r="AI46" s="7">
        <v>0</v>
      </c>
      <c r="AJ46">
        <v>4.0910000000000002</v>
      </c>
      <c r="AK46">
        <v>1.6379999999999999</v>
      </c>
      <c r="AL46">
        <v>58.139330857321561</v>
      </c>
      <c r="AM46">
        <v>55.32</v>
      </c>
      <c r="AN46">
        <v>0.95150733908100149</v>
      </c>
      <c r="AO46">
        <v>32.890330857321558</v>
      </c>
      <c r="AP46">
        <v>8.1159999999999997</v>
      </c>
      <c r="AQ46">
        <v>17.132999999999999</v>
      </c>
    </row>
    <row r="47" spans="1:43" x14ac:dyDescent="0.25">
      <c r="A47" t="s">
        <v>800</v>
      </c>
      <c r="B47" s="1" t="s">
        <v>818</v>
      </c>
      <c r="C47" s="1" t="s">
        <v>283</v>
      </c>
      <c r="D47" s="1" t="s">
        <v>286</v>
      </c>
      <c r="E47" s="21">
        <v>2017</v>
      </c>
      <c r="G47">
        <v>10.750999999999999</v>
      </c>
      <c r="H47">
        <v>2.4359999999999999</v>
      </c>
      <c r="I47">
        <v>1.8029999999999999</v>
      </c>
      <c r="J47">
        <v>1.0780000000000001</v>
      </c>
      <c r="K47">
        <v>2.5270000000000001</v>
      </c>
      <c r="L47" s="7">
        <v>0</v>
      </c>
      <c r="M47">
        <v>2.5830000000000002</v>
      </c>
      <c r="N47">
        <v>0.184</v>
      </c>
      <c r="O47" s="7">
        <v>0</v>
      </c>
      <c r="P47">
        <v>5.6420000000000003</v>
      </c>
      <c r="Q47">
        <v>1.4570000000000001</v>
      </c>
      <c r="R47">
        <v>7.9000000000000001E-2</v>
      </c>
      <c r="S47">
        <v>11.454000000000001</v>
      </c>
      <c r="T47">
        <v>6.577</v>
      </c>
      <c r="U47">
        <v>6.3419999999999996</v>
      </c>
      <c r="V47">
        <v>0.44800000000000001</v>
      </c>
      <c r="W47">
        <v>3.8809999999999998</v>
      </c>
      <c r="X47">
        <v>3.9870000000000001</v>
      </c>
      <c r="Y47">
        <v>2.1802716336457699</v>
      </c>
      <c r="Z47">
        <v>0.38600000000000001</v>
      </c>
      <c r="AA47">
        <v>9.8650000000000002</v>
      </c>
      <c r="AB47">
        <v>0.82499999999999996</v>
      </c>
      <c r="AC47">
        <v>0.86299999999999999</v>
      </c>
      <c r="AD47">
        <v>0.23400000000000001</v>
      </c>
      <c r="AE47">
        <v>14.738</v>
      </c>
      <c r="AF47">
        <v>24.024999999999999</v>
      </c>
      <c r="AG47" s="7">
        <v>0</v>
      </c>
      <c r="AH47">
        <v>22.346</v>
      </c>
      <c r="AI47" s="7">
        <v>0</v>
      </c>
      <c r="AJ47">
        <v>4.0110000000000001</v>
      </c>
      <c r="AK47">
        <v>2.4209999999999998</v>
      </c>
      <c r="AL47">
        <v>63.795271633645775</v>
      </c>
      <c r="AM47">
        <v>76.906999999999996</v>
      </c>
      <c r="AN47">
        <v>1.2055282159726564</v>
      </c>
      <c r="AO47">
        <v>36.791271633645771</v>
      </c>
      <c r="AP47">
        <v>8.4090000000000007</v>
      </c>
      <c r="AQ47">
        <v>18.594999999999999</v>
      </c>
    </row>
    <row r="48" spans="1:43" x14ac:dyDescent="0.25">
      <c r="A48" t="s">
        <v>801</v>
      </c>
      <c r="B48" s="1" t="s">
        <v>818</v>
      </c>
      <c r="C48" s="1" t="s">
        <v>283</v>
      </c>
      <c r="D48" s="1" t="s">
        <v>286</v>
      </c>
      <c r="E48" s="21">
        <v>2017</v>
      </c>
      <c r="G48">
        <v>9.6300000000000008</v>
      </c>
      <c r="H48">
        <v>2.0190000000000001</v>
      </c>
      <c r="I48">
        <v>1.9219999999999999</v>
      </c>
      <c r="J48">
        <v>0.95199999999999996</v>
      </c>
      <c r="K48">
        <v>2.355</v>
      </c>
      <c r="L48" s="7">
        <v>0</v>
      </c>
      <c r="M48">
        <v>2.1349999999999998</v>
      </c>
      <c r="N48">
        <v>0.22600000000000001</v>
      </c>
      <c r="O48" s="7">
        <v>0</v>
      </c>
      <c r="P48">
        <v>5.5739999999999998</v>
      </c>
      <c r="Q48">
        <v>1.095</v>
      </c>
      <c r="R48">
        <v>6.2E-2</v>
      </c>
      <c r="S48">
        <v>9.7680000000000007</v>
      </c>
      <c r="T48">
        <v>5.7030000000000003</v>
      </c>
      <c r="U48">
        <v>5.3940000000000001</v>
      </c>
      <c r="V48">
        <v>0.46200000000000002</v>
      </c>
      <c r="W48">
        <v>3.2330000000000001</v>
      </c>
      <c r="X48">
        <v>3.4129999999999998</v>
      </c>
      <c r="Y48">
        <v>1.5765134433541099</v>
      </c>
      <c r="Z48">
        <v>0.40300000000000002</v>
      </c>
      <c r="AA48">
        <v>11.551</v>
      </c>
      <c r="AB48">
        <v>0.55200000000000005</v>
      </c>
      <c r="AC48">
        <v>0.73799999999999999</v>
      </c>
      <c r="AD48">
        <v>0.23599999999999999</v>
      </c>
      <c r="AE48">
        <v>13.430999999999999</v>
      </c>
      <c r="AF48">
        <v>20.577999999999999</v>
      </c>
      <c r="AG48" s="7">
        <v>0</v>
      </c>
      <c r="AH48">
        <v>16.466000000000001</v>
      </c>
      <c r="AI48" s="7">
        <v>0</v>
      </c>
      <c r="AJ48">
        <v>3.8340000000000001</v>
      </c>
      <c r="AK48">
        <v>1.7070000000000001</v>
      </c>
      <c r="AL48">
        <v>55.922513443354106</v>
      </c>
      <c r="AM48">
        <v>67.385999999999996</v>
      </c>
      <c r="AN48">
        <v>1.2049887576719467</v>
      </c>
      <c r="AO48">
        <v>31.109513443354107</v>
      </c>
      <c r="AP48">
        <v>7.9349999999999996</v>
      </c>
      <c r="AQ48">
        <v>16.878</v>
      </c>
    </row>
    <row r="49" spans="1:43" x14ac:dyDescent="0.25">
      <c r="A49" t="s">
        <v>802</v>
      </c>
      <c r="B49" s="1" t="s">
        <v>818</v>
      </c>
      <c r="C49" s="1" t="s">
        <v>283</v>
      </c>
      <c r="D49" s="1" t="s">
        <v>286</v>
      </c>
      <c r="E49" s="21">
        <v>2017</v>
      </c>
      <c r="G49">
        <v>7.3440000000000003</v>
      </c>
      <c r="H49">
        <v>1.8859999999999999</v>
      </c>
      <c r="I49">
        <v>0.81899999999999995</v>
      </c>
      <c r="J49">
        <v>0.54600000000000004</v>
      </c>
      <c r="K49">
        <v>1.448</v>
      </c>
      <c r="L49" s="7">
        <v>0</v>
      </c>
      <c r="M49">
        <v>1.42</v>
      </c>
      <c r="N49">
        <v>0.14000000000000001</v>
      </c>
      <c r="O49" s="7">
        <v>0</v>
      </c>
      <c r="P49">
        <v>4.3070000000000004</v>
      </c>
      <c r="Q49">
        <v>0.68300000000000005</v>
      </c>
      <c r="R49">
        <v>0</v>
      </c>
      <c r="S49">
        <v>6.1639999999999997</v>
      </c>
      <c r="T49">
        <v>3.3540000000000001</v>
      </c>
      <c r="U49">
        <v>2.9409999999999998</v>
      </c>
      <c r="V49">
        <v>0.24199999999999999</v>
      </c>
      <c r="W49">
        <v>2.2120000000000002</v>
      </c>
      <c r="X49">
        <v>2.028</v>
      </c>
      <c r="Y49">
        <v>0.97381973634645103</v>
      </c>
      <c r="Z49">
        <v>0.248</v>
      </c>
      <c r="AA49">
        <v>5.25</v>
      </c>
      <c r="AB49">
        <v>0.36399999999999999</v>
      </c>
      <c r="AC49">
        <v>0.43099999999999999</v>
      </c>
      <c r="AD49">
        <v>0.15</v>
      </c>
      <c r="AE49">
        <v>5.8780000000000001</v>
      </c>
      <c r="AF49">
        <v>10.074999999999999</v>
      </c>
      <c r="AG49" s="7">
        <v>0</v>
      </c>
      <c r="AH49">
        <v>9.1180000000000003</v>
      </c>
      <c r="AI49" s="7">
        <v>0</v>
      </c>
      <c r="AJ49">
        <v>2.74</v>
      </c>
      <c r="AK49">
        <v>1.0009999999999999</v>
      </c>
      <c r="AL49">
        <v>36.755819736346446</v>
      </c>
      <c r="AM49">
        <v>34.006</v>
      </c>
      <c r="AN49">
        <v>0.9251868205886522</v>
      </c>
      <c r="AO49">
        <v>18.845819736346449</v>
      </c>
      <c r="AP49">
        <v>5.8670000000000009</v>
      </c>
      <c r="AQ49">
        <v>12.042999999999999</v>
      </c>
    </row>
    <row r="50" spans="1:43" x14ac:dyDescent="0.25">
      <c r="A50" t="s">
        <v>803</v>
      </c>
      <c r="B50" s="1" t="s">
        <v>818</v>
      </c>
      <c r="C50" s="1" t="s">
        <v>283</v>
      </c>
      <c r="D50" s="1" t="s">
        <v>283</v>
      </c>
      <c r="E50" s="21">
        <v>2017</v>
      </c>
      <c r="G50">
        <v>13.093</v>
      </c>
      <c r="H50">
        <v>2.0470000000000002</v>
      </c>
      <c r="I50">
        <v>2.105</v>
      </c>
      <c r="J50">
        <v>1.532</v>
      </c>
      <c r="K50">
        <v>3.173</v>
      </c>
      <c r="L50" s="7">
        <v>0</v>
      </c>
      <c r="M50">
        <v>3.48</v>
      </c>
      <c r="N50">
        <v>0.313</v>
      </c>
      <c r="O50" s="7">
        <v>0</v>
      </c>
      <c r="P50">
        <v>7.8849999999999998</v>
      </c>
      <c r="Q50">
        <v>1.925</v>
      </c>
      <c r="R50">
        <v>9.7000000000000003E-2</v>
      </c>
      <c r="S50">
        <v>14.9</v>
      </c>
      <c r="T50">
        <v>8.6460000000000008</v>
      </c>
      <c r="U50">
        <v>7.6479999999999997</v>
      </c>
      <c r="V50">
        <v>0.60099999999999998</v>
      </c>
      <c r="W50">
        <v>4.9749999999999996</v>
      </c>
      <c r="X50">
        <v>4.8150000000000004</v>
      </c>
      <c r="Y50">
        <v>2.67312495592072</v>
      </c>
      <c r="Z50">
        <v>0.33500000000000002</v>
      </c>
      <c r="AA50">
        <v>9.6329999999999991</v>
      </c>
      <c r="AB50">
        <v>0</v>
      </c>
      <c r="AC50">
        <v>2.12</v>
      </c>
      <c r="AD50">
        <v>0.30199999999999999</v>
      </c>
      <c r="AE50">
        <v>16.613</v>
      </c>
      <c r="AF50">
        <v>33.009</v>
      </c>
      <c r="AG50" s="7">
        <v>0</v>
      </c>
      <c r="AH50">
        <v>31.222999999999999</v>
      </c>
      <c r="AI50" s="7">
        <v>0</v>
      </c>
      <c r="AJ50">
        <v>4.5279999999999996</v>
      </c>
      <c r="AK50">
        <v>2.5379999999999998</v>
      </c>
      <c r="AL50">
        <v>80.243124955920692</v>
      </c>
      <c r="AM50">
        <v>97.428000000000011</v>
      </c>
      <c r="AN50">
        <v>1.2141600922635971</v>
      </c>
      <c r="AO50">
        <v>46.61512495592072</v>
      </c>
      <c r="AP50">
        <v>11.678000000000001</v>
      </c>
      <c r="AQ50">
        <v>21.950000000000003</v>
      </c>
    </row>
    <row r="51" spans="1:43" x14ac:dyDescent="0.25">
      <c r="A51" t="s">
        <v>804</v>
      </c>
      <c r="B51" s="1" t="s">
        <v>818</v>
      </c>
      <c r="C51" s="1" t="s">
        <v>283</v>
      </c>
      <c r="D51" s="1" t="s">
        <v>283</v>
      </c>
      <c r="E51" s="21">
        <v>2017</v>
      </c>
      <c r="G51">
        <v>12.223000000000001</v>
      </c>
      <c r="H51">
        <v>1.623</v>
      </c>
      <c r="I51">
        <v>1.8320000000000001</v>
      </c>
      <c r="J51">
        <v>1.5409999999999999</v>
      </c>
      <c r="K51">
        <v>2.7090000000000001</v>
      </c>
      <c r="L51" s="7">
        <v>0</v>
      </c>
      <c r="M51">
        <v>3.26</v>
      </c>
      <c r="N51">
        <v>0.371</v>
      </c>
      <c r="O51" s="7">
        <v>0</v>
      </c>
      <c r="P51">
        <v>7.7519999999999998</v>
      </c>
      <c r="Q51">
        <v>1.7070000000000001</v>
      </c>
      <c r="R51">
        <v>0.13200000000000001</v>
      </c>
      <c r="S51">
        <v>14.583</v>
      </c>
      <c r="T51">
        <v>7.601</v>
      </c>
      <c r="U51">
        <v>6.6529999999999996</v>
      </c>
      <c r="V51">
        <v>0.57499999999999996</v>
      </c>
      <c r="W51">
        <v>4.4420000000000002</v>
      </c>
      <c r="X51">
        <v>4.2990000000000004</v>
      </c>
      <c r="Y51">
        <v>2.4175850643447299</v>
      </c>
      <c r="Z51">
        <v>0.378</v>
      </c>
      <c r="AA51">
        <v>14.244</v>
      </c>
      <c r="AB51">
        <v>0.70599999999999996</v>
      </c>
      <c r="AC51">
        <v>1.1919999999999999</v>
      </c>
      <c r="AD51">
        <v>0.28699999999999998</v>
      </c>
      <c r="AE51">
        <v>19.573</v>
      </c>
      <c r="AF51">
        <v>40.741999999999997</v>
      </c>
      <c r="AG51" s="7">
        <v>0</v>
      </c>
      <c r="AH51">
        <v>26.286999999999999</v>
      </c>
      <c r="AI51" s="7">
        <v>0</v>
      </c>
      <c r="AJ51">
        <v>5.4539999999999997</v>
      </c>
      <c r="AK51">
        <v>14.521000000000001</v>
      </c>
      <c r="AL51">
        <v>74.098585064344732</v>
      </c>
      <c r="AM51">
        <v>108.485</v>
      </c>
      <c r="AN51">
        <v>1.464063043927158</v>
      </c>
      <c r="AO51">
        <v>42.787585064344725</v>
      </c>
      <c r="AP51">
        <v>11.382999999999999</v>
      </c>
      <c r="AQ51">
        <v>19.928000000000001</v>
      </c>
    </row>
    <row r="52" spans="1:43" x14ac:dyDescent="0.25">
      <c r="A52" t="s">
        <v>799</v>
      </c>
      <c r="B52" s="1" t="s">
        <v>818</v>
      </c>
      <c r="C52" s="1" t="s">
        <v>283</v>
      </c>
      <c r="D52" s="1" t="s">
        <v>286</v>
      </c>
      <c r="E52" s="21">
        <v>2017</v>
      </c>
      <c r="G52">
        <v>10.561999999999999</v>
      </c>
      <c r="H52">
        <v>1.8759999999999999</v>
      </c>
      <c r="I52">
        <v>1.931</v>
      </c>
      <c r="J52">
        <v>1.0489999999999999</v>
      </c>
      <c r="K52">
        <v>2.3620000000000001</v>
      </c>
      <c r="L52" s="7">
        <v>0</v>
      </c>
      <c r="M52">
        <v>2.5059999999999998</v>
      </c>
      <c r="N52">
        <v>0.34399999999999997</v>
      </c>
      <c r="O52" s="7">
        <v>0</v>
      </c>
      <c r="P52">
        <v>5.4820000000000002</v>
      </c>
      <c r="Q52">
        <v>1.377</v>
      </c>
      <c r="R52">
        <v>7.2999999999999995E-2</v>
      </c>
      <c r="S52">
        <v>10.852</v>
      </c>
      <c r="T52">
        <v>6.2549999999999999</v>
      </c>
      <c r="U52">
        <v>5.84</v>
      </c>
      <c r="V52">
        <v>0.47</v>
      </c>
      <c r="W52">
        <v>3.5329999999999999</v>
      </c>
      <c r="X52">
        <v>3.6749999999999998</v>
      </c>
      <c r="Y52">
        <v>1.7720737309576799</v>
      </c>
      <c r="Z52">
        <v>0.442</v>
      </c>
      <c r="AA52">
        <v>10.464</v>
      </c>
      <c r="AB52">
        <v>0</v>
      </c>
      <c r="AC52">
        <v>1.345</v>
      </c>
      <c r="AD52">
        <v>0.34499999999999997</v>
      </c>
      <c r="AE52">
        <v>8.6199999999999992</v>
      </c>
      <c r="AF52">
        <v>19.297000000000001</v>
      </c>
      <c r="AG52" s="7">
        <v>0</v>
      </c>
      <c r="AH52">
        <v>17.056000000000001</v>
      </c>
      <c r="AI52" s="7">
        <v>0</v>
      </c>
      <c r="AJ52">
        <v>4.234</v>
      </c>
      <c r="AK52">
        <v>2.044</v>
      </c>
      <c r="AL52">
        <v>60.401073730957677</v>
      </c>
      <c r="AM52">
        <v>61.360999999999997</v>
      </c>
      <c r="AN52">
        <v>1.0158925365022167</v>
      </c>
      <c r="AO52">
        <v>34.289073730957675</v>
      </c>
      <c r="AP52">
        <v>8.3320000000000007</v>
      </c>
      <c r="AQ52">
        <v>17.78</v>
      </c>
    </row>
    <row r="53" spans="1:43" x14ac:dyDescent="0.25">
      <c r="A53" t="s">
        <v>800</v>
      </c>
      <c r="B53" s="1" t="s">
        <v>818</v>
      </c>
      <c r="C53" s="1" t="s">
        <v>283</v>
      </c>
      <c r="D53" s="1" t="s">
        <v>286</v>
      </c>
      <c r="E53" s="21">
        <v>2017</v>
      </c>
      <c r="G53">
        <v>8.5370000000000008</v>
      </c>
      <c r="H53">
        <v>2.097</v>
      </c>
      <c r="I53">
        <v>1.32</v>
      </c>
      <c r="J53">
        <v>0.76800000000000002</v>
      </c>
      <c r="K53">
        <v>2.016</v>
      </c>
      <c r="L53" s="7">
        <v>0</v>
      </c>
      <c r="M53">
        <v>1.9810000000000001</v>
      </c>
      <c r="N53">
        <v>0.17699999999999999</v>
      </c>
      <c r="O53" s="7">
        <v>0</v>
      </c>
      <c r="P53">
        <v>5.08</v>
      </c>
      <c r="Q53">
        <v>0.96499999999999997</v>
      </c>
      <c r="R53">
        <v>0</v>
      </c>
      <c r="S53">
        <v>7.7830000000000004</v>
      </c>
      <c r="T53">
        <v>4.5060000000000002</v>
      </c>
      <c r="U53">
        <v>4.3170000000000002</v>
      </c>
      <c r="V53">
        <v>0.42399999999999999</v>
      </c>
      <c r="W53">
        <v>2.7970000000000002</v>
      </c>
      <c r="X53">
        <v>2.8180000000000001</v>
      </c>
      <c r="Y53">
        <v>1.27887216331584</v>
      </c>
      <c r="Z53">
        <v>0.495</v>
      </c>
      <c r="AA53">
        <v>10.086</v>
      </c>
      <c r="AB53">
        <v>0.67200000000000004</v>
      </c>
      <c r="AC53">
        <v>0.77100000000000002</v>
      </c>
      <c r="AD53">
        <v>0.16700000000000001</v>
      </c>
      <c r="AE53">
        <v>7.0030000000000001</v>
      </c>
      <c r="AF53">
        <v>14.818</v>
      </c>
      <c r="AG53" s="7">
        <v>0</v>
      </c>
      <c r="AH53">
        <v>13.327</v>
      </c>
      <c r="AI53" s="7">
        <v>0</v>
      </c>
      <c r="AJ53">
        <v>2.282</v>
      </c>
      <c r="AK53">
        <v>1.9339999999999999</v>
      </c>
      <c r="AL53">
        <v>47.359872163315835</v>
      </c>
      <c r="AM53">
        <v>49.126000000000005</v>
      </c>
      <c r="AN53">
        <v>1.0372916512653128</v>
      </c>
      <c r="AO53">
        <v>25.383872163315843</v>
      </c>
      <c r="AP53">
        <v>7.2379999999999995</v>
      </c>
      <c r="AQ53">
        <v>14.738000000000001</v>
      </c>
    </row>
    <row r="54" spans="1:43" x14ac:dyDescent="0.25">
      <c r="A54" t="s">
        <v>801</v>
      </c>
      <c r="B54" s="1" t="s">
        <v>818</v>
      </c>
      <c r="C54" s="1" t="s">
        <v>283</v>
      </c>
      <c r="D54" s="1" t="s">
        <v>286</v>
      </c>
      <c r="E54" s="21">
        <v>2017</v>
      </c>
      <c r="G54">
        <v>8.83</v>
      </c>
      <c r="H54">
        <v>2.12</v>
      </c>
      <c r="I54">
        <v>1.5629999999999999</v>
      </c>
      <c r="J54">
        <v>0.77</v>
      </c>
      <c r="K54">
        <v>1.9810000000000001</v>
      </c>
      <c r="L54" s="7">
        <v>0</v>
      </c>
      <c r="M54">
        <v>1.8560000000000001</v>
      </c>
      <c r="N54">
        <v>0.14699999999999999</v>
      </c>
      <c r="O54" s="7">
        <v>0</v>
      </c>
      <c r="P54">
        <v>4.6749999999999998</v>
      </c>
      <c r="Q54">
        <v>0.92</v>
      </c>
      <c r="R54">
        <v>0</v>
      </c>
      <c r="S54">
        <v>7.8049999999999997</v>
      </c>
      <c r="T54">
        <v>4.5229999999999997</v>
      </c>
      <c r="U54">
        <v>3.9950000000000001</v>
      </c>
      <c r="V54">
        <v>0.34599999999999997</v>
      </c>
      <c r="W54">
        <v>2.5680000000000001</v>
      </c>
      <c r="X54">
        <v>2.7679999999999998</v>
      </c>
      <c r="Y54">
        <v>1.3472771673716699</v>
      </c>
      <c r="Z54">
        <v>0.441</v>
      </c>
      <c r="AA54">
        <v>10.885999999999999</v>
      </c>
      <c r="AB54">
        <v>0.45400000000000001</v>
      </c>
      <c r="AC54">
        <v>0.73499999999999999</v>
      </c>
      <c r="AD54">
        <v>0.13600000000000001</v>
      </c>
      <c r="AE54">
        <v>8.4359999999999999</v>
      </c>
      <c r="AF54">
        <v>16.36</v>
      </c>
      <c r="AG54" s="7">
        <v>0</v>
      </c>
      <c r="AH54">
        <v>13.907999999999999</v>
      </c>
      <c r="AI54" s="7">
        <v>0</v>
      </c>
      <c r="AJ54">
        <v>2.5950000000000002</v>
      </c>
      <c r="AK54">
        <v>1.486</v>
      </c>
      <c r="AL54">
        <v>46.655277167371665</v>
      </c>
      <c r="AM54">
        <v>53.51</v>
      </c>
      <c r="AN54">
        <v>1.1469227759174514</v>
      </c>
      <c r="AO54">
        <v>24.713277167371668</v>
      </c>
      <c r="AP54">
        <v>6.6779999999999999</v>
      </c>
      <c r="AQ54">
        <v>15.263999999999999</v>
      </c>
    </row>
    <row r="55" spans="1:43" x14ac:dyDescent="0.25">
      <c r="A55" t="s">
        <v>802</v>
      </c>
      <c r="B55" s="1" t="s">
        <v>818</v>
      </c>
      <c r="C55" s="1" t="s">
        <v>283</v>
      </c>
      <c r="D55" s="1" t="s">
        <v>286</v>
      </c>
      <c r="E55" s="21">
        <v>2017</v>
      </c>
      <c r="G55">
        <v>10.438000000000001</v>
      </c>
      <c r="H55">
        <v>2.35</v>
      </c>
      <c r="I55">
        <v>1.444</v>
      </c>
      <c r="J55">
        <v>0.78600000000000003</v>
      </c>
      <c r="K55">
        <v>2.1850000000000001</v>
      </c>
      <c r="L55" s="7">
        <v>0</v>
      </c>
      <c r="M55">
        <v>2.1280000000000001</v>
      </c>
      <c r="N55">
        <v>0.214</v>
      </c>
      <c r="O55" s="7">
        <v>0</v>
      </c>
      <c r="P55">
        <v>5.2750000000000004</v>
      </c>
      <c r="Q55">
        <v>1.0209999999999999</v>
      </c>
      <c r="R55">
        <v>0</v>
      </c>
      <c r="S55">
        <v>8.5429999999999993</v>
      </c>
      <c r="T55">
        <v>4.8390000000000004</v>
      </c>
      <c r="U55">
        <v>4.3819999999999997</v>
      </c>
      <c r="V55">
        <v>0.371</v>
      </c>
      <c r="W55">
        <v>2.98</v>
      </c>
      <c r="X55">
        <v>2.891</v>
      </c>
      <c r="Y55">
        <v>1.4771414849547899</v>
      </c>
      <c r="Z55">
        <v>0.40899999999999997</v>
      </c>
      <c r="AA55">
        <v>10.643000000000001</v>
      </c>
      <c r="AB55">
        <v>0.52300000000000002</v>
      </c>
      <c r="AC55">
        <v>0.875</v>
      </c>
      <c r="AD55">
        <v>0.20300000000000001</v>
      </c>
      <c r="AE55">
        <v>6.2640000000000002</v>
      </c>
      <c r="AF55">
        <v>15.318</v>
      </c>
      <c r="AG55" s="7">
        <v>0</v>
      </c>
      <c r="AH55">
        <v>12.804</v>
      </c>
      <c r="AI55" s="7">
        <v>0</v>
      </c>
      <c r="AJ55">
        <v>2.83</v>
      </c>
      <c r="AK55">
        <v>1.78</v>
      </c>
      <c r="AL55">
        <v>51.733141484954785</v>
      </c>
      <c r="AM55">
        <v>49.46</v>
      </c>
      <c r="AN55">
        <v>0.95606024649371302</v>
      </c>
      <c r="AO55">
        <v>26.913141484954789</v>
      </c>
      <c r="AP55">
        <v>7.6170000000000009</v>
      </c>
      <c r="AQ55">
        <v>17.202999999999999</v>
      </c>
    </row>
    <row r="56" spans="1:43" x14ac:dyDescent="0.25">
      <c r="A56" t="s">
        <v>803</v>
      </c>
      <c r="B56" s="1" t="s">
        <v>818</v>
      </c>
      <c r="C56" s="1" t="s">
        <v>283</v>
      </c>
      <c r="D56" s="1" t="s">
        <v>283</v>
      </c>
      <c r="E56" s="21">
        <v>2017</v>
      </c>
      <c r="G56">
        <v>6.35</v>
      </c>
      <c r="H56">
        <v>1.339</v>
      </c>
      <c r="I56">
        <v>0.80700000000000005</v>
      </c>
      <c r="J56">
        <v>0.47</v>
      </c>
      <c r="K56">
        <v>1.5620000000000001</v>
      </c>
      <c r="L56" s="7">
        <v>0</v>
      </c>
      <c r="M56">
        <v>1.3620000000000001</v>
      </c>
      <c r="N56">
        <v>7.6999999999999999E-2</v>
      </c>
      <c r="O56" s="7">
        <v>0</v>
      </c>
      <c r="P56">
        <v>3.1589999999999998</v>
      </c>
      <c r="Q56">
        <v>0.70199999999999996</v>
      </c>
      <c r="R56">
        <v>3.7999999999999999E-2</v>
      </c>
      <c r="S56">
        <v>5.6980000000000004</v>
      </c>
      <c r="T56">
        <v>3.1829999999999998</v>
      </c>
      <c r="U56">
        <v>2.7349999999999999</v>
      </c>
      <c r="V56">
        <v>0.24199999999999999</v>
      </c>
      <c r="W56">
        <v>1.8360000000000001</v>
      </c>
      <c r="X56">
        <v>1.905</v>
      </c>
      <c r="Y56">
        <v>0.87793829632209097</v>
      </c>
      <c r="Z56">
        <v>0.13800000000000001</v>
      </c>
      <c r="AA56">
        <v>5.3220000000000001</v>
      </c>
      <c r="AB56">
        <v>0</v>
      </c>
      <c r="AC56">
        <v>0.87</v>
      </c>
      <c r="AD56">
        <v>0.13400000000000001</v>
      </c>
      <c r="AE56">
        <v>3.9220000000000002</v>
      </c>
      <c r="AF56">
        <v>9.9009999999999998</v>
      </c>
      <c r="AG56" s="7">
        <v>0</v>
      </c>
      <c r="AH56">
        <v>8.0220000000000002</v>
      </c>
      <c r="AI56" s="7">
        <v>0</v>
      </c>
      <c r="AJ56">
        <v>1.466</v>
      </c>
      <c r="AK56">
        <v>1.0629999999999999</v>
      </c>
      <c r="AL56">
        <v>32.480938296322087</v>
      </c>
      <c r="AM56">
        <v>29.637</v>
      </c>
      <c r="AN56">
        <v>0.91244285277792869</v>
      </c>
      <c r="AO56">
        <v>17.354938296322093</v>
      </c>
      <c r="AP56">
        <v>4.5979999999999999</v>
      </c>
      <c r="AQ56">
        <v>10.528</v>
      </c>
    </row>
    <row r="57" spans="1:43" x14ac:dyDescent="0.25">
      <c r="A57" t="s">
        <v>804</v>
      </c>
      <c r="B57" s="1" t="s">
        <v>818</v>
      </c>
      <c r="C57" s="1" t="s">
        <v>283</v>
      </c>
      <c r="D57" s="1" t="s">
        <v>283</v>
      </c>
      <c r="E57" s="21">
        <v>2017</v>
      </c>
      <c r="G57">
        <v>6.391</v>
      </c>
      <c r="H57">
        <v>1.6120000000000001</v>
      </c>
      <c r="I57">
        <v>0.70099999999999996</v>
      </c>
      <c r="J57">
        <v>0.45</v>
      </c>
      <c r="K57">
        <v>1.4930000000000001</v>
      </c>
      <c r="L57" s="7">
        <v>0</v>
      </c>
      <c r="M57">
        <v>1.319</v>
      </c>
      <c r="N57">
        <v>8.2000000000000003E-2</v>
      </c>
      <c r="O57" s="7">
        <v>0</v>
      </c>
      <c r="P57">
        <v>3.0710000000000002</v>
      </c>
      <c r="Q57">
        <v>0.56200000000000006</v>
      </c>
      <c r="R57">
        <v>5.0999999999999997E-2</v>
      </c>
      <c r="S57">
        <v>5.5129999999999999</v>
      </c>
      <c r="T57">
        <v>2.996</v>
      </c>
      <c r="U57">
        <v>2.7010000000000001</v>
      </c>
      <c r="V57">
        <v>0.218</v>
      </c>
      <c r="W57">
        <v>1.74</v>
      </c>
      <c r="X57">
        <v>1.734</v>
      </c>
      <c r="Y57">
        <v>0.78002284110867404</v>
      </c>
      <c r="Z57">
        <v>0.129</v>
      </c>
      <c r="AA57">
        <v>5.7290000000000001</v>
      </c>
      <c r="AB57">
        <v>0</v>
      </c>
      <c r="AC57">
        <v>0.78500000000000003</v>
      </c>
      <c r="AD57">
        <v>0.08</v>
      </c>
      <c r="AE57">
        <v>4.5220000000000002</v>
      </c>
      <c r="AF57">
        <v>9.4019999999999992</v>
      </c>
      <c r="AG57" s="7">
        <v>0</v>
      </c>
      <c r="AH57">
        <v>7.9320000000000004</v>
      </c>
      <c r="AI57" s="7">
        <v>0</v>
      </c>
      <c r="AJ57">
        <v>1.6040000000000001</v>
      </c>
      <c r="AK57">
        <v>3.39</v>
      </c>
      <c r="AL57">
        <v>31.543022841108677</v>
      </c>
      <c r="AM57">
        <v>30.054000000000002</v>
      </c>
      <c r="AN57">
        <v>0.95279390790764373</v>
      </c>
      <c r="AO57">
        <v>16.424022841108677</v>
      </c>
      <c r="AP57">
        <v>4.4720000000000004</v>
      </c>
      <c r="AQ57">
        <v>10.647</v>
      </c>
    </row>
    <row r="58" spans="1:43" x14ac:dyDescent="0.25">
      <c r="A58" s="8" t="s">
        <v>805</v>
      </c>
      <c r="B58" s="22" t="s">
        <v>819</v>
      </c>
      <c r="C58" s="22" t="s">
        <v>286</v>
      </c>
      <c r="D58" s="22" t="s">
        <v>283</v>
      </c>
      <c r="E58" s="21">
        <v>2017</v>
      </c>
      <c r="G58">
        <v>5.2779999999999996</v>
      </c>
      <c r="H58">
        <v>1.8</v>
      </c>
      <c r="I58">
        <v>0.82499999999999996</v>
      </c>
      <c r="J58">
        <v>0.443</v>
      </c>
      <c r="K58">
        <v>2.1419999999999999</v>
      </c>
      <c r="L58" s="7">
        <v>0</v>
      </c>
      <c r="M58">
        <v>1.214</v>
      </c>
      <c r="N58">
        <v>0.20699999999999999</v>
      </c>
      <c r="O58" s="7">
        <v>0</v>
      </c>
      <c r="P58">
        <v>3.74</v>
      </c>
      <c r="Q58">
        <v>0.45700000000000002</v>
      </c>
      <c r="R58">
        <v>0</v>
      </c>
      <c r="S58">
        <v>4.66</v>
      </c>
      <c r="T58">
        <v>2.6840000000000002</v>
      </c>
      <c r="U58">
        <v>2.6739999999999999</v>
      </c>
      <c r="V58">
        <v>0.183</v>
      </c>
      <c r="W58">
        <v>1.8009999999999999</v>
      </c>
      <c r="X58">
        <v>1.8049999999999999</v>
      </c>
      <c r="Y58">
        <v>0.76031782264541903</v>
      </c>
      <c r="Z58">
        <v>1.821</v>
      </c>
      <c r="AA58">
        <v>5.2</v>
      </c>
      <c r="AB58">
        <v>0.36499999999999999</v>
      </c>
      <c r="AC58">
        <v>0.41899999999999998</v>
      </c>
      <c r="AD58">
        <v>0</v>
      </c>
      <c r="AE58">
        <v>7.484</v>
      </c>
      <c r="AF58">
        <v>12.81</v>
      </c>
      <c r="AG58" s="7">
        <v>0</v>
      </c>
      <c r="AH58">
        <v>7.6180000000000003</v>
      </c>
      <c r="AI58" s="7">
        <v>0</v>
      </c>
      <c r="AJ58">
        <v>1.171</v>
      </c>
      <c r="AK58">
        <v>0.94299999999999995</v>
      </c>
      <c r="AL58">
        <v>32.494317822645421</v>
      </c>
      <c r="AM58">
        <v>35.067</v>
      </c>
      <c r="AN58">
        <v>1.0791732939708514</v>
      </c>
      <c r="AO58">
        <v>16.84531782264542</v>
      </c>
      <c r="AP58">
        <v>5.1610000000000005</v>
      </c>
      <c r="AQ58">
        <v>10.488</v>
      </c>
    </row>
    <row r="59" spans="1:43" x14ac:dyDescent="0.25">
      <c r="A59" s="8" t="s">
        <v>806</v>
      </c>
      <c r="B59" s="22" t="s">
        <v>819</v>
      </c>
      <c r="C59" s="22" t="s">
        <v>286</v>
      </c>
      <c r="D59" s="22" t="s">
        <v>283</v>
      </c>
      <c r="E59" s="21">
        <v>2017</v>
      </c>
      <c r="G59">
        <v>9.15</v>
      </c>
      <c r="H59">
        <v>1.8580000000000001</v>
      </c>
      <c r="I59">
        <v>1.4910000000000001</v>
      </c>
      <c r="J59">
        <v>0.97399999999999998</v>
      </c>
      <c r="K59">
        <v>2.2480000000000002</v>
      </c>
      <c r="L59" s="7">
        <v>0</v>
      </c>
      <c r="M59">
        <v>2.391</v>
      </c>
      <c r="N59">
        <v>0.378</v>
      </c>
      <c r="O59" s="7">
        <v>0</v>
      </c>
      <c r="P59">
        <v>6.06</v>
      </c>
      <c r="Q59">
        <v>0.93500000000000005</v>
      </c>
      <c r="R59">
        <v>0</v>
      </c>
      <c r="S59">
        <v>9.2769999999999992</v>
      </c>
      <c r="T59">
        <v>5.3259999999999996</v>
      </c>
      <c r="U59">
        <v>4.851</v>
      </c>
      <c r="V59">
        <v>0.45300000000000001</v>
      </c>
      <c r="W59">
        <v>3.383</v>
      </c>
      <c r="X59">
        <v>3.5049999999999999</v>
      </c>
      <c r="Y59">
        <v>1.6282844849446501</v>
      </c>
      <c r="Z59">
        <v>0.5</v>
      </c>
      <c r="AA59">
        <v>9.3230000000000004</v>
      </c>
      <c r="AB59">
        <v>0.66800000000000004</v>
      </c>
      <c r="AC59">
        <v>0.74299999999999999</v>
      </c>
      <c r="AD59">
        <v>0.32400000000000001</v>
      </c>
      <c r="AE59">
        <v>11.536</v>
      </c>
      <c r="AF59">
        <v>21.131</v>
      </c>
      <c r="AG59" s="7">
        <v>0</v>
      </c>
      <c r="AH59">
        <v>20.530999999999999</v>
      </c>
      <c r="AI59" s="7">
        <v>0</v>
      </c>
      <c r="AJ59">
        <v>2.6960000000000002</v>
      </c>
      <c r="AK59">
        <v>2.2999999999999998</v>
      </c>
      <c r="AL59">
        <v>54.408284484944659</v>
      </c>
      <c r="AM59">
        <v>66.951999999999998</v>
      </c>
      <c r="AN59">
        <v>1.2305478960382645</v>
      </c>
      <c r="AO59">
        <v>29.858284484944647</v>
      </c>
      <c r="AP59">
        <v>8.8290000000000006</v>
      </c>
      <c r="AQ59">
        <v>15.721</v>
      </c>
    </row>
    <row r="60" spans="1:43" x14ac:dyDescent="0.25">
      <c r="A60" s="8" t="s">
        <v>807</v>
      </c>
      <c r="B60" s="22" t="s">
        <v>819</v>
      </c>
      <c r="C60" s="22" t="s">
        <v>286</v>
      </c>
      <c r="D60" s="22" t="s">
        <v>286</v>
      </c>
      <c r="E60" s="21">
        <v>2017</v>
      </c>
      <c r="G60">
        <v>7.4379999999999997</v>
      </c>
      <c r="H60">
        <v>1.113</v>
      </c>
      <c r="I60">
        <v>1.194</v>
      </c>
      <c r="J60">
        <v>0.91300000000000003</v>
      </c>
      <c r="K60">
        <v>1.6719999999999999</v>
      </c>
      <c r="L60" s="7">
        <v>0</v>
      </c>
      <c r="M60">
        <v>2.008</v>
      </c>
      <c r="N60">
        <v>0.30499999999999999</v>
      </c>
      <c r="O60" s="7">
        <v>0</v>
      </c>
      <c r="P60">
        <v>4.8579999999999997</v>
      </c>
      <c r="Q60">
        <v>0.86899999999999999</v>
      </c>
      <c r="R60">
        <v>0.156</v>
      </c>
      <c r="S60">
        <v>8.41</v>
      </c>
      <c r="T60">
        <v>4.3879999999999999</v>
      </c>
      <c r="U60">
        <v>3.9550000000000001</v>
      </c>
      <c r="V60">
        <v>0.53900000000000003</v>
      </c>
      <c r="W60">
        <v>2.7669999999999999</v>
      </c>
      <c r="X60">
        <v>2.7989999999999999</v>
      </c>
      <c r="Y60">
        <v>1.5681112248162401</v>
      </c>
      <c r="Z60">
        <v>0.30199999999999999</v>
      </c>
      <c r="AA60">
        <v>7.3970000000000002</v>
      </c>
      <c r="AB60">
        <v>0.82599999999999996</v>
      </c>
      <c r="AC60">
        <v>0.69</v>
      </c>
      <c r="AD60">
        <v>0.35299999999999998</v>
      </c>
      <c r="AE60">
        <v>12.661</v>
      </c>
      <c r="AF60">
        <v>19.178000000000001</v>
      </c>
      <c r="AG60" s="7">
        <v>0</v>
      </c>
      <c r="AH60">
        <v>20.344000000000001</v>
      </c>
      <c r="AI60" s="7">
        <v>0</v>
      </c>
      <c r="AJ60">
        <v>2.5750000000000002</v>
      </c>
      <c r="AK60">
        <v>1.7989999999999999</v>
      </c>
      <c r="AL60">
        <v>45.254111224816242</v>
      </c>
      <c r="AM60">
        <v>64.024000000000001</v>
      </c>
      <c r="AN60">
        <v>1.4147664878874213</v>
      </c>
      <c r="AO60">
        <v>25.753111224816237</v>
      </c>
      <c r="AP60">
        <v>7.1709999999999994</v>
      </c>
      <c r="AQ60">
        <v>12.330000000000002</v>
      </c>
    </row>
    <row r="61" spans="1:43" x14ac:dyDescent="0.25">
      <c r="A61" s="8" t="s">
        <v>808</v>
      </c>
      <c r="B61" s="22" t="s">
        <v>819</v>
      </c>
      <c r="C61" s="22" t="s">
        <v>286</v>
      </c>
      <c r="D61" s="22" t="s">
        <v>286</v>
      </c>
      <c r="E61" s="21">
        <v>2017</v>
      </c>
      <c r="G61">
        <v>9.4269999999999996</v>
      </c>
      <c r="H61">
        <v>1.3959999999999999</v>
      </c>
      <c r="I61">
        <v>1.2789999999999999</v>
      </c>
      <c r="J61">
        <v>1.008</v>
      </c>
      <c r="K61">
        <v>1.9990000000000001</v>
      </c>
      <c r="L61" s="7">
        <v>0</v>
      </c>
      <c r="M61">
        <v>2.4060000000000001</v>
      </c>
      <c r="N61">
        <v>0.42499999999999999</v>
      </c>
      <c r="O61" s="7">
        <v>0</v>
      </c>
      <c r="P61">
        <v>5.6120000000000001</v>
      </c>
      <c r="Q61">
        <v>0.97099999999999997</v>
      </c>
      <c r="R61">
        <v>0</v>
      </c>
      <c r="S61">
        <v>9.8770000000000007</v>
      </c>
      <c r="T61">
        <v>5.4390000000000001</v>
      </c>
      <c r="U61">
        <v>4.4340000000000002</v>
      </c>
      <c r="V61">
        <v>0.4</v>
      </c>
      <c r="W61">
        <v>3.2709999999999999</v>
      </c>
      <c r="X61">
        <v>3.3140000000000001</v>
      </c>
      <c r="Y61">
        <v>1.6155986266056801</v>
      </c>
      <c r="Z61">
        <v>0.621</v>
      </c>
      <c r="AA61">
        <v>14.006</v>
      </c>
      <c r="AB61">
        <v>1.1040000000000001</v>
      </c>
      <c r="AC61">
        <v>0.64100000000000001</v>
      </c>
      <c r="AD61">
        <v>0.59399999999999997</v>
      </c>
      <c r="AE61">
        <v>12.742000000000001</v>
      </c>
      <c r="AF61">
        <v>22.690999999999999</v>
      </c>
      <c r="AG61" s="7">
        <v>0</v>
      </c>
      <c r="AH61">
        <v>23.251000000000001</v>
      </c>
      <c r="AI61" s="7">
        <v>0</v>
      </c>
      <c r="AJ61">
        <v>2.9359999999999999</v>
      </c>
      <c r="AK61">
        <v>2.1859999999999999</v>
      </c>
      <c r="AL61">
        <v>53.494598626605679</v>
      </c>
      <c r="AM61">
        <v>77.965000000000003</v>
      </c>
      <c r="AN61">
        <v>1.4574368628167238</v>
      </c>
      <c r="AO61">
        <v>29.94259862660568</v>
      </c>
      <c r="AP61">
        <v>8.4429999999999996</v>
      </c>
      <c r="AQ61">
        <v>15.109</v>
      </c>
    </row>
    <row r="62" spans="1:43" x14ac:dyDescent="0.25">
      <c r="A62" t="s">
        <v>799</v>
      </c>
      <c r="B62" s="1" t="s">
        <v>818</v>
      </c>
      <c r="C62" s="22" t="s">
        <v>283</v>
      </c>
      <c r="D62" s="1" t="s">
        <v>286</v>
      </c>
      <c r="E62" s="21">
        <v>2017</v>
      </c>
      <c r="G62">
        <v>14.16</v>
      </c>
      <c r="H62">
        <v>2.2069999999999999</v>
      </c>
      <c r="I62">
        <v>1.9890000000000001</v>
      </c>
      <c r="J62">
        <v>1.5009999999999999</v>
      </c>
      <c r="K62">
        <v>3.391</v>
      </c>
      <c r="L62" s="7">
        <v>0</v>
      </c>
      <c r="M62">
        <v>3.2109999999999999</v>
      </c>
      <c r="N62">
        <v>0.439</v>
      </c>
      <c r="O62" s="7">
        <v>0</v>
      </c>
      <c r="P62">
        <v>7.9619999999999997</v>
      </c>
      <c r="Q62">
        <v>1.766</v>
      </c>
      <c r="R62">
        <v>7.5999999999999998E-2</v>
      </c>
      <c r="S62">
        <v>14.045999999999999</v>
      </c>
      <c r="T62">
        <v>8.2810000000000006</v>
      </c>
      <c r="U62">
        <v>7.9009999999999998</v>
      </c>
      <c r="V62">
        <v>0.61699999999999999</v>
      </c>
      <c r="W62">
        <v>4.6710000000000003</v>
      </c>
      <c r="X62">
        <v>5.157</v>
      </c>
      <c r="Y62">
        <v>2.5434084332853799</v>
      </c>
      <c r="Z62">
        <v>0.378</v>
      </c>
      <c r="AA62">
        <v>13.878</v>
      </c>
      <c r="AB62">
        <v>0</v>
      </c>
      <c r="AC62">
        <v>1.821</v>
      </c>
      <c r="AD62">
        <v>0.48699999999999999</v>
      </c>
      <c r="AE62">
        <v>9.2870000000000008</v>
      </c>
      <c r="AF62">
        <v>22.6</v>
      </c>
      <c r="AG62" s="7">
        <v>0</v>
      </c>
      <c r="AH62">
        <v>27.01</v>
      </c>
      <c r="AI62" s="7">
        <v>0</v>
      </c>
      <c r="AJ62">
        <v>5.4930000000000003</v>
      </c>
      <c r="AK62">
        <v>3.2450000000000001</v>
      </c>
      <c r="AL62">
        <v>80.296408433285379</v>
      </c>
      <c r="AM62">
        <v>80.575999999999993</v>
      </c>
      <c r="AN62">
        <v>1.003481993431212</v>
      </c>
      <c r="AO62">
        <v>45.436408433285379</v>
      </c>
      <c r="AP62">
        <v>11.612</v>
      </c>
      <c r="AQ62">
        <v>23.248000000000005</v>
      </c>
    </row>
    <row r="63" spans="1:43" x14ac:dyDescent="0.25">
      <c r="A63" t="s">
        <v>800</v>
      </c>
      <c r="B63" s="1" t="s">
        <v>818</v>
      </c>
      <c r="C63" s="22" t="s">
        <v>283</v>
      </c>
      <c r="D63" s="1" t="s">
        <v>286</v>
      </c>
      <c r="E63" s="21">
        <v>2017</v>
      </c>
      <c r="G63">
        <v>8.3800000000000008</v>
      </c>
      <c r="H63">
        <v>1.5529999999999999</v>
      </c>
      <c r="I63">
        <v>1.1000000000000001</v>
      </c>
      <c r="J63">
        <v>0.80600000000000005</v>
      </c>
      <c r="K63">
        <v>1.611</v>
      </c>
      <c r="L63" s="7">
        <v>0</v>
      </c>
      <c r="M63">
        <v>2.09</v>
      </c>
      <c r="N63">
        <v>0.11</v>
      </c>
      <c r="O63" s="7">
        <v>0</v>
      </c>
      <c r="P63">
        <v>4.3129999999999997</v>
      </c>
      <c r="Q63">
        <v>1.097</v>
      </c>
      <c r="R63">
        <v>5.1999999999999998E-2</v>
      </c>
      <c r="S63">
        <v>8.1739999999999995</v>
      </c>
      <c r="T63">
        <v>4.7359999999999998</v>
      </c>
      <c r="U63">
        <v>4.2329999999999997</v>
      </c>
      <c r="V63">
        <v>0.375</v>
      </c>
      <c r="W63">
        <v>2.6480000000000001</v>
      </c>
      <c r="X63">
        <v>2.633</v>
      </c>
      <c r="Y63">
        <v>1.2670492560822499</v>
      </c>
      <c r="Z63">
        <v>0.153</v>
      </c>
      <c r="AA63">
        <v>11.055999999999999</v>
      </c>
      <c r="AB63">
        <v>0.42</v>
      </c>
      <c r="AC63">
        <v>0.73599999999999999</v>
      </c>
      <c r="AD63">
        <v>0.215</v>
      </c>
      <c r="AE63">
        <v>6.5350000000000001</v>
      </c>
      <c r="AF63">
        <v>13.831</v>
      </c>
      <c r="AG63" s="7">
        <v>0</v>
      </c>
      <c r="AH63">
        <v>14.000999999999999</v>
      </c>
      <c r="AI63" s="7">
        <v>0</v>
      </c>
      <c r="AJ63">
        <v>2.7189999999999999</v>
      </c>
      <c r="AK63">
        <v>1.6890000000000001</v>
      </c>
      <c r="AL63">
        <v>45.331049256082252</v>
      </c>
      <c r="AM63">
        <v>49.512999999999998</v>
      </c>
      <c r="AN63">
        <v>1.0922535615774795</v>
      </c>
      <c r="AO63">
        <v>25.368049256082248</v>
      </c>
      <c r="AP63">
        <v>6.5129999999999999</v>
      </c>
      <c r="AQ63">
        <v>13.45</v>
      </c>
    </row>
    <row r="64" spans="1:43" x14ac:dyDescent="0.25">
      <c r="A64" t="s">
        <v>801</v>
      </c>
      <c r="B64" s="1" t="s">
        <v>818</v>
      </c>
      <c r="C64" s="22" t="s">
        <v>283</v>
      </c>
      <c r="D64" s="1" t="s">
        <v>286</v>
      </c>
      <c r="E64" s="21">
        <v>2017</v>
      </c>
      <c r="G64">
        <v>12.339</v>
      </c>
      <c r="H64">
        <v>2.073</v>
      </c>
      <c r="I64">
        <v>1.849</v>
      </c>
      <c r="J64">
        <v>1.399</v>
      </c>
      <c r="K64">
        <v>2.6040000000000001</v>
      </c>
      <c r="L64" s="7">
        <v>0</v>
      </c>
      <c r="M64">
        <v>3.1139999999999999</v>
      </c>
      <c r="N64">
        <v>0.182</v>
      </c>
      <c r="O64" s="7">
        <v>0</v>
      </c>
      <c r="P64">
        <v>7.04</v>
      </c>
      <c r="Q64">
        <v>1.7709999999999999</v>
      </c>
      <c r="R64">
        <v>0.105</v>
      </c>
      <c r="S64">
        <v>12.816000000000001</v>
      </c>
      <c r="T64">
        <v>7.73</v>
      </c>
      <c r="U64">
        <v>6.5679999999999996</v>
      </c>
      <c r="V64">
        <v>0.59399999999999997</v>
      </c>
      <c r="W64">
        <v>4.048</v>
      </c>
      <c r="X64">
        <v>4.1970000000000001</v>
      </c>
      <c r="Y64">
        <v>2.0801598338895499</v>
      </c>
      <c r="Z64">
        <v>0.26800000000000002</v>
      </c>
      <c r="AA64">
        <v>19.53</v>
      </c>
      <c r="AB64">
        <v>0</v>
      </c>
      <c r="AC64">
        <v>1.59</v>
      </c>
      <c r="AD64">
        <v>0</v>
      </c>
      <c r="AE64">
        <v>26.084</v>
      </c>
      <c r="AF64">
        <v>26.239000000000001</v>
      </c>
      <c r="AG64" s="7">
        <v>0</v>
      </c>
      <c r="AH64">
        <v>23.957000000000001</v>
      </c>
      <c r="AI64" s="7">
        <v>0</v>
      </c>
      <c r="AJ64">
        <v>5.1029999999999998</v>
      </c>
      <c r="AK64">
        <v>2.48</v>
      </c>
      <c r="AL64">
        <v>70.777159833889542</v>
      </c>
      <c r="AM64">
        <v>102.503</v>
      </c>
      <c r="AN64">
        <v>1.448249692988097</v>
      </c>
      <c r="AO64">
        <v>40.177159833889561</v>
      </c>
      <c r="AP64">
        <v>10.336</v>
      </c>
      <c r="AQ64">
        <v>20.263999999999999</v>
      </c>
    </row>
    <row r="65" spans="1:43" x14ac:dyDescent="0.25">
      <c r="A65" t="s">
        <v>802</v>
      </c>
      <c r="B65" s="1" t="s">
        <v>818</v>
      </c>
      <c r="C65" s="22" t="s">
        <v>283</v>
      </c>
      <c r="D65" s="1" t="s">
        <v>286</v>
      </c>
      <c r="E65" s="21">
        <v>2017</v>
      </c>
      <c r="G65">
        <v>14.602</v>
      </c>
      <c r="H65">
        <v>2.4569999999999999</v>
      </c>
      <c r="I65">
        <v>2.2029999999999998</v>
      </c>
      <c r="J65">
        <v>1.788</v>
      </c>
      <c r="K65">
        <v>3.76</v>
      </c>
      <c r="L65" s="7">
        <v>0</v>
      </c>
      <c r="M65">
        <v>3.927</v>
      </c>
      <c r="N65">
        <v>0.28899999999999998</v>
      </c>
      <c r="O65" s="7">
        <v>0</v>
      </c>
      <c r="P65">
        <v>8.3170000000000002</v>
      </c>
      <c r="Q65">
        <v>2.4060000000000001</v>
      </c>
      <c r="R65">
        <v>0.16200000000000001</v>
      </c>
      <c r="S65">
        <v>16.13</v>
      </c>
      <c r="T65">
        <v>9.6319999999999997</v>
      </c>
      <c r="U65">
        <v>8.5709999999999997</v>
      </c>
      <c r="V65">
        <v>0.68500000000000005</v>
      </c>
      <c r="W65">
        <v>4.8849999999999998</v>
      </c>
      <c r="X65">
        <v>5.2750000000000004</v>
      </c>
      <c r="Y65">
        <v>2.7982557272757802</v>
      </c>
      <c r="Z65">
        <v>0.434</v>
      </c>
      <c r="AA65">
        <v>20.135999999999999</v>
      </c>
      <c r="AB65">
        <v>0</v>
      </c>
      <c r="AC65">
        <v>2.0110000000000001</v>
      </c>
      <c r="AD65">
        <v>0</v>
      </c>
      <c r="AE65">
        <v>24.97</v>
      </c>
      <c r="AF65">
        <v>29.059000000000001</v>
      </c>
      <c r="AG65" s="7">
        <v>0</v>
      </c>
      <c r="AH65">
        <v>30.698</v>
      </c>
      <c r="AI65" s="7">
        <v>0</v>
      </c>
      <c r="AJ65">
        <v>5.82</v>
      </c>
      <c r="AK65">
        <v>3.585</v>
      </c>
      <c r="AL65">
        <v>88.321255727275798</v>
      </c>
      <c r="AM65">
        <v>112.69399999999999</v>
      </c>
      <c r="AN65">
        <v>1.2759555904411499</v>
      </c>
      <c r="AO65">
        <v>50.978255727275773</v>
      </c>
      <c r="AP65">
        <v>12.533000000000001</v>
      </c>
      <c r="AQ65">
        <v>24.810000000000002</v>
      </c>
    </row>
    <row r="66" spans="1:43" x14ac:dyDescent="0.25">
      <c r="A66" t="s">
        <v>803</v>
      </c>
      <c r="B66" s="1" t="s">
        <v>818</v>
      </c>
      <c r="C66" s="22" t="s">
        <v>283</v>
      </c>
      <c r="D66" s="1" t="s">
        <v>283</v>
      </c>
      <c r="E66" s="21">
        <v>2017</v>
      </c>
      <c r="G66">
        <v>12.938000000000001</v>
      </c>
      <c r="H66">
        <v>2.1739999999999999</v>
      </c>
      <c r="I66">
        <v>1.6619999999999999</v>
      </c>
      <c r="J66">
        <v>1.423</v>
      </c>
      <c r="K66">
        <v>2.7949999999999999</v>
      </c>
      <c r="L66" s="7">
        <v>0</v>
      </c>
      <c r="M66">
        <v>3.1080000000000001</v>
      </c>
      <c r="N66">
        <v>0.435</v>
      </c>
      <c r="O66" s="7">
        <v>0</v>
      </c>
      <c r="P66">
        <v>6.7389999999999999</v>
      </c>
      <c r="Q66">
        <v>1.6459999999999999</v>
      </c>
      <c r="R66">
        <v>7.4999999999999997E-2</v>
      </c>
      <c r="S66">
        <v>13.737</v>
      </c>
      <c r="T66">
        <v>7.76</v>
      </c>
      <c r="U66">
        <v>6.6920000000000002</v>
      </c>
      <c r="V66">
        <v>0.59499999999999997</v>
      </c>
      <c r="W66">
        <v>4.165</v>
      </c>
      <c r="X66">
        <v>4.3620000000000001</v>
      </c>
      <c r="Y66">
        <v>2.2263778162698902</v>
      </c>
      <c r="Z66">
        <v>0.36399999999999999</v>
      </c>
      <c r="AA66">
        <v>18.975999999999999</v>
      </c>
      <c r="AB66">
        <v>0</v>
      </c>
      <c r="AC66">
        <v>1.7370000000000001</v>
      </c>
      <c r="AD66">
        <v>0.33300000000000002</v>
      </c>
      <c r="AE66">
        <v>13.586</v>
      </c>
      <c r="AF66">
        <v>24.893000000000001</v>
      </c>
      <c r="AG66" s="7">
        <v>0</v>
      </c>
      <c r="AH66">
        <v>27.826000000000001</v>
      </c>
      <c r="AI66" s="7">
        <v>0</v>
      </c>
      <c r="AJ66">
        <v>4.9480000000000004</v>
      </c>
      <c r="AK66">
        <v>2.952</v>
      </c>
      <c r="AL66">
        <v>72.89637781626989</v>
      </c>
      <c r="AM66">
        <v>92.299000000000007</v>
      </c>
      <c r="AN66">
        <v>1.2661671644732888</v>
      </c>
      <c r="AO66">
        <v>41.622377816269889</v>
      </c>
      <c r="AP66">
        <v>10.282</v>
      </c>
      <c r="AQ66">
        <v>20.992000000000004</v>
      </c>
    </row>
    <row r="67" spans="1:43" x14ac:dyDescent="0.25">
      <c r="A67" t="s">
        <v>804</v>
      </c>
      <c r="B67" s="1" t="s">
        <v>818</v>
      </c>
      <c r="C67" s="22" t="s">
        <v>283</v>
      </c>
      <c r="D67" s="1" t="s">
        <v>283</v>
      </c>
      <c r="E67" s="21">
        <v>2017</v>
      </c>
      <c r="G67">
        <v>8.7439999999999998</v>
      </c>
      <c r="H67">
        <v>1.395</v>
      </c>
      <c r="I67">
        <v>1.3129999999999999</v>
      </c>
      <c r="J67">
        <v>1.0129999999999999</v>
      </c>
      <c r="K67">
        <v>2.2770000000000001</v>
      </c>
      <c r="L67" s="7">
        <v>0</v>
      </c>
      <c r="M67">
        <v>2.21</v>
      </c>
      <c r="N67">
        <v>0.35199999999999998</v>
      </c>
      <c r="O67" s="7">
        <v>0</v>
      </c>
      <c r="P67">
        <v>4.8620000000000001</v>
      </c>
      <c r="Q67">
        <v>1.097</v>
      </c>
      <c r="R67">
        <v>5.6000000000000001E-2</v>
      </c>
      <c r="S67">
        <v>8.9870000000000001</v>
      </c>
      <c r="T67">
        <v>5.4770000000000003</v>
      </c>
      <c r="U67">
        <v>4.7549999999999999</v>
      </c>
      <c r="V67">
        <v>0.41699999999999998</v>
      </c>
      <c r="W67">
        <v>2.8879999999999999</v>
      </c>
      <c r="X67">
        <v>3.0790000000000002</v>
      </c>
      <c r="Y67">
        <v>1.6483258807916701</v>
      </c>
      <c r="Z67">
        <v>0.57099999999999995</v>
      </c>
      <c r="AA67">
        <v>13.085000000000001</v>
      </c>
      <c r="AB67">
        <v>0</v>
      </c>
      <c r="AC67">
        <v>1.3340000000000001</v>
      </c>
      <c r="AD67">
        <v>0.30299999999999999</v>
      </c>
      <c r="AE67">
        <v>8.2490000000000006</v>
      </c>
      <c r="AF67">
        <v>18.109000000000002</v>
      </c>
      <c r="AG67" s="7">
        <v>0</v>
      </c>
      <c r="AH67">
        <v>17.724</v>
      </c>
      <c r="AI67" s="7">
        <v>0</v>
      </c>
      <c r="AJ67">
        <v>5.0830000000000002</v>
      </c>
      <c r="AK67">
        <v>4.8630000000000004</v>
      </c>
      <c r="AL67">
        <v>51.141325880791669</v>
      </c>
      <c r="AM67">
        <v>63.887</v>
      </c>
      <c r="AN67">
        <v>1.249224553718415</v>
      </c>
      <c r="AO67">
        <v>28.975325880791672</v>
      </c>
      <c r="AP67">
        <v>7.4239999999999995</v>
      </c>
      <c r="AQ67">
        <v>14.742000000000001</v>
      </c>
    </row>
    <row r="68" spans="1:43" x14ac:dyDescent="0.25">
      <c r="A68" s="8" t="s">
        <v>805</v>
      </c>
      <c r="B68" s="22" t="s">
        <v>819</v>
      </c>
      <c r="C68" s="22" t="s">
        <v>286</v>
      </c>
      <c r="D68" s="22" t="s">
        <v>283</v>
      </c>
      <c r="E68" s="21">
        <v>2017</v>
      </c>
      <c r="G68">
        <v>9.077</v>
      </c>
      <c r="H68">
        <v>1.9490000000000001</v>
      </c>
      <c r="I68">
        <v>1.0940000000000001</v>
      </c>
      <c r="J68">
        <v>0.92300000000000004</v>
      </c>
      <c r="K68">
        <v>1.9019999999999999</v>
      </c>
      <c r="L68" s="7">
        <v>0</v>
      </c>
      <c r="M68">
        <v>2.125</v>
      </c>
      <c r="N68">
        <v>0.36399999999999999</v>
      </c>
      <c r="O68" s="7">
        <v>0</v>
      </c>
      <c r="P68">
        <v>5.2779999999999996</v>
      </c>
      <c r="Q68">
        <v>0.81399999999999995</v>
      </c>
      <c r="R68">
        <v>0</v>
      </c>
      <c r="S68">
        <v>8.2070000000000007</v>
      </c>
      <c r="T68">
        <v>4.5069999999999997</v>
      </c>
      <c r="U68">
        <v>3.9670000000000001</v>
      </c>
      <c r="V68">
        <v>0.36699999999999999</v>
      </c>
      <c r="W68">
        <v>2.7829999999999999</v>
      </c>
      <c r="X68">
        <v>2.9569999999999999</v>
      </c>
      <c r="Y68">
        <v>1.3902749879574601</v>
      </c>
      <c r="Z68">
        <v>0.314</v>
      </c>
      <c r="AA68">
        <v>11.483000000000001</v>
      </c>
      <c r="AB68">
        <v>0.47399999999999998</v>
      </c>
      <c r="AC68">
        <v>0.70099999999999996</v>
      </c>
      <c r="AD68">
        <v>0.28899999999999998</v>
      </c>
      <c r="AE68">
        <v>11.204000000000001</v>
      </c>
      <c r="AF68">
        <v>18.600000000000001</v>
      </c>
      <c r="AG68" s="7">
        <v>0</v>
      </c>
      <c r="AH68">
        <v>17.710999999999999</v>
      </c>
      <c r="AI68" s="7">
        <v>0</v>
      </c>
      <c r="AJ68">
        <v>2.83</v>
      </c>
      <c r="AK68">
        <v>1.806</v>
      </c>
      <c r="AL68">
        <v>48.018274987957462</v>
      </c>
      <c r="AM68">
        <v>63.292000000000002</v>
      </c>
      <c r="AN68">
        <v>1.318081501592322</v>
      </c>
      <c r="AO68">
        <v>25.306274987957465</v>
      </c>
      <c r="AP68">
        <v>7.7669999999999995</v>
      </c>
      <c r="AQ68">
        <v>14.944999999999999</v>
      </c>
    </row>
    <row r="69" spans="1:43" x14ac:dyDescent="0.25">
      <c r="A69" s="8" t="s">
        <v>806</v>
      </c>
      <c r="B69" s="22" t="s">
        <v>819</v>
      </c>
      <c r="C69" s="22" t="s">
        <v>286</v>
      </c>
      <c r="D69" s="22" t="s">
        <v>283</v>
      </c>
      <c r="E69" s="21">
        <v>2017</v>
      </c>
      <c r="G69">
        <v>9.0129999999999999</v>
      </c>
      <c r="H69">
        <v>1.625</v>
      </c>
      <c r="I69">
        <v>1.341</v>
      </c>
      <c r="J69">
        <v>1.1259999999999999</v>
      </c>
      <c r="K69">
        <v>2.3050000000000002</v>
      </c>
      <c r="L69" s="7">
        <v>0</v>
      </c>
      <c r="M69">
        <v>2.1619999999999999</v>
      </c>
      <c r="N69">
        <v>0.56999999999999995</v>
      </c>
      <c r="O69" s="7">
        <v>0</v>
      </c>
      <c r="P69">
        <v>5.3230000000000004</v>
      </c>
      <c r="Q69">
        <v>0.90100000000000002</v>
      </c>
      <c r="R69">
        <v>0</v>
      </c>
      <c r="S69">
        <v>8.8420000000000005</v>
      </c>
      <c r="T69">
        <v>4.9729999999999999</v>
      </c>
      <c r="U69">
        <v>4.165</v>
      </c>
      <c r="V69">
        <v>0.374</v>
      </c>
      <c r="W69">
        <v>2.9169999999999998</v>
      </c>
      <c r="X69">
        <v>3.137</v>
      </c>
      <c r="Y69">
        <v>1.49050478789908</v>
      </c>
      <c r="Z69">
        <v>0.56000000000000005</v>
      </c>
      <c r="AA69">
        <v>7.524</v>
      </c>
      <c r="AB69">
        <v>0.51</v>
      </c>
      <c r="AC69">
        <v>0.73499999999999999</v>
      </c>
      <c r="AD69">
        <v>0.314</v>
      </c>
      <c r="AE69">
        <v>12.135</v>
      </c>
      <c r="AF69">
        <v>22.95</v>
      </c>
      <c r="AG69" s="7">
        <v>0</v>
      </c>
      <c r="AH69">
        <v>15.772</v>
      </c>
      <c r="AI69" s="7">
        <v>0</v>
      </c>
      <c r="AJ69">
        <v>2.8570000000000002</v>
      </c>
      <c r="AK69">
        <v>1.92</v>
      </c>
      <c r="AL69">
        <v>50.82450478789908</v>
      </c>
      <c r="AM69">
        <v>62.796999999999997</v>
      </c>
      <c r="AN69">
        <v>1.2355654081050973</v>
      </c>
      <c r="AO69">
        <v>27.359504787899077</v>
      </c>
      <c r="AP69">
        <v>8.0549999999999997</v>
      </c>
      <c r="AQ69">
        <v>15.409999999999998</v>
      </c>
    </row>
    <row r="70" spans="1:43" x14ac:dyDescent="0.25">
      <c r="A70" s="8" t="s">
        <v>807</v>
      </c>
      <c r="B70" s="22" t="s">
        <v>819</v>
      </c>
      <c r="C70" s="22" t="s">
        <v>286</v>
      </c>
      <c r="D70" s="22" t="s">
        <v>286</v>
      </c>
      <c r="E70" s="21">
        <v>2017</v>
      </c>
      <c r="G70">
        <v>7.4489999999999998</v>
      </c>
      <c r="H70">
        <v>1.089</v>
      </c>
      <c r="I70">
        <v>0.88100000000000001</v>
      </c>
      <c r="J70">
        <v>0.89100000000000001</v>
      </c>
      <c r="K70">
        <v>1.6919999999999999</v>
      </c>
      <c r="L70" s="7">
        <v>0</v>
      </c>
      <c r="M70">
        <v>1.89</v>
      </c>
      <c r="N70">
        <v>0.40699999999999997</v>
      </c>
      <c r="O70" s="7">
        <v>0</v>
      </c>
      <c r="P70">
        <v>4.6120000000000001</v>
      </c>
      <c r="Q70">
        <v>0.80900000000000005</v>
      </c>
      <c r="R70">
        <v>0</v>
      </c>
      <c r="S70">
        <v>7.907</v>
      </c>
      <c r="T70">
        <v>4.3120000000000003</v>
      </c>
      <c r="U70">
        <v>3.427</v>
      </c>
      <c r="V70">
        <v>0.318</v>
      </c>
      <c r="W70">
        <v>2.5979999999999999</v>
      </c>
      <c r="X70">
        <v>2.6320000000000001</v>
      </c>
      <c r="Y70">
        <v>1.4838364194879601</v>
      </c>
      <c r="Z70">
        <v>0.45800000000000002</v>
      </c>
      <c r="AA70">
        <v>13.996</v>
      </c>
      <c r="AB70">
        <v>0.48099999999999998</v>
      </c>
      <c r="AC70">
        <v>0.58399999999999996</v>
      </c>
      <c r="AD70">
        <v>0.249</v>
      </c>
      <c r="AE70">
        <v>9.48</v>
      </c>
      <c r="AF70">
        <v>17.116</v>
      </c>
      <c r="AG70" s="7">
        <v>0</v>
      </c>
      <c r="AH70">
        <v>36.061</v>
      </c>
      <c r="AI70" s="7">
        <v>0</v>
      </c>
      <c r="AJ70">
        <v>2.7480000000000002</v>
      </c>
      <c r="AK70">
        <v>2.4129999999999998</v>
      </c>
      <c r="AL70">
        <v>42.855836419487957</v>
      </c>
      <c r="AM70">
        <v>80.715000000000003</v>
      </c>
      <c r="AN70">
        <v>1.8834074129351548</v>
      </c>
      <c r="AO70">
        <v>23.944836419487959</v>
      </c>
      <c r="AP70">
        <v>6.9089999999999998</v>
      </c>
      <c r="AQ70">
        <v>12.002000000000001</v>
      </c>
    </row>
    <row r="71" spans="1:43" x14ac:dyDescent="0.25">
      <c r="A71" s="8" t="s">
        <v>808</v>
      </c>
      <c r="B71" s="22" t="s">
        <v>819</v>
      </c>
      <c r="C71" s="22" t="s">
        <v>286</v>
      </c>
      <c r="D71" s="22" t="s">
        <v>286</v>
      </c>
      <c r="E71" s="21">
        <v>2017</v>
      </c>
      <c r="G71">
        <v>7.4509999999999996</v>
      </c>
      <c r="H71">
        <v>1.0549999999999999</v>
      </c>
      <c r="I71">
        <v>0.97799999999999998</v>
      </c>
      <c r="J71">
        <v>0.78600000000000003</v>
      </c>
      <c r="K71">
        <v>1.5229999999999999</v>
      </c>
      <c r="L71" s="7">
        <v>0</v>
      </c>
      <c r="M71">
        <v>1.9730000000000001</v>
      </c>
      <c r="N71">
        <v>0.182</v>
      </c>
      <c r="O71" s="7">
        <v>0</v>
      </c>
      <c r="P71">
        <v>4.6680000000000001</v>
      </c>
      <c r="Q71">
        <v>0.82499999999999996</v>
      </c>
      <c r="R71">
        <v>0</v>
      </c>
      <c r="S71">
        <v>8.1739999999999995</v>
      </c>
      <c r="T71">
        <v>4.2460000000000004</v>
      </c>
      <c r="U71">
        <v>3.5350000000000001</v>
      </c>
      <c r="V71">
        <v>0.36499999999999999</v>
      </c>
      <c r="W71">
        <v>2.5910000000000002</v>
      </c>
      <c r="X71">
        <v>2.6230000000000002</v>
      </c>
      <c r="Y71">
        <v>1.58515966844357</v>
      </c>
      <c r="Z71">
        <v>0.42</v>
      </c>
      <c r="AA71">
        <v>12.032999999999999</v>
      </c>
      <c r="AB71">
        <v>0.54700000000000004</v>
      </c>
      <c r="AC71">
        <v>0.58499999999999996</v>
      </c>
      <c r="AD71">
        <v>0.42499999999999999</v>
      </c>
      <c r="AE71">
        <v>11.823</v>
      </c>
      <c r="AF71">
        <v>18.951000000000001</v>
      </c>
      <c r="AG71" s="7">
        <v>0</v>
      </c>
      <c r="AH71">
        <v>21.603000000000002</v>
      </c>
      <c r="AI71" s="7">
        <v>0</v>
      </c>
      <c r="AJ71">
        <v>2.5790000000000002</v>
      </c>
      <c r="AK71">
        <v>1.95</v>
      </c>
      <c r="AL71">
        <v>42.980159668443576</v>
      </c>
      <c r="AM71">
        <v>68.546000000000006</v>
      </c>
      <c r="AN71">
        <v>1.5948288821813545</v>
      </c>
      <c r="AO71">
        <v>24.364159668443573</v>
      </c>
      <c r="AP71">
        <v>6.8230000000000004</v>
      </c>
      <c r="AQ71">
        <v>11.792999999999999</v>
      </c>
    </row>
    <row r="72" spans="1:43" x14ac:dyDescent="0.25">
      <c r="A72" t="s">
        <v>799</v>
      </c>
      <c r="B72" s="1" t="s">
        <v>818</v>
      </c>
      <c r="C72" s="22" t="s">
        <v>283</v>
      </c>
      <c r="D72" s="1" t="s">
        <v>286</v>
      </c>
      <c r="E72" s="21">
        <v>2017</v>
      </c>
      <c r="G72">
        <v>9.0530000000000008</v>
      </c>
      <c r="H72">
        <v>1.796</v>
      </c>
      <c r="I72">
        <v>1.2549999999999999</v>
      </c>
      <c r="J72">
        <v>0.83099999999999996</v>
      </c>
      <c r="K72">
        <v>1.8759999999999999</v>
      </c>
      <c r="L72" s="7">
        <v>0</v>
      </c>
      <c r="M72">
        <v>1.9450000000000001</v>
      </c>
      <c r="N72">
        <v>0.219</v>
      </c>
      <c r="O72" s="7">
        <v>0</v>
      </c>
      <c r="P72">
        <v>4.5389999999999997</v>
      </c>
      <c r="Q72">
        <v>0.80500000000000005</v>
      </c>
      <c r="R72">
        <v>0</v>
      </c>
      <c r="S72">
        <v>8.4380000000000006</v>
      </c>
      <c r="T72">
        <v>4.8159999999999998</v>
      </c>
      <c r="U72">
        <v>4.3170000000000002</v>
      </c>
      <c r="V72">
        <v>0.35799999999999998</v>
      </c>
      <c r="W72">
        <v>2.8330000000000002</v>
      </c>
      <c r="X72">
        <v>2.9390000000000001</v>
      </c>
      <c r="Y72">
        <v>1.3639732399828699</v>
      </c>
      <c r="Z72">
        <v>0.21199999999999999</v>
      </c>
      <c r="AA72">
        <v>12.829000000000001</v>
      </c>
      <c r="AB72">
        <v>0</v>
      </c>
      <c r="AC72">
        <v>1.0840000000000001</v>
      </c>
      <c r="AD72">
        <v>0.24199999999999999</v>
      </c>
      <c r="AE72">
        <v>8.1370000000000005</v>
      </c>
      <c r="AF72">
        <v>15.848000000000001</v>
      </c>
      <c r="AG72" s="7">
        <v>0</v>
      </c>
      <c r="AH72">
        <v>17.702000000000002</v>
      </c>
      <c r="AI72" s="7">
        <v>0</v>
      </c>
      <c r="AJ72">
        <v>3.101</v>
      </c>
      <c r="AK72">
        <v>2.5070000000000001</v>
      </c>
      <c r="AL72">
        <v>47.595973239982868</v>
      </c>
      <c r="AM72">
        <v>58.942999999999998</v>
      </c>
      <c r="AN72">
        <v>1.2384030830256265</v>
      </c>
      <c r="AO72">
        <v>26.081973239982869</v>
      </c>
      <c r="AP72">
        <v>6.7029999999999994</v>
      </c>
      <c r="AQ72">
        <v>14.810999999999998</v>
      </c>
    </row>
    <row r="73" spans="1:43" x14ac:dyDescent="0.25">
      <c r="A73" t="s">
        <v>800</v>
      </c>
      <c r="B73" s="1" t="s">
        <v>818</v>
      </c>
      <c r="C73" s="22" t="s">
        <v>283</v>
      </c>
      <c r="D73" s="1" t="s">
        <v>286</v>
      </c>
      <c r="E73" s="21">
        <v>2017</v>
      </c>
      <c r="G73">
        <v>7.2930000000000001</v>
      </c>
      <c r="H73">
        <v>2.3580000000000001</v>
      </c>
      <c r="I73">
        <v>0.91500000000000004</v>
      </c>
      <c r="J73">
        <v>0.58399999999999996</v>
      </c>
      <c r="K73">
        <v>1.5529999999999999</v>
      </c>
      <c r="L73" s="7">
        <v>0</v>
      </c>
      <c r="M73">
        <v>1.448</v>
      </c>
      <c r="N73">
        <v>0.11899999999999999</v>
      </c>
      <c r="O73" s="7">
        <v>0</v>
      </c>
      <c r="P73">
        <v>4.1349999999999998</v>
      </c>
      <c r="Q73">
        <v>0.56000000000000005</v>
      </c>
      <c r="R73">
        <v>0</v>
      </c>
      <c r="S73">
        <v>5.5430000000000001</v>
      </c>
      <c r="T73">
        <v>3.0630000000000002</v>
      </c>
      <c r="U73">
        <v>3.2189999999999999</v>
      </c>
      <c r="V73">
        <v>0.314</v>
      </c>
      <c r="W73">
        <v>2.129</v>
      </c>
      <c r="X73">
        <v>2.1880000000000002</v>
      </c>
      <c r="Y73">
        <v>0.93126737708123797</v>
      </c>
      <c r="Z73">
        <v>0.51200000000000001</v>
      </c>
      <c r="AA73">
        <v>12.682</v>
      </c>
      <c r="AB73">
        <v>0.54900000000000004</v>
      </c>
      <c r="AC73">
        <v>0.65900000000000003</v>
      </c>
      <c r="AD73">
        <v>0.16700000000000001</v>
      </c>
      <c r="AE73">
        <v>4.3120000000000003</v>
      </c>
      <c r="AF73">
        <v>11.379</v>
      </c>
      <c r="AG73" s="7">
        <v>0</v>
      </c>
      <c r="AH73">
        <v>11.536</v>
      </c>
      <c r="AI73" s="7">
        <v>0</v>
      </c>
      <c r="AJ73">
        <v>2.0830000000000002</v>
      </c>
      <c r="AK73">
        <v>2.0009999999999999</v>
      </c>
      <c r="AL73">
        <v>36.864267377081241</v>
      </c>
      <c r="AM73">
        <v>43.366999999999997</v>
      </c>
      <c r="AN73">
        <v>1.1763966324463442</v>
      </c>
      <c r="AO73">
        <v>18.459267377081236</v>
      </c>
      <c r="AP73">
        <v>5.702</v>
      </c>
      <c r="AQ73">
        <v>12.702999999999999</v>
      </c>
    </row>
    <row r="74" spans="1:43" x14ac:dyDescent="0.25">
      <c r="A74" t="s">
        <v>801</v>
      </c>
      <c r="B74" s="1" t="s">
        <v>818</v>
      </c>
      <c r="C74" s="22" t="s">
        <v>283</v>
      </c>
      <c r="D74" s="1" t="s">
        <v>286</v>
      </c>
      <c r="E74" s="21">
        <v>2017</v>
      </c>
      <c r="G74">
        <v>9.0670000000000002</v>
      </c>
      <c r="H74">
        <v>2.1160000000000001</v>
      </c>
      <c r="I74">
        <v>0.95</v>
      </c>
      <c r="J74">
        <v>0.66700000000000004</v>
      </c>
      <c r="K74">
        <v>1.7170000000000001</v>
      </c>
      <c r="L74" s="7">
        <v>0</v>
      </c>
      <c r="M74">
        <v>1.7130000000000001</v>
      </c>
      <c r="N74">
        <v>0.15</v>
      </c>
      <c r="O74" s="7">
        <v>0</v>
      </c>
      <c r="P74">
        <v>4.5750000000000002</v>
      </c>
      <c r="Q74">
        <v>0.66900000000000004</v>
      </c>
      <c r="R74">
        <v>0</v>
      </c>
      <c r="S74">
        <v>7.2359999999999998</v>
      </c>
      <c r="T74">
        <v>3.8570000000000002</v>
      </c>
      <c r="U74">
        <v>3.702</v>
      </c>
      <c r="V74">
        <v>0.38900000000000001</v>
      </c>
      <c r="W74">
        <v>2.6640000000000001</v>
      </c>
      <c r="X74">
        <v>2.6949999999999998</v>
      </c>
      <c r="Y74">
        <v>1.26940972077073</v>
      </c>
      <c r="Z74">
        <v>0.32900000000000001</v>
      </c>
      <c r="AA74">
        <v>14.371</v>
      </c>
      <c r="AB74">
        <v>0.51800000000000002</v>
      </c>
      <c r="AC74">
        <v>0.71299999999999997</v>
      </c>
      <c r="AD74">
        <v>0.20799999999999999</v>
      </c>
      <c r="AE74">
        <v>6.9690000000000003</v>
      </c>
      <c r="AF74">
        <v>13.699</v>
      </c>
      <c r="AG74" s="7">
        <v>0</v>
      </c>
      <c r="AH74">
        <v>12.048</v>
      </c>
      <c r="AI74" s="7">
        <v>0</v>
      </c>
      <c r="AJ74">
        <v>2.5259999999999998</v>
      </c>
      <c r="AK74">
        <v>2.1429999999999998</v>
      </c>
      <c r="AL74">
        <v>43.765409720770734</v>
      </c>
      <c r="AM74">
        <v>51.052000000000007</v>
      </c>
      <c r="AN74">
        <v>1.1664919927796567</v>
      </c>
      <c r="AO74">
        <v>22.810409720770732</v>
      </c>
      <c r="AP74">
        <v>6.4380000000000006</v>
      </c>
      <c r="AQ74">
        <v>14.516999999999999</v>
      </c>
    </row>
    <row r="75" spans="1:43" x14ac:dyDescent="0.25">
      <c r="A75" t="s">
        <v>802</v>
      </c>
      <c r="B75" s="1" t="s">
        <v>818</v>
      </c>
      <c r="C75" s="22" t="s">
        <v>283</v>
      </c>
      <c r="D75" s="1" t="s">
        <v>286</v>
      </c>
      <c r="E75" s="21">
        <v>2017</v>
      </c>
      <c r="G75">
        <v>9.8879999999999999</v>
      </c>
      <c r="H75">
        <v>2.08</v>
      </c>
      <c r="I75">
        <v>1.319</v>
      </c>
      <c r="J75">
        <v>0.80300000000000005</v>
      </c>
      <c r="K75">
        <v>2.4710000000000001</v>
      </c>
      <c r="L75" s="7">
        <v>0</v>
      </c>
      <c r="M75">
        <v>2.1360000000000001</v>
      </c>
      <c r="N75">
        <v>0.27900000000000003</v>
      </c>
      <c r="O75" s="7">
        <v>0</v>
      </c>
      <c r="P75">
        <v>5.2519999999999998</v>
      </c>
      <c r="Q75">
        <v>0.95699999999999996</v>
      </c>
      <c r="R75">
        <v>0</v>
      </c>
      <c r="S75">
        <v>8.2360000000000007</v>
      </c>
      <c r="T75">
        <v>5.28</v>
      </c>
      <c r="U75">
        <v>4.1379999999999999</v>
      </c>
      <c r="V75">
        <v>0.35199999999999998</v>
      </c>
      <c r="W75">
        <v>2.915</v>
      </c>
      <c r="X75">
        <v>3.073</v>
      </c>
      <c r="Y75">
        <v>1.9016772241559701</v>
      </c>
      <c r="Z75">
        <v>0.38500000000000001</v>
      </c>
      <c r="AA75">
        <v>22.029</v>
      </c>
      <c r="AB75">
        <v>0.58599999999999997</v>
      </c>
      <c r="AC75">
        <v>0.83199999999999996</v>
      </c>
      <c r="AD75">
        <v>0.26100000000000001</v>
      </c>
      <c r="AE75">
        <v>7.6849999999999996</v>
      </c>
      <c r="AF75">
        <v>18.53</v>
      </c>
      <c r="AG75" s="7">
        <v>0</v>
      </c>
      <c r="AH75">
        <v>20.382999999999999</v>
      </c>
      <c r="AI75" s="7">
        <v>0</v>
      </c>
      <c r="AJ75">
        <v>3.0369999999999999</v>
      </c>
      <c r="AK75">
        <v>3.589</v>
      </c>
      <c r="AL75">
        <v>51.465677224155961</v>
      </c>
      <c r="AM75">
        <v>73.343000000000004</v>
      </c>
      <c r="AN75">
        <v>1.4250856873127027</v>
      </c>
      <c r="AO75">
        <v>27.237677224155977</v>
      </c>
      <c r="AP75">
        <v>7.6669999999999998</v>
      </c>
      <c r="AQ75">
        <v>16.561</v>
      </c>
    </row>
    <row r="76" spans="1:43" x14ac:dyDescent="0.25">
      <c r="A76" t="s">
        <v>803</v>
      </c>
      <c r="B76" s="1" t="s">
        <v>818</v>
      </c>
      <c r="C76" s="22" t="s">
        <v>283</v>
      </c>
      <c r="D76" s="1" t="s">
        <v>283</v>
      </c>
      <c r="E76" s="21">
        <v>2017</v>
      </c>
      <c r="G76">
        <v>7.4539999999999997</v>
      </c>
      <c r="H76">
        <v>1.554</v>
      </c>
      <c r="I76">
        <v>0.93400000000000005</v>
      </c>
      <c r="J76">
        <v>0.61399999999999999</v>
      </c>
      <c r="K76">
        <v>1.3779999999999999</v>
      </c>
      <c r="L76" s="7">
        <v>0</v>
      </c>
      <c r="M76">
        <v>1.48</v>
      </c>
      <c r="N76">
        <v>0.13800000000000001</v>
      </c>
      <c r="O76" s="7">
        <v>0</v>
      </c>
      <c r="P76">
        <v>3.4670000000000001</v>
      </c>
      <c r="Q76">
        <v>0.54700000000000004</v>
      </c>
      <c r="R76">
        <v>3.9E-2</v>
      </c>
      <c r="S76">
        <v>6.0449999999999999</v>
      </c>
      <c r="T76">
        <v>3.238</v>
      </c>
      <c r="U76">
        <v>2.91</v>
      </c>
      <c r="V76">
        <v>0.28899999999999998</v>
      </c>
      <c r="W76">
        <v>1.9890000000000001</v>
      </c>
      <c r="X76">
        <v>2</v>
      </c>
      <c r="Y76">
        <v>0.91263071622908498</v>
      </c>
      <c r="Z76">
        <v>0.155</v>
      </c>
      <c r="AA76">
        <v>7.41</v>
      </c>
      <c r="AB76">
        <v>0</v>
      </c>
      <c r="AC76">
        <v>0.77500000000000002</v>
      </c>
      <c r="AD76">
        <v>0.186</v>
      </c>
      <c r="AE76">
        <v>3.64</v>
      </c>
      <c r="AF76">
        <v>11.731999999999999</v>
      </c>
      <c r="AG76" s="7">
        <v>0</v>
      </c>
      <c r="AH76">
        <v>10.755000000000001</v>
      </c>
      <c r="AI76" s="7">
        <v>0</v>
      </c>
      <c r="AJ76">
        <v>1.962</v>
      </c>
      <c r="AK76">
        <v>1.1000000000000001</v>
      </c>
      <c r="AL76">
        <v>35.143630716229083</v>
      </c>
      <c r="AM76">
        <v>36.460000000000008</v>
      </c>
      <c r="AN76">
        <v>1.0374568380370284</v>
      </c>
      <c r="AO76">
        <v>18.124630716229088</v>
      </c>
      <c r="AP76">
        <v>5.085</v>
      </c>
      <c r="AQ76">
        <v>11.933999999999999</v>
      </c>
    </row>
    <row r="77" spans="1:43" x14ac:dyDescent="0.25">
      <c r="A77" t="s">
        <v>804</v>
      </c>
      <c r="B77" s="1" t="s">
        <v>818</v>
      </c>
      <c r="C77" s="22" t="s">
        <v>283</v>
      </c>
      <c r="D77" s="1" t="s">
        <v>283</v>
      </c>
      <c r="E77" s="21">
        <v>2017</v>
      </c>
      <c r="G77">
        <v>6.1159999999999997</v>
      </c>
      <c r="H77">
        <v>1.181</v>
      </c>
      <c r="I77">
        <v>0.89300000000000002</v>
      </c>
      <c r="J77">
        <v>0.60799999999999998</v>
      </c>
      <c r="K77">
        <v>1.391</v>
      </c>
      <c r="L77" s="7">
        <v>0</v>
      </c>
      <c r="M77">
        <v>1.466</v>
      </c>
      <c r="N77">
        <v>0.13500000000000001</v>
      </c>
      <c r="O77" s="7">
        <v>0</v>
      </c>
      <c r="P77">
        <v>2.9089999999999998</v>
      </c>
      <c r="Q77">
        <v>0.61499999999999999</v>
      </c>
      <c r="R77">
        <v>3.5999999999999997E-2</v>
      </c>
      <c r="S77">
        <v>6.01</v>
      </c>
      <c r="T77">
        <v>3.452</v>
      </c>
      <c r="U77">
        <v>2.996</v>
      </c>
      <c r="V77">
        <v>0.29899999999999999</v>
      </c>
      <c r="W77">
        <v>1.919</v>
      </c>
      <c r="X77">
        <v>2.0270000000000001</v>
      </c>
      <c r="Y77">
        <v>0.95197747565395596</v>
      </c>
      <c r="Z77">
        <v>0.20200000000000001</v>
      </c>
      <c r="AA77">
        <v>11.225</v>
      </c>
      <c r="AB77">
        <v>0.40799999999999997</v>
      </c>
      <c r="AC77">
        <v>0.53600000000000003</v>
      </c>
      <c r="AD77">
        <v>0.16800000000000001</v>
      </c>
      <c r="AE77">
        <v>6.3120000000000003</v>
      </c>
      <c r="AF77">
        <v>12.066000000000001</v>
      </c>
      <c r="AG77" s="7">
        <v>0</v>
      </c>
      <c r="AH77">
        <v>13.794</v>
      </c>
      <c r="AI77" s="7">
        <v>0</v>
      </c>
      <c r="AJ77">
        <v>2.7629999999999999</v>
      </c>
      <c r="AK77">
        <v>1.68</v>
      </c>
      <c r="AL77">
        <v>33.20697747565395</v>
      </c>
      <c r="AM77">
        <v>47.271999999999998</v>
      </c>
      <c r="AN77">
        <v>1.4235562400901427</v>
      </c>
      <c r="AO77">
        <v>18.507977475653956</v>
      </c>
      <c r="AP77">
        <v>4.51</v>
      </c>
      <c r="AQ77">
        <v>10.189</v>
      </c>
    </row>
    <row r="78" spans="1:43" x14ac:dyDescent="0.25">
      <c r="A78" s="8" t="s">
        <v>805</v>
      </c>
      <c r="B78" s="22" t="s">
        <v>819</v>
      </c>
      <c r="C78" s="22" t="s">
        <v>286</v>
      </c>
      <c r="D78" s="22" t="s">
        <v>283</v>
      </c>
      <c r="E78" s="21">
        <v>2017</v>
      </c>
      <c r="G78">
        <v>9.1479999999999997</v>
      </c>
      <c r="H78">
        <v>1.8879999999999999</v>
      </c>
      <c r="I78">
        <v>1.3759999999999999</v>
      </c>
      <c r="J78">
        <v>0.99</v>
      </c>
      <c r="K78">
        <v>2.0790000000000002</v>
      </c>
      <c r="L78" s="7">
        <v>0</v>
      </c>
      <c r="M78">
        <v>2.2879999999999998</v>
      </c>
      <c r="N78">
        <v>0.35499999999999998</v>
      </c>
      <c r="O78" s="7">
        <v>0</v>
      </c>
      <c r="P78">
        <v>5.484</v>
      </c>
      <c r="Q78">
        <v>0.82099999999999995</v>
      </c>
      <c r="R78">
        <v>0</v>
      </c>
      <c r="S78">
        <v>8.5009999999999994</v>
      </c>
      <c r="T78">
        <v>4.835</v>
      </c>
      <c r="U78">
        <v>4.2809999999999997</v>
      </c>
      <c r="V78">
        <v>0.39100000000000001</v>
      </c>
      <c r="W78">
        <v>2.9510000000000001</v>
      </c>
      <c r="X78">
        <v>3.1880000000000002</v>
      </c>
      <c r="Y78">
        <v>1.5276147357500101</v>
      </c>
      <c r="Z78">
        <v>0.38700000000000001</v>
      </c>
      <c r="AA78">
        <v>5.4359999999999999</v>
      </c>
      <c r="AB78">
        <v>0</v>
      </c>
      <c r="AC78">
        <v>1.0980000000000001</v>
      </c>
      <c r="AD78">
        <v>0.27</v>
      </c>
      <c r="AE78">
        <v>12.576000000000001</v>
      </c>
      <c r="AF78">
        <v>19.52</v>
      </c>
      <c r="AG78" s="7">
        <v>0</v>
      </c>
      <c r="AH78">
        <v>13.363</v>
      </c>
      <c r="AI78" s="7">
        <v>0</v>
      </c>
      <c r="AJ78">
        <v>2.488</v>
      </c>
      <c r="AK78">
        <v>1.419</v>
      </c>
      <c r="AL78">
        <v>50.490614735750015</v>
      </c>
      <c r="AM78">
        <v>54.751000000000005</v>
      </c>
      <c r="AN78">
        <v>1.0843797463458771</v>
      </c>
      <c r="AO78">
        <v>26.88261473575001</v>
      </c>
      <c r="AP78">
        <v>8.1269999999999989</v>
      </c>
      <c r="AQ78">
        <v>15.481</v>
      </c>
    </row>
    <row r="79" spans="1:43" x14ac:dyDescent="0.25">
      <c r="A79" s="8" t="s">
        <v>806</v>
      </c>
      <c r="B79" s="22" t="s">
        <v>819</v>
      </c>
      <c r="C79" s="22" t="s">
        <v>286</v>
      </c>
      <c r="D79" s="22" t="s">
        <v>283</v>
      </c>
      <c r="E79" s="21">
        <v>2017</v>
      </c>
      <c r="G79">
        <v>6.2910000000000004</v>
      </c>
      <c r="H79">
        <v>1.3520000000000001</v>
      </c>
      <c r="I79">
        <v>1.0449999999999999</v>
      </c>
      <c r="J79">
        <v>0.72199999999999998</v>
      </c>
      <c r="K79">
        <v>1.59</v>
      </c>
      <c r="L79" s="7">
        <v>0</v>
      </c>
      <c r="M79">
        <v>1.526</v>
      </c>
      <c r="N79">
        <v>0.43</v>
      </c>
      <c r="O79" s="7">
        <v>0</v>
      </c>
      <c r="P79">
        <v>4.1219999999999999</v>
      </c>
      <c r="Q79">
        <v>0.495</v>
      </c>
      <c r="R79">
        <v>0</v>
      </c>
      <c r="S79">
        <v>5.9909999999999997</v>
      </c>
      <c r="T79">
        <v>3.2120000000000002</v>
      </c>
      <c r="U79">
        <v>2.8290000000000002</v>
      </c>
      <c r="V79">
        <v>0.248</v>
      </c>
      <c r="W79">
        <v>2.1520000000000001</v>
      </c>
      <c r="X79">
        <v>2.0840000000000001</v>
      </c>
      <c r="Y79">
        <v>0.98600858825605397</v>
      </c>
      <c r="Z79">
        <v>0.376</v>
      </c>
      <c r="AA79">
        <v>7.11</v>
      </c>
      <c r="AB79">
        <v>0.40300000000000002</v>
      </c>
      <c r="AC79">
        <v>0.47599999999999998</v>
      </c>
      <c r="AD79">
        <v>0.16500000000000001</v>
      </c>
      <c r="AE79">
        <v>9.2609999999999992</v>
      </c>
      <c r="AF79">
        <v>16.786000000000001</v>
      </c>
      <c r="AG79" s="7">
        <v>0</v>
      </c>
      <c r="AH79">
        <v>16.632999999999999</v>
      </c>
      <c r="AI79" s="7">
        <v>0</v>
      </c>
      <c r="AJ79">
        <v>1.7090000000000001</v>
      </c>
      <c r="AK79">
        <v>1.746</v>
      </c>
      <c r="AL79">
        <v>35.451008588256059</v>
      </c>
      <c r="AM79">
        <v>52.543000000000006</v>
      </c>
      <c r="AN79">
        <v>1.4821299052520061</v>
      </c>
      <c r="AO79">
        <v>18.373008588256056</v>
      </c>
      <c r="AP79">
        <v>6.0779999999999994</v>
      </c>
      <c r="AQ79">
        <v>11</v>
      </c>
    </row>
    <row r="80" spans="1:43" x14ac:dyDescent="0.25">
      <c r="A80" s="8" t="s">
        <v>807</v>
      </c>
      <c r="B80" s="22" t="s">
        <v>819</v>
      </c>
      <c r="C80" s="22" t="s">
        <v>286</v>
      </c>
      <c r="D80" s="22" t="s">
        <v>286</v>
      </c>
      <c r="E80" s="21">
        <v>2017</v>
      </c>
      <c r="G80">
        <v>8.5299999999999994</v>
      </c>
      <c r="H80">
        <v>1.21</v>
      </c>
      <c r="I80">
        <v>1.071</v>
      </c>
      <c r="J80">
        <v>0.85699999999999998</v>
      </c>
      <c r="K80">
        <v>1.63</v>
      </c>
      <c r="L80" s="7">
        <v>0</v>
      </c>
      <c r="M80">
        <v>2.1480000000000001</v>
      </c>
      <c r="N80">
        <v>0.38300000000000001</v>
      </c>
      <c r="O80" s="7">
        <v>0</v>
      </c>
      <c r="P80">
        <v>5.1109999999999998</v>
      </c>
      <c r="Q80">
        <v>0.73399999999999999</v>
      </c>
      <c r="R80">
        <v>0</v>
      </c>
      <c r="S80">
        <v>8.4420000000000002</v>
      </c>
      <c r="T80">
        <v>4.45</v>
      </c>
      <c r="U80">
        <v>3.6179999999999999</v>
      </c>
      <c r="V80">
        <v>0.34599999999999997</v>
      </c>
      <c r="W80">
        <v>2.8239999999999998</v>
      </c>
      <c r="X80">
        <v>2.7269999999999999</v>
      </c>
      <c r="Y80">
        <v>1.5188906403726501</v>
      </c>
      <c r="Z80">
        <v>0.35099999999999998</v>
      </c>
      <c r="AA80">
        <v>8.6289999999999996</v>
      </c>
      <c r="AB80">
        <v>0.36899999999999999</v>
      </c>
      <c r="AC80">
        <v>0.66300000000000003</v>
      </c>
      <c r="AD80">
        <v>0.25800000000000001</v>
      </c>
      <c r="AE80">
        <v>10.433999999999999</v>
      </c>
      <c r="AF80">
        <v>20.643000000000001</v>
      </c>
      <c r="AG80" s="7">
        <v>0</v>
      </c>
      <c r="AH80">
        <v>19.193000000000001</v>
      </c>
      <c r="AI80" s="7">
        <v>0</v>
      </c>
      <c r="AJ80">
        <v>2.5150000000000001</v>
      </c>
      <c r="AK80">
        <v>1.825</v>
      </c>
      <c r="AL80">
        <v>45.950890640372648</v>
      </c>
      <c r="AM80">
        <v>62.704000000000008</v>
      </c>
      <c r="AN80">
        <v>1.3645872610118248</v>
      </c>
      <c r="AO80">
        <v>25.010890640372651</v>
      </c>
      <c r="AP80">
        <v>7.6419999999999995</v>
      </c>
      <c r="AQ80">
        <v>13.297999999999998</v>
      </c>
    </row>
    <row r="81" spans="1:43" x14ac:dyDescent="0.25">
      <c r="A81" s="8" t="s">
        <v>808</v>
      </c>
      <c r="B81" s="22" t="s">
        <v>819</v>
      </c>
      <c r="C81" s="22" t="s">
        <v>286</v>
      </c>
      <c r="D81" s="22" t="s">
        <v>286</v>
      </c>
      <c r="E81" s="21">
        <v>2017</v>
      </c>
      <c r="G81">
        <v>10.443</v>
      </c>
      <c r="H81">
        <v>1.4570000000000001</v>
      </c>
      <c r="I81">
        <v>1.79</v>
      </c>
      <c r="J81">
        <v>1.244</v>
      </c>
      <c r="K81">
        <v>2.2829999999999999</v>
      </c>
      <c r="L81" s="7">
        <v>0</v>
      </c>
      <c r="M81">
        <v>2.6819999999999999</v>
      </c>
      <c r="N81">
        <v>0.57299999999999995</v>
      </c>
      <c r="O81" s="7">
        <v>0</v>
      </c>
      <c r="P81">
        <v>6.27</v>
      </c>
      <c r="Q81">
        <v>1.018</v>
      </c>
      <c r="R81">
        <v>5.0999999999999997E-2</v>
      </c>
      <c r="S81">
        <v>10.782</v>
      </c>
      <c r="T81">
        <v>5.6689999999999996</v>
      </c>
      <c r="U81">
        <v>4.5979999999999999</v>
      </c>
      <c r="V81">
        <v>0.48199999999999998</v>
      </c>
      <c r="W81">
        <v>3.496</v>
      </c>
      <c r="X81">
        <v>3.371</v>
      </c>
      <c r="Y81">
        <v>1.7606844439403799</v>
      </c>
      <c r="Z81">
        <v>0.48099999999999998</v>
      </c>
      <c r="AA81">
        <v>15.968999999999999</v>
      </c>
      <c r="AB81">
        <v>0.56699999999999995</v>
      </c>
      <c r="AC81">
        <v>0.79100000000000004</v>
      </c>
      <c r="AD81">
        <v>0.30299999999999999</v>
      </c>
      <c r="AE81">
        <v>14.601000000000001</v>
      </c>
      <c r="AF81">
        <v>24.151</v>
      </c>
      <c r="AG81" s="7">
        <v>0</v>
      </c>
      <c r="AH81">
        <v>28.684000000000001</v>
      </c>
      <c r="AI81" s="7">
        <v>0</v>
      </c>
      <c r="AJ81">
        <v>3.12</v>
      </c>
      <c r="AK81">
        <v>2.61</v>
      </c>
      <c r="AL81">
        <v>58.450684443940382</v>
      </c>
      <c r="AM81">
        <v>88.186000000000007</v>
      </c>
      <c r="AN81">
        <v>1.5087248479455968</v>
      </c>
      <c r="AO81">
        <v>31.708684443940378</v>
      </c>
      <c r="AP81">
        <v>9.5249999999999986</v>
      </c>
      <c r="AQ81">
        <v>17.217000000000002</v>
      </c>
    </row>
    <row r="82" spans="1:43" x14ac:dyDescent="0.25">
      <c r="A82" t="s">
        <v>215</v>
      </c>
      <c r="B82" s="22" t="s">
        <v>820</v>
      </c>
      <c r="C82" s="22" t="s">
        <v>286</v>
      </c>
      <c r="D82" s="22" t="s">
        <v>283</v>
      </c>
      <c r="E82" s="21">
        <v>2018</v>
      </c>
      <c r="F82" s="7">
        <v>31.134779486845101</v>
      </c>
      <c r="G82" s="7">
        <v>1.546</v>
      </c>
      <c r="H82" s="7">
        <v>0.438</v>
      </c>
      <c r="I82" s="7">
        <v>0.32800000000000001</v>
      </c>
      <c r="J82" s="7">
        <v>0.109</v>
      </c>
      <c r="K82" s="7">
        <v>0.433</v>
      </c>
      <c r="L82" s="7">
        <v>0</v>
      </c>
      <c r="M82" s="7">
        <v>0.42699999999999999</v>
      </c>
      <c r="N82" s="7">
        <v>6.4000000000000001E-2</v>
      </c>
      <c r="O82" s="7">
        <v>0</v>
      </c>
      <c r="P82" s="7">
        <v>0.69899999999999995</v>
      </c>
      <c r="Q82" s="7">
        <v>0.17899999999999999</v>
      </c>
      <c r="R82" s="7">
        <v>0</v>
      </c>
      <c r="S82" s="7">
        <v>1.492</v>
      </c>
      <c r="T82" s="7">
        <v>0.83799999999999997</v>
      </c>
      <c r="U82" s="7">
        <v>0.88500000000000001</v>
      </c>
      <c r="V82" s="7">
        <v>5.3999999999999999E-2</v>
      </c>
      <c r="W82" s="7">
        <v>0.48299999999999998</v>
      </c>
      <c r="X82" s="7">
        <v>0.58499999999999996</v>
      </c>
      <c r="Y82" s="7">
        <v>4.1000000000000002E-2</v>
      </c>
      <c r="Z82" s="7">
        <v>0</v>
      </c>
      <c r="AA82" s="7">
        <v>0.69499999999999995</v>
      </c>
      <c r="AB82" s="7">
        <v>0.18</v>
      </c>
      <c r="AC82" s="7">
        <v>7.2999999999999995E-2</v>
      </c>
      <c r="AD82" s="7">
        <v>0</v>
      </c>
      <c r="AE82" s="7">
        <v>2.4510000000000001</v>
      </c>
      <c r="AF82" s="7">
        <v>2.8780000000000001</v>
      </c>
      <c r="AG82" s="7">
        <v>0</v>
      </c>
      <c r="AH82" s="7">
        <v>1.5649999999999999</v>
      </c>
      <c r="AI82" s="7">
        <v>0</v>
      </c>
      <c r="AJ82" s="7">
        <v>0</v>
      </c>
      <c r="AK82" s="7">
        <v>0.14000000000000001</v>
      </c>
      <c r="AL82" s="7">
        <v>8.6010000000000009</v>
      </c>
      <c r="AM82" s="7">
        <v>7.8419999999999996</v>
      </c>
      <c r="AN82" s="7">
        <v>0.91200000000000003</v>
      </c>
      <c r="AO82" s="7">
        <v>4.5570000000000004</v>
      </c>
      <c r="AP82" s="7">
        <v>1.19</v>
      </c>
      <c r="AQ82" s="7">
        <v>2.8540000000000001</v>
      </c>
    </row>
    <row r="83" spans="1:43" x14ac:dyDescent="0.25">
      <c r="A83" t="s">
        <v>216</v>
      </c>
      <c r="B83" s="22" t="s">
        <v>820</v>
      </c>
      <c r="C83" s="22" t="s">
        <v>286</v>
      </c>
      <c r="D83" s="22" t="s">
        <v>283</v>
      </c>
      <c r="E83" s="21">
        <v>2018</v>
      </c>
      <c r="F83" s="7">
        <v>23.3864493105797</v>
      </c>
      <c r="G83" s="7">
        <v>1.2370000000000001</v>
      </c>
      <c r="H83" s="7">
        <v>0.36299999999999999</v>
      </c>
      <c r="I83" s="7">
        <v>0.22600000000000001</v>
      </c>
      <c r="J83" s="7">
        <v>7.4999999999999997E-2</v>
      </c>
      <c r="K83" s="7">
        <v>0.371</v>
      </c>
      <c r="L83" s="7">
        <v>0</v>
      </c>
      <c r="M83" s="7">
        <v>0.33</v>
      </c>
      <c r="N83" s="7">
        <v>0</v>
      </c>
      <c r="O83" s="7">
        <v>0</v>
      </c>
      <c r="P83" s="7">
        <v>0.51</v>
      </c>
      <c r="Q83" s="7">
        <v>8.4000000000000005E-2</v>
      </c>
      <c r="R83" s="7">
        <v>0</v>
      </c>
      <c r="S83" s="7">
        <v>1.054</v>
      </c>
      <c r="T83" s="7">
        <v>0.58399999999999996</v>
      </c>
      <c r="U83" s="7">
        <v>0.66600000000000004</v>
      </c>
      <c r="V83" s="7">
        <v>0.04</v>
      </c>
      <c r="W83" s="7">
        <v>0.38</v>
      </c>
      <c r="X83" s="7">
        <v>0.44600000000000001</v>
      </c>
      <c r="Y83" s="7">
        <v>3.2000000000000001E-2</v>
      </c>
      <c r="Z83" s="7">
        <v>0</v>
      </c>
      <c r="AA83" s="7">
        <v>0.48</v>
      </c>
      <c r="AB83" s="7">
        <v>0.191</v>
      </c>
      <c r="AC83" s="7">
        <v>6.0999999999999999E-2</v>
      </c>
      <c r="AD83" s="7">
        <v>0</v>
      </c>
      <c r="AE83" s="7">
        <v>1.2509999999999999</v>
      </c>
      <c r="AF83" s="7">
        <v>1.8340000000000001</v>
      </c>
      <c r="AG83" s="7">
        <v>0</v>
      </c>
      <c r="AH83" s="7">
        <v>1.1910000000000001</v>
      </c>
      <c r="AI83" s="7">
        <v>0.41499999999999998</v>
      </c>
      <c r="AJ83" s="7">
        <v>0</v>
      </c>
      <c r="AK83" s="7">
        <v>0.108</v>
      </c>
      <c r="AL83" s="7">
        <v>6.3979999999999997</v>
      </c>
      <c r="AM83" s="7">
        <v>5.423</v>
      </c>
      <c r="AN83" s="7">
        <v>0.84799999999999998</v>
      </c>
      <c r="AO83" s="7">
        <v>3.286</v>
      </c>
      <c r="AP83" s="7">
        <v>0.84</v>
      </c>
      <c r="AQ83" s="7">
        <v>2.2719999999999998</v>
      </c>
    </row>
    <row r="84" spans="1:43" x14ac:dyDescent="0.25">
      <c r="A84" t="s">
        <v>217</v>
      </c>
      <c r="B84" s="22" t="s">
        <v>820</v>
      </c>
      <c r="C84" s="22" t="s">
        <v>286</v>
      </c>
      <c r="D84" s="22" t="s">
        <v>283</v>
      </c>
      <c r="E84" s="21">
        <v>2018</v>
      </c>
      <c r="F84" s="7">
        <v>27.7912947400457</v>
      </c>
      <c r="G84" s="7">
        <v>1.2849999999999999</v>
      </c>
      <c r="H84" s="7">
        <v>0.437</v>
      </c>
      <c r="I84" s="7">
        <v>0.27</v>
      </c>
      <c r="J84" s="7">
        <v>7.9000000000000001E-2</v>
      </c>
      <c r="K84" s="7">
        <v>0.47499999999999998</v>
      </c>
      <c r="L84" s="7">
        <v>0</v>
      </c>
      <c r="M84" s="7">
        <v>0.37</v>
      </c>
      <c r="N84" s="7">
        <v>0</v>
      </c>
      <c r="O84" s="7">
        <v>0</v>
      </c>
      <c r="P84" s="7">
        <v>0.621</v>
      </c>
      <c r="Q84" s="7">
        <v>0.14799999999999999</v>
      </c>
      <c r="R84" s="7">
        <v>0</v>
      </c>
      <c r="S84" s="7">
        <v>1.2450000000000001</v>
      </c>
      <c r="T84" s="7">
        <v>0.68500000000000005</v>
      </c>
      <c r="U84" s="7">
        <v>0.74</v>
      </c>
      <c r="V84" s="7">
        <v>0.04</v>
      </c>
      <c r="W84" s="7">
        <v>0.46500000000000002</v>
      </c>
      <c r="X84" s="7">
        <v>0.54200000000000004</v>
      </c>
      <c r="Y84" s="7">
        <v>3.9E-2</v>
      </c>
      <c r="Z84" s="7">
        <v>0</v>
      </c>
      <c r="AA84" s="7">
        <v>0.58599999999999997</v>
      </c>
      <c r="AB84" s="7">
        <v>0.313</v>
      </c>
      <c r="AC84" s="7">
        <v>0</v>
      </c>
      <c r="AD84" s="7">
        <v>0</v>
      </c>
      <c r="AE84" s="7">
        <v>1.5469999999999999</v>
      </c>
      <c r="AF84" s="7">
        <v>2.6869999999999998</v>
      </c>
      <c r="AG84" s="7">
        <v>0</v>
      </c>
      <c r="AH84" s="7">
        <v>1.137</v>
      </c>
      <c r="AI84" s="7">
        <v>0.68</v>
      </c>
      <c r="AJ84" s="7">
        <v>0</v>
      </c>
      <c r="AK84" s="7">
        <v>0.68899999999999995</v>
      </c>
      <c r="AL84" s="7">
        <v>7.4409999999999998</v>
      </c>
      <c r="AM84" s="7">
        <v>6.95</v>
      </c>
      <c r="AN84" s="7">
        <v>0.93400000000000005</v>
      </c>
      <c r="AO84" s="7">
        <v>3.9039999999999999</v>
      </c>
      <c r="AP84" s="7">
        <v>0.99099999999999999</v>
      </c>
      <c r="AQ84" s="7">
        <v>2.5459999999999998</v>
      </c>
    </row>
    <row r="85" spans="1:43" x14ac:dyDescent="0.25">
      <c r="A85" t="s">
        <v>263</v>
      </c>
      <c r="B85" s="22" t="s">
        <v>820</v>
      </c>
      <c r="C85" s="22" t="s">
        <v>286</v>
      </c>
      <c r="D85" s="22" t="s">
        <v>283</v>
      </c>
      <c r="E85" s="21">
        <v>2018</v>
      </c>
      <c r="F85" s="7">
        <v>26.472747285011501</v>
      </c>
      <c r="G85" s="7">
        <v>1.383</v>
      </c>
      <c r="H85" s="7">
        <v>0.38500000000000001</v>
      </c>
      <c r="I85" s="7">
        <v>0.27700000000000002</v>
      </c>
      <c r="J85" s="7">
        <v>9.5000000000000001E-2</v>
      </c>
      <c r="K85" s="7">
        <v>0.379</v>
      </c>
      <c r="L85" s="7">
        <v>0</v>
      </c>
      <c r="M85" s="7">
        <v>0.38300000000000001</v>
      </c>
      <c r="N85" s="7">
        <v>0</v>
      </c>
      <c r="O85" s="7">
        <v>0</v>
      </c>
      <c r="P85" s="7">
        <v>0.58799999999999997</v>
      </c>
      <c r="Q85" s="7">
        <v>0.114</v>
      </c>
      <c r="R85" s="7">
        <v>0</v>
      </c>
      <c r="S85" s="7">
        <v>1.329</v>
      </c>
      <c r="T85" s="7">
        <v>0.73499999999999999</v>
      </c>
      <c r="U85" s="7">
        <v>0.77700000000000002</v>
      </c>
      <c r="V85" s="7">
        <v>3.6999999999999998E-2</v>
      </c>
      <c r="W85" s="7">
        <v>0.441</v>
      </c>
      <c r="X85" s="7">
        <v>0.48199999999999998</v>
      </c>
      <c r="Y85" s="7">
        <v>0</v>
      </c>
      <c r="Z85" s="7">
        <v>0</v>
      </c>
      <c r="AA85" s="7">
        <v>0.61399999999999999</v>
      </c>
      <c r="AB85" s="7">
        <v>0</v>
      </c>
      <c r="AC85" s="7">
        <v>6.0999999999999999E-2</v>
      </c>
      <c r="AD85" s="7">
        <v>0</v>
      </c>
      <c r="AE85" s="7">
        <v>1.8129999999999999</v>
      </c>
      <c r="AF85" s="7">
        <v>2.3719999999999999</v>
      </c>
      <c r="AG85" s="7">
        <v>0</v>
      </c>
      <c r="AH85" s="7">
        <v>1.6359999999999999</v>
      </c>
      <c r="AI85" s="7">
        <v>1.0369999999999999</v>
      </c>
      <c r="AJ85" s="7">
        <v>0</v>
      </c>
      <c r="AK85" s="7">
        <v>0.155</v>
      </c>
      <c r="AL85" s="7">
        <v>7.4050000000000002</v>
      </c>
      <c r="AM85" s="7">
        <v>7.5330000000000004</v>
      </c>
      <c r="AN85" s="7">
        <v>1.0169999999999999</v>
      </c>
      <c r="AO85" s="7">
        <v>3.915</v>
      </c>
      <c r="AP85" s="7">
        <v>0.97099999999999997</v>
      </c>
      <c r="AQ85" s="7">
        <v>2.5190000000000001</v>
      </c>
    </row>
    <row r="86" spans="1:43" x14ac:dyDescent="0.25">
      <c r="A86" t="s">
        <v>218</v>
      </c>
      <c r="B86" s="22" t="s">
        <v>821</v>
      </c>
      <c r="C86" s="22" t="s">
        <v>286</v>
      </c>
      <c r="D86" s="22" t="s">
        <v>286</v>
      </c>
      <c r="E86" s="21">
        <v>2018</v>
      </c>
      <c r="F86" s="7">
        <v>95.189498336474998</v>
      </c>
      <c r="G86" s="7">
        <v>4.4009999999999998</v>
      </c>
      <c r="H86" s="7">
        <v>0.97899999999999998</v>
      </c>
      <c r="I86" s="7">
        <v>0.86599999999999999</v>
      </c>
      <c r="J86" s="7">
        <v>1.643</v>
      </c>
      <c r="K86" s="7">
        <v>0.89500000000000002</v>
      </c>
      <c r="L86" s="7">
        <v>0</v>
      </c>
      <c r="M86" s="7">
        <v>1.099</v>
      </c>
      <c r="N86" s="7">
        <v>0</v>
      </c>
      <c r="O86" s="7">
        <v>0</v>
      </c>
      <c r="P86" s="7">
        <v>1.8069999999999999</v>
      </c>
      <c r="Q86" s="7">
        <v>0.42499999999999999</v>
      </c>
      <c r="R86" s="7">
        <v>0</v>
      </c>
      <c r="S86" s="7">
        <v>4.202</v>
      </c>
      <c r="T86" s="7">
        <v>2.3180000000000001</v>
      </c>
      <c r="U86" s="7">
        <v>2.2839999999999998</v>
      </c>
      <c r="V86" s="7">
        <v>0.156</v>
      </c>
      <c r="W86" s="7">
        <v>1.2969999999999999</v>
      </c>
      <c r="X86" s="7">
        <v>1.4450000000000001</v>
      </c>
      <c r="Y86" s="7">
        <v>9.6000000000000002E-2</v>
      </c>
      <c r="Z86" s="7">
        <v>0</v>
      </c>
      <c r="AA86" s="7">
        <v>3.83</v>
      </c>
      <c r="AB86" s="7">
        <v>0.26900000000000002</v>
      </c>
      <c r="AC86" s="7">
        <v>0.30099999999999999</v>
      </c>
      <c r="AD86" s="7">
        <v>7.6999999999999999E-2</v>
      </c>
      <c r="AE86" s="7">
        <v>5.0229999999999997</v>
      </c>
      <c r="AF86" s="7">
        <v>8.2319999999999993</v>
      </c>
      <c r="AG86" s="7">
        <v>0</v>
      </c>
      <c r="AH86" s="7">
        <v>5.5209999999999999</v>
      </c>
      <c r="AI86" s="7">
        <v>2.3889999999999998</v>
      </c>
      <c r="AJ86" s="7">
        <v>0</v>
      </c>
      <c r="AK86" s="7">
        <v>0.50800000000000001</v>
      </c>
      <c r="AL86" s="7">
        <v>23.913</v>
      </c>
      <c r="AM86" s="7">
        <v>25.641999999999999</v>
      </c>
      <c r="AN86" s="7">
        <v>1.0720000000000001</v>
      </c>
      <c r="AO86" s="7">
        <v>12.223000000000001</v>
      </c>
      <c r="AP86" s="7">
        <v>2.9060000000000001</v>
      </c>
      <c r="AQ86" s="7">
        <v>8.7840000000000007</v>
      </c>
    </row>
    <row r="87" spans="1:43" x14ac:dyDescent="0.25">
      <c r="A87" t="s">
        <v>219</v>
      </c>
      <c r="B87" s="22" t="s">
        <v>821</v>
      </c>
      <c r="C87" s="22" t="s">
        <v>286</v>
      </c>
      <c r="D87" s="22" t="s">
        <v>286</v>
      </c>
      <c r="E87" s="21">
        <v>2018</v>
      </c>
      <c r="F87" s="7">
        <v>75.935506957769107</v>
      </c>
      <c r="G87" s="7">
        <v>3.4430000000000001</v>
      </c>
      <c r="H87" s="7">
        <v>0.85599999999999998</v>
      </c>
      <c r="I87" s="7">
        <v>0.90400000000000003</v>
      </c>
      <c r="J87" s="7">
        <v>0.33300000000000002</v>
      </c>
      <c r="K87" s="7">
        <v>0.73199999999999998</v>
      </c>
      <c r="L87" s="7">
        <v>0</v>
      </c>
      <c r="M87" s="7">
        <v>0.84899999999999998</v>
      </c>
      <c r="N87" s="7">
        <v>0.16300000000000001</v>
      </c>
      <c r="O87" s="7">
        <v>0</v>
      </c>
      <c r="P87" s="7">
        <v>1.526</v>
      </c>
      <c r="Q87" s="7">
        <v>0.371</v>
      </c>
      <c r="R87" s="7">
        <v>7.2999999999999995E-2</v>
      </c>
      <c r="S87" s="7">
        <v>3.327</v>
      </c>
      <c r="T87" s="7">
        <v>1.829</v>
      </c>
      <c r="U87" s="7">
        <v>2.0710000000000002</v>
      </c>
      <c r="V87" s="7">
        <v>0.122</v>
      </c>
      <c r="W87" s="7">
        <v>1.032</v>
      </c>
      <c r="X87" s="7">
        <v>1.218</v>
      </c>
      <c r="Y87" s="7">
        <v>5.7000000000000002E-2</v>
      </c>
      <c r="Z87" s="7">
        <v>0</v>
      </c>
      <c r="AA87" s="7">
        <v>2.0760000000000001</v>
      </c>
      <c r="AB87" s="7">
        <v>0.26300000000000001</v>
      </c>
      <c r="AC87" s="7">
        <v>0.188</v>
      </c>
      <c r="AD87" s="7">
        <v>0</v>
      </c>
      <c r="AE87" s="7">
        <v>3.6509999999999998</v>
      </c>
      <c r="AF87" s="7">
        <v>7.4390000000000001</v>
      </c>
      <c r="AG87" s="7">
        <v>0</v>
      </c>
      <c r="AH87" s="7">
        <v>4.6340000000000003</v>
      </c>
      <c r="AI87" s="7">
        <v>1.556</v>
      </c>
      <c r="AJ87" s="7">
        <v>0</v>
      </c>
      <c r="AK87" s="7">
        <v>0.84099999999999997</v>
      </c>
      <c r="AL87" s="7">
        <v>18.905999999999999</v>
      </c>
      <c r="AM87" s="7">
        <v>19.806999999999999</v>
      </c>
      <c r="AN87" s="7">
        <v>1.048</v>
      </c>
      <c r="AO87" s="7">
        <v>10.1</v>
      </c>
      <c r="AP87" s="7">
        <v>2.5379999999999998</v>
      </c>
      <c r="AQ87" s="7">
        <v>6.2679999999999998</v>
      </c>
    </row>
    <row r="88" spans="1:43" x14ac:dyDescent="0.25">
      <c r="A88" t="s">
        <v>220</v>
      </c>
      <c r="B88" s="22" t="s">
        <v>821</v>
      </c>
      <c r="C88" s="22" t="s">
        <v>286</v>
      </c>
      <c r="D88" s="22" t="s">
        <v>286</v>
      </c>
      <c r="E88" s="21">
        <v>2018</v>
      </c>
      <c r="F88" s="7">
        <v>95.419695723250101</v>
      </c>
      <c r="G88" s="7">
        <v>4.5279999999999996</v>
      </c>
      <c r="H88" s="7">
        <v>1.042</v>
      </c>
      <c r="I88" s="7">
        <v>1.0109999999999999</v>
      </c>
      <c r="J88" s="7">
        <v>0.43099999999999999</v>
      </c>
      <c r="K88" s="7">
        <v>1.012</v>
      </c>
      <c r="L88" s="7">
        <v>0</v>
      </c>
      <c r="M88" s="7">
        <v>1.1819999999999999</v>
      </c>
      <c r="N88" s="7">
        <v>0.23499999999999999</v>
      </c>
      <c r="O88" s="7">
        <v>0</v>
      </c>
      <c r="P88" s="7">
        <v>1.8160000000000001</v>
      </c>
      <c r="Q88" s="7">
        <v>0.439</v>
      </c>
      <c r="R88" s="7">
        <v>0.05</v>
      </c>
      <c r="S88" s="7">
        <v>4.2830000000000004</v>
      </c>
      <c r="T88" s="7">
        <v>2.64</v>
      </c>
      <c r="U88" s="7">
        <v>2.6749999999999998</v>
      </c>
      <c r="V88" s="7">
        <v>0.18</v>
      </c>
      <c r="W88" s="7">
        <v>1.329</v>
      </c>
      <c r="X88" s="7">
        <v>1.5980000000000001</v>
      </c>
      <c r="Y88" s="7">
        <v>7.6999999999999999E-2</v>
      </c>
      <c r="Z88" s="7">
        <v>0</v>
      </c>
      <c r="AA88" s="7">
        <v>2.2730000000000001</v>
      </c>
      <c r="AB88" s="7">
        <v>0.32600000000000001</v>
      </c>
      <c r="AC88" s="7">
        <v>0.27500000000000002</v>
      </c>
      <c r="AD88" s="7">
        <v>0</v>
      </c>
      <c r="AE88" s="7">
        <v>4.306</v>
      </c>
      <c r="AF88" s="7">
        <v>8.625</v>
      </c>
      <c r="AG88" s="7">
        <v>0</v>
      </c>
      <c r="AH88" s="7">
        <v>5.7519999999999998</v>
      </c>
      <c r="AI88" s="7">
        <v>2.7730000000000001</v>
      </c>
      <c r="AJ88" s="7">
        <v>0</v>
      </c>
      <c r="AK88" s="7">
        <v>1.1100000000000001</v>
      </c>
      <c r="AL88" s="7">
        <v>24.527999999999999</v>
      </c>
      <c r="AM88" s="7">
        <v>24.33</v>
      </c>
      <c r="AN88" s="7">
        <v>0.99199999999999999</v>
      </c>
      <c r="AO88" s="7">
        <v>13.271000000000001</v>
      </c>
      <c r="AP88" s="7">
        <v>3.2330000000000001</v>
      </c>
      <c r="AQ88" s="7">
        <v>8.0239999999999991</v>
      </c>
    </row>
    <row r="89" spans="1:43" x14ac:dyDescent="0.25">
      <c r="A89" t="s">
        <v>221</v>
      </c>
      <c r="B89" s="22" t="s">
        <v>821</v>
      </c>
      <c r="C89" s="22" t="s">
        <v>286</v>
      </c>
      <c r="D89" s="22" t="s">
        <v>286</v>
      </c>
      <c r="E89" s="21">
        <v>2018</v>
      </c>
      <c r="F89" s="7">
        <v>76.224930366694693</v>
      </c>
      <c r="G89" s="7">
        <v>3.9449999999999998</v>
      </c>
      <c r="H89" s="7">
        <v>0.94799999999999995</v>
      </c>
      <c r="I89" s="7">
        <v>0.84599999999999997</v>
      </c>
      <c r="J89" s="7">
        <v>0.314</v>
      </c>
      <c r="K89" s="7">
        <v>0.81699999999999995</v>
      </c>
      <c r="L89" s="7">
        <v>0</v>
      </c>
      <c r="M89" s="7">
        <v>0.93500000000000005</v>
      </c>
      <c r="N89" s="7">
        <v>0.17599999999999999</v>
      </c>
      <c r="O89" s="7">
        <v>0</v>
      </c>
      <c r="P89" s="7">
        <v>1.7589999999999999</v>
      </c>
      <c r="Q89" s="7">
        <v>0.49099999999999999</v>
      </c>
      <c r="R89" s="7">
        <v>0</v>
      </c>
      <c r="S89" s="7">
        <v>3.6440000000000001</v>
      </c>
      <c r="T89" s="7">
        <v>2.0489999999999999</v>
      </c>
      <c r="U89" s="7">
        <v>2.04</v>
      </c>
      <c r="V89" s="7">
        <v>0.106</v>
      </c>
      <c r="W89" s="7">
        <v>1.129</v>
      </c>
      <c r="X89" s="7">
        <v>1.282</v>
      </c>
      <c r="Y89" s="7">
        <v>6.9000000000000006E-2</v>
      </c>
      <c r="Z89" s="7">
        <v>0</v>
      </c>
      <c r="AA89" s="7">
        <v>2.31</v>
      </c>
      <c r="AB89" s="7">
        <v>0.28399999999999997</v>
      </c>
      <c r="AC89" s="7">
        <v>0.223</v>
      </c>
      <c r="AD89" s="7">
        <v>0</v>
      </c>
      <c r="AE89" s="7">
        <v>3.605</v>
      </c>
      <c r="AF89" s="7">
        <v>7.133</v>
      </c>
      <c r="AG89" s="7">
        <v>0</v>
      </c>
      <c r="AH89" s="7">
        <v>4.3540000000000001</v>
      </c>
      <c r="AI89" s="7">
        <v>1.482</v>
      </c>
      <c r="AJ89" s="7">
        <v>0</v>
      </c>
      <c r="AK89" s="7">
        <v>0.70099999999999996</v>
      </c>
      <c r="AL89" s="7">
        <v>20.55</v>
      </c>
      <c r="AM89" s="7">
        <v>19.390999999999998</v>
      </c>
      <c r="AN89" s="7">
        <v>0.94399999999999995</v>
      </c>
      <c r="AO89" s="7">
        <v>10.81</v>
      </c>
      <c r="AP89" s="7">
        <v>2.87</v>
      </c>
      <c r="AQ89" s="7">
        <v>6.87</v>
      </c>
    </row>
    <row r="90" spans="1:43" x14ac:dyDescent="0.25">
      <c r="A90" t="s">
        <v>222</v>
      </c>
      <c r="B90" s="22" t="s">
        <v>822</v>
      </c>
      <c r="C90" s="22" t="s">
        <v>286</v>
      </c>
      <c r="D90" s="22" t="s">
        <v>283</v>
      </c>
      <c r="E90" s="21">
        <v>2018</v>
      </c>
      <c r="F90" s="7">
        <v>78.779193071437902</v>
      </c>
      <c r="G90" s="7">
        <v>3.3559999999999999</v>
      </c>
      <c r="H90" s="7">
        <v>0.73599999999999999</v>
      </c>
      <c r="I90" s="7">
        <v>1.121</v>
      </c>
      <c r="J90" s="7">
        <v>0.28999999999999998</v>
      </c>
      <c r="K90" s="7">
        <v>0.998</v>
      </c>
      <c r="L90" s="7">
        <v>0</v>
      </c>
      <c r="M90" s="7">
        <v>0.97599999999999998</v>
      </c>
      <c r="N90" s="7">
        <v>0</v>
      </c>
      <c r="O90" s="7">
        <v>0</v>
      </c>
      <c r="P90" s="7">
        <v>1.3560000000000001</v>
      </c>
      <c r="Q90" s="7">
        <v>0.34899999999999998</v>
      </c>
      <c r="R90" s="7">
        <v>0</v>
      </c>
      <c r="S90" s="7">
        <v>3.585</v>
      </c>
      <c r="T90" s="7">
        <v>2.4289999999999998</v>
      </c>
      <c r="U90" s="7">
        <v>2.427</v>
      </c>
      <c r="V90" s="7">
        <v>0.121</v>
      </c>
      <c r="W90" s="7">
        <v>1.0960000000000001</v>
      </c>
      <c r="X90" s="7">
        <v>1.383</v>
      </c>
      <c r="Y90" s="7">
        <v>6.7000000000000004E-2</v>
      </c>
      <c r="Z90" s="7">
        <v>0</v>
      </c>
      <c r="AA90" s="7">
        <v>1.87</v>
      </c>
      <c r="AB90" s="7">
        <v>0.28000000000000003</v>
      </c>
      <c r="AC90" s="7">
        <v>0.224</v>
      </c>
      <c r="AD90" s="7">
        <v>6.0999999999999999E-2</v>
      </c>
      <c r="AE90" s="7">
        <v>2.7679999999999998</v>
      </c>
      <c r="AF90" s="7">
        <v>7.5270000000000001</v>
      </c>
      <c r="AG90" s="7">
        <v>0</v>
      </c>
      <c r="AH90" s="7">
        <v>3.895</v>
      </c>
      <c r="AI90" s="7">
        <v>2.2269999999999999</v>
      </c>
      <c r="AJ90" s="7">
        <v>0</v>
      </c>
      <c r="AK90" s="7">
        <v>0.81899999999999995</v>
      </c>
      <c r="AL90" s="7">
        <v>20.29</v>
      </c>
      <c r="AM90" s="7">
        <v>18.852</v>
      </c>
      <c r="AN90" s="7">
        <v>0.92900000000000005</v>
      </c>
      <c r="AO90" s="7">
        <v>11.457000000000001</v>
      </c>
      <c r="AP90" s="7">
        <v>2.3319999999999999</v>
      </c>
      <c r="AQ90" s="7">
        <v>6.5010000000000003</v>
      </c>
    </row>
    <row r="91" spans="1:43" x14ac:dyDescent="0.25">
      <c r="A91" t="s">
        <v>223</v>
      </c>
      <c r="B91" s="22" t="s">
        <v>822</v>
      </c>
      <c r="C91" s="22" t="s">
        <v>286</v>
      </c>
      <c r="D91" s="22" t="s">
        <v>283</v>
      </c>
      <c r="E91" s="21">
        <v>2018</v>
      </c>
      <c r="F91" s="7">
        <v>89.602615809201794</v>
      </c>
      <c r="G91" s="7">
        <v>3.1440000000000001</v>
      </c>
      <c r="H91" s="7">
        <v>0.875</v>
      </c>
      <c r="I91" s="7">
        <v>0.82899999999999996</v>
      </c>
      <c r="J91" s="7">
        <v>0.33500000000000002</v>
      </c>
      <c r="K91" s="7">
        <v>0.82599999999999996</v>
      </c>
      <c r="L91" s="7">
        <v>0</v>
      </c>
      <c r="M91" s="7">
        <v>0.91900000000000004</v>
      </c>
      <c r="N91" s="7">
        <v>0</v>
      </c>
      <c r="O91" s="7">
        <v>0</v>
      </c>
      <c r="P91" s="7">
        <v>1.4079999999999999</v>
      </c>
      <c r="Q91" s="7">
        <v>0.34200000000000003</v>
      </c>
      <c r="R91" s="7">
        <v>4.2000000000000003E-2</v>
      </c>
      <c r="S91" s="7">
        <v>3.4710000000000001</v>
      </c>
      <c r="T91" s="7">
        <v>2.5430000000000001</v>
      </c>
      <c r="U91" s="7">
        <v>2.2690000000000001</v>
      </c>
      <c r="V91" s="7">
        <v>0.128</v>
      </c>
      <c r="W91" s="7">
        <v>1.0349999999999999</v>
      </c>
      <c r="X91" s="7">
        <v>1.333</v>
      </c>
      <c r="Y91" s="7">
        <v>7.8E-2</v>
      </c>
      <c r="Z91" s="7">
        <v>0</v>
      </c>
      <c r="AA91" s="7">
        <v>1.7929999999999999</v>
      </c>
      <c r="AB91" s="7">
        <v>0.36699999999999999</v>
      </c>
      <c r="AC91" s="7">
        <v>0.189</v>
      </c>
      <c r="AD91" s="7">
        <v>9.4E-2</v>
      </c>
      <c r="AE91" s="7">
        <v>6.8070000000000004</v>
      </c>
      <c r="AF91" s="7">
        <v>8.5220000000000002</v>
      </c>
      <c r="AG91" s="7">
        <v>0</v>
      </c>
      <c r="AH91" s="7">
        <v>5.6760000000000002</v>
      </c>
      <c r="AI91" s="7">
        <v>4.5469999999999997</v>
      </c>
      <c r="AJ91" s="7">
        <v>0</v>
      </c>
      <c r="AK91" s="7">
        <v>0.80800000000000005</v>
      </c>
      <c r="AL91" s="7">
        <v>19.577000000000002</v>
      </c>
      <c r="AM91" s="7">
        <v>27.995000000000001</v>
      </c>
      <c r="AN91" s="7">
        <v>1.43</v>
      </c>
      <c r="AO91" s="7">
        <v>11.241</v>
      </c>
      <c r="AP91" s="7">
        <v>2.327</v>
      </c>
      <c r="AQ91" s="7">
        <v>6.0090000000000003</v>
      </c>
    </row>
    <row r="92" spans="1:43" x14ac:dyDescent="0.25">
      <c r="A92" t="s">
        <v>224</v>
      </c>
      <c r="B92" s="22" t="s">
        <v>822</v>
      </c>
      <c r="C92" s="22" t="s">
        <v>286</v>
      </c>
      <c r="D92" s="22" t="s">
        <v>283</v>
      </c>
      <c r="E92" s="21">
        <v>2018</v>
      </c>
      <c r="F92" s="7">
        <v>68.534451677807596</v>
      </c>
      <c r="G92" s="7">
        <v>2.968</v>
      </c>
      <c r="H92" s="7">
        <v>0.752</v>
      </c>
      <c r="I92" s="7">
        <v>0.83099999999999996</v>
      </c>
      <c r="J92" s="7">
        <v>0.25</v>
      </c>
      <c r="K92" s="7">
        <v>0.78100000000000003</v>
      </c>
      <c r="L92" s="7">
        <v>0</v>
      </c>
      <c r="M92" s="7">
        <v>0.89900000000000002</v>
      </c>
      <c r="N92" s="7">
        <v>0</v>
      </c>
      <c r="O92" s="7">
        <v>0</v>
      </c>
      <c r="P92" s="7">
        <v>1.335</v>
      </c>
      <c r="Q92" s="7">
        <v>0.35499999999999998</v>
      </c>
      <c r="R92" s="7">
        <v>0</v>
      </c>
      <c r="S92" s="7">
        <v>3.1869999999999998</v>
      </c>
      <c r="T92" s="7">
        <v>2.1549999999999998</v>
      </c>
      <c r="U92" s="7">
        <v>2.145</v>
      </c>
      <c r="V92" s="7">
        <v>0.109</v>
      </c>
      <c r="W92" s="7">
        <v>0.96399999999999997</v>
      </c>
      <c r="X92" s="7">
        <v>1.23</v>
      </c>
      <c r="Y92" s="7">
        <v>7.1999999999999995E-2</v>
      </c>
      <c r="Z92" s="7">
        <v>0</v>
      </c>
      <c r="AA92" s="7">
        <v>1.6639999999999999</v>
      </c>
      <c r="AB92" s="7">
        <v>0.24</v>
      </c>
      <c r="AC92" s="7">
        <v>0.20599999999999999</v>
      </c>
      <c r="AD92" s="7">
        <v>5.6000000000000001E-2</v>
      </c>
      <c r="AE92" s="7">
        <v>3.3540000000000001</v>
      </c>
      <c r="AF92" s="7">
        <v>6.7839999999999998</v>
      </c>
      <c r="AG92" s="7">
        <v>0</v>
      </c>
      <c r="AH92" s="7">
        <v>3.7879999999999998</v>
      </c>
      <c r="AI92" s="7">
        <v>1.7210000000000001</v>
      </c>
      <c r="AJ92" s="7">
        <v>0</v>
      </c>
      <c r="AK92" s="7">
        <v>0.33700000000000002</v>
      </c>
      <c r="AL92" s="7">
        <v>18.033000000000001</v>
      </c>
      <c r="AM92" s="7">
        <v>17.812999999999999</v>
      </c>
      <c r="AN92" s="7">
        <v>0.98799999999999999</v>
      </c>
      <c r="AO92" s="7">
        <v>10.217000000000001</v>
      </c>
      <c r="AP92" s="7">
        <v>2.234</v>
      </c>
      <c r="AQ92" s="7">
        <v>5.5819999999999999</v>
      </c>
    </row>
    <row r="93" spans="1:43" x14ac:dyDescent="0.25">
      <c r="A93" t="s">
        <v>225</v>
      </c>
      <c r="B93" s="22" t="s">
        <v>822</v>
      </c>
      <c r="C93" s="22" t="s">
        <v>286</v>
      </c>
      <c r="D93" s="22" t="s">
        <v>283</v>
      </c>
      <c r="E93" s="21">
        <v>2018</v>
      </c>
      <c r="F93" s="7">
        <v>84.817607010069395</v>
      </c>
      <c r="G93" s="7">
        <v>3.492</v>
      </c>
      <c r="H93" s="7">
        <v>0.76900000000000002</v>
      </c>
      <c r="I93" s="7">
        <v>1.056</v>
      </c>
      <c r="J93" s="7">
        <v>0.32800000000000001</v>
      </c>
      <c r="K93" s="7">
        <v>0.83199999999999996</v>
      </c>
      <c r="L93" s="7">
        <v>0</v>
      </c>
      <c r="M93" s="7">
        <v>0.98599999999999999</v>
      </c>
      <c r="N93" s="7">
        <v>0</v>
      </c>
      <c r="O93" s="7">
        <v>0</v>
      </c>
      <c r="P93" s="7">
        <v>1.3660000000000001</v>
      </c>
      <c r="Q93" s="7">
        <v>0.35599999999999998</v>
      </c>
      <c r="R93" s="7">
        <v>0</v>
      </c>
      <c r="S93" s="7">
        <v>3.7730000000000001</v>
      </c>
      <c r="T93" s="7">
        <v>2.2959999999999998</v>
      </c>
      <c r="U93" s="7">
        <v>2.508</v>
      </c>
      <c r="V93" s="7">
        <v>0.129</v>
      </c>
      <c r="W93" s="7">
        <v>1.107</v>
      </c>
      <c r="X93" s="7">
        <v>1.3919999999999999</v>
      </c>
      <c r="Y93" s="7">
        <v>6.7000000000000004E-2</v>
      </c>
      <c r="Z93" s="7">
        <v>0</v>
      </c>
      <c r="AA93" s="7">
        <v>1.9279999999999999</v>
      </c>
      <c r="AB93" s="7">
        <v>0.26</v>
      </c>
      <c r="AC93" s="7">
        <v>0.26800000000000002</v>
      </c>
      <c r="AD93" s="7">
        <v>0</v>
      </c>
      <c r="AE93" s="7">
        <v>8.0939999999999994</v>
      </c>
      <c r="AF93" s="7">
        <v>7.157</v>
      </c>
      <c r="AG93" s="7">
        <v>0</v>
      </c>
      <c r="AH93" s="7">
        <v>4.1840000000000002</v>
      </c>
      <c r="AI93" s="7">
        <v>1.8120000000000001</v>
      </c>
      <c r="AJ93" s="7">
        <v>0</v>
      </c>
      <c r="AK93" s="7">
        <v>0.58899999999999997</v>
      </c>
      <c r="AL93" s="7">
        <v>20.457000000000001</v>
      </c>
      <c r="AM93" s="7">
        <v>23.702999999999999</v>
      </c>
      <c r="AN93" s="7">
        <v>1.159</v>
      </c>
      <c r="AO93" s="7">
        <v>11.628</v>
      </c>
      <c r="AP93" s="7">
        <v>2.3519999999999999</v>
      </c>
      <c r="AQ93" s="7">
        <v>6.4770000000000003</v>
      </c>
    </row>
    <row r="94" spans="1:43" x14ac:dyDescent="0.25">
      <c r="A94" t="s">
        <v>227</v>
      </c>
      <c r="B94" s="22" t="s">
        <v>823</v>
      </c>
      <c r="C94" s="22" t="s">
        <v>298</v>
      </c>
      <c r="D94" s="22" t="s">
        <v>283</v>
      </c>
      <c r="E94" s="21">
        <v>2018</v>
      </c>
      <c r="F94" s="7">
        <v>105.67698780854199</v>
      </c>
      <c r="G94" s="7">
        <v>4.3949999999999996</v>
      </c>
      <c r="H94" s="7">
        <v>2.2360000000000002</v>
      </c>
      <c r="I94" s="7">
        <v>0.92200000000000004</v>
      </c>
      <c r="J94" s="7">
        <v>0.47</v>
      </c>
      <c r="K94" s="7">
        <v>1.7010000000000001</v>
      </c>
      <c r="L94" s="7">
        <v>0</v>
      </c>
      <c r="M94" s="7">
        <v>1.1970000000000001</v>
      </c>
      <c r="N94" s="7">
        <v>0</v>
      </c>
      <c r="O94" s="7">
        <v>0</v>
      </c>
      <c r="P94" s="7">
        <v>1.9910000000000001</v>
      </c>
      <c r="Q94" s="7">
        <v>0.48199999999999998</v>
      </c>
      <c r="R94" s="7">
        <v>3.7999999999999999E-2</v>
      </c>
      <c r="S94" s="7">
        <v>5.718</v>
      </c>
      <c r="T94" s="7">
        <v>2.8460000000000001</v>
      </c>
      <c r="U94" s="7">
        <v>3.62</v>
      </c>
      <c r="V94" s="7">
        <v>0.20200000000000001</v>
      </c>
      <c r="W94" s="7">
        <v>1.9490000000000001</v>
      </c>
      <c r="X94" s="7">
        <v>1.909</v>
      </c>
      <c r="Y94" s="7">
        <v>7.0000000000000007E-2</v>
      </c>
      <c r="Z94" s="7">
        <v>0</v>
      </c>
      <c r="AA94" s="7">
        <v>6.6589999999999998</v>
      </c>
      <c r="AB94" s="7">
        <v>0.46100000000000002</v>
      </c>
      <c r="AC94" s="7">
        <v>0.30599999999999999</v>
      </c>
      <c r="AD94" s="7">
        <v>0.11799999999999999</v>
      </c>
      <c r="AE94" s="7">
        <v>4.8460000000000001</v>
      </c>
      <c r="AF94" s="7">
        <v>9.4329999999999998</v>
      </c>
      <c r="AG94" s="7">
        <v>0</v>
      </c>
      <c r="AH94" s="7">
        <v>5.4969999999999999</v>
      </c>
      <c r="AI94" s="7">
        <v>0</v>
      </c>
      <c r="AJ94" s="7">
        <v>1.3440000000000001</v>
      </c>
      <c r="AK94" s="7">
        <v>0.92500000000000004</v>
      </c>
      <c r="AL94" s="7">
        <v>29.745999999999999</v>
      </c>
      <c r="AM94" s="7">
        <v>28.664000000000001</v>
      </c>
      <c r="AN94" s="7">
        <v>0.96399999999999997</v>
      </c>
      <c r="AO94" s="7">
        <v>16.834</v>
      </c>
      <c r="AP94" s="7">
        <v>3.1880000000000002</v>
      </c>
      <c r="AQ94" s="7">
        <v>9.7240000000000002</v>
      </c>
    </row>
    <row r="95" spans="1:43" x14ac:dyDescent="0.25">
      <c r="A95" t="s">
        <v>228</v>
      </c>
      <c r="B95" s="22" t="s">
        <v>823</v>
      </c>
      <c r="C95" s="22" t="s">
        <v>298</v>
      </c>
      <c r="D95" s="22" t="s">
        <v>283</v>
      </c>
      <c r="E95" s="21">
        <v>2018</v>
      </c>
      <c r="F95" s="7">
        <v>91.189957627787194</v>
      </c>
      <c r="G95" s="7">
        <v>4.4950000000000001</v>
      </c>
      <c r="H95" s="7">
        <v>2.8809999999999998</v>
      </c>
      <c r="I95" s="7">
        <v>0.86199999999999999</v>
      </c>
      <c r="J95" s="7">
        <v>0.36699999999999999</v>
      </c>
      <c r="K95" s="7">
        <v>1.3029999999999999</v>
      </c>
      <c r="L95" s="7">
        <v>9.7000000000000003E-2</v>
      </c>
      <c r="M95" s="7">
        <v>1.0389999999999999</v>
      </c>
      <c r="N95" s="7">
        <v>0</v>
      </c>
      <c r="O95" s="7">
        <v>0</v>
      </c>
      <c r="P95" s="7">
        <v>2.1349999999999998</v>
      </c>
      <c r="Q95" s="7">
        <v>0.42499999999999999</v>
      </c>
      <c r="R95" s="7">
        <v>0</v>
      </c>
      <c r="S95" s="7">
        <v>5.0949999999999998</v>
      </c>
      <c r="T95" s="7">
        <v>2.2599999999999998</v>
      </c>
      <c r="U95" s="7">
        <v>3.613</v>
      </c>
      <c r="V95" s="7">
        <v>0.21</v>
      </c>
      <c r="W95" s="7">
        <v>1.7969999999999999</v>
      </c>
      <c r="X95" s="7">
        <v>1.875</v>
      </c>
      <c r="Y95" s="7">
        <v>8.4000000000000005E-2</v>
      </c>
      <c r="Z95" s="7">
        <v>0</v>
      </c>
      <c r="AA95" s="7">
        <v>4.3869999999999996</v>
      </c>
      <c r="AB95" s="7">
        <v>0.40600000000000003</v>
      </c>
      <c r="AC95" s="7">
        <v>0.27700000000000002</v>
      </c>
      <c r="AD95" s="7">
        <v>7.6999999999999999E-2</v>
      </c>
      <c r="AE95" s="7">
        <v>2.4550000000000001</v>
      </c>
      <c r="AF95" s="7">
        <v>7.7649999999999997</v>
      </c>
      <c r="AG95" s="7">
        <v>0</v>
      </c>
      <c r="AH95" s="7">
        <v>4.1420000000000003</v>
      </c>
      <c r="AI95" s="7">
        <v>0</v>
      </c>
      <c r="AJ95" s="7">
        <v>1.113</v>
      </c>
      <c r="AK95" s="7">
        <v>0.752</v>
      </c>
      <c r="AL95" s="7">
        <v>28.538</v>
      </c>
      <c r="AM95" s="7">
        <v>20.622</v>
      </c>
      <c r="AN95" s="7">
        <v>0.72299999999999998</v>
      </c>
      <c r="AO95" s="7">
        <v>15.359</v>
      </c>
      <c r="AP95" s="7">
        <v>3.1739999999999999</v>
      </c>
      <c r="AQ95" s="7">
        <v>10.005000000000001</v>
      </c>
    </row>
    <row r="96" spans="1:43" x14ac:dyDescent="0.25">
      <c r="A96" t="s">
        <v>229</v>
      </c>
      <c r="B96" s="22" t="s">
        <v>823</v>
      </c>
      <c r="C96" s="22" t="s">
        <v>298</v>
      </c>
      <c r="D96" s="22" t="s">
        <v>283</v>
      </c>
      <c r="E96" s="21">
        <v>2018</v>
      </c>
      <c r="F96" s="7">
        <v>137.299104972885</v>
      </c>
      <c r="G96" s="7">
        <v>6.8319999999999999</v>
      </c>
      <c r="H96" s="7">
        <v>3.823</v>
      </c>
      <c r="I96" s="7">
        <v>1.2430000000000001</v>
      </c>
      <c r="J96" s="7">
        <v>0.59299999999999997</v>
      </c>
      <c r="K96" s="7">
        <v>1.7889999999999999</v>
      </c>
      <c r="L96" s="7">
        <v>0</v>
      </c>
      <c r="M96" s="7">
        <v>1.56</v>
      </c>
      <c r="N96" s="7">
        <v>0</v>
      </c>
      <c r="O96" s="7">
        <v>0</v>
      </c>
      <c r="P96" s="7">
        <v>2.927</v>
      </c>
      <c r="Q96" s="7">
        <v>0.72399999999999998</v>
      </c>
      <c r="R96" s="7">
        <v>8.3000000000000004E-2</v>
      </c>
      <c r="S96" s="7">
        <v>7.8</v>
      </c>
      <c r="T96" s="7">
        <v>3.71</v>
      </c>
      <c r="U96" s="7">
        <v>5.1710000000000003</v>
      </c>
      <c r="V96" s="7">
        <v>0.318</v>
      </c>
      <c r="W96" s="7">
        <v>2.5819999999999999</v>
      </c>
      <c r="X96" s="7">
        <v>2.6720000000000002</v>
      </c>
      <c r="Y96" s="7">
        <v>0.113</v>
      </c>
      <c r="Z96" s="7">
        <v>0</v>
      </c>
      <c r="AA96" s="7">
        <v>8.0510000000000002</v>
      </c>
      <c r="AB96" s="7">
        <v>0.67200000000000004</v>
      </c>
      <c r="AC96" s="7">
        <v>0.432</v>
      </c>
      <c r="AD96" s="7">
        <v>0.157</v>
      </c>
      <c r="AE96" s="7">
        <v>3.4609999999999999</v>
      </c>
      <c r="AF96" s="7">
        <v>11.145</v>
      </c>
      <c r="AG96" s="7">
        <v>0</v>
      </c>
      <c r="AH96" s="7">
        <v>6.8280000000000003</v>
      </c>
      <c r="AI96" s="7">
        <v>0</v>
      </c>
      <c r="AJ96" s="7">
        <v>1.972</v>
      </c>
      <c r="AK96" s="7">
        <v>0.78800000000000003</v>
      </c>
      <c r="AL96" s="7">
        <v>41.94</v>
      </c>
      <c r="AM96" s="7">
        <v>32.718000000000004</v>
      </c>
      <c r="AN96" s="7">
        <v>0.78</v>
      </c>
      <c r="AO96" s="7">
        <v>23.172999999999998</v>
      </c>
      <c r="AP96" s="7">
        <v>4.4870000000000001</v>
      </c>
      <c r="AQ96" s="7">
        <v>14.28</v>
      </c>
    </row>
    <row r="97" spans="1:43" x14ac:dyDescent="0.25">
      <c r="A97" t="s">
        <v>230</v>
      </c>
      <c r="B97" s="22" t="s">
        <v>7</v>
      </c>
      <c r="C97" s="22" t="s">
        <v>283</v>
      </c>
      <c r="D97" s="22" t="s">
        <v>286</v>
      </c>
      <c r="E97" s="21">
        <v>2018</v>
      </c>
      <c r="F97" s="7">
        <v>101.807807161979</v>
      </c>
      <c r="G97" s="7">
        <v>4.4480000000000004</v>
      </c>
      <c r="H97" s="7">
        <v>1.1160000000000001</v>
      </c>
      <c r="I97" s="7">
        <v>0.999</v>
      </c>
      <c r="J97" s="7">
        <v>0.61799999999999999</v>
      </c>
      <c r="K97" s="7">
        <v>1.4159999999999999</v>
      </c>
      <c r="L97" s="7">
        <v>0</v>
      </c>
      <c r="M97" s="7">
        <v>1.3049999999999999</v>
      </c>
      <c r="N97" s="7">
        <v>0</v>
      </c>
      <c r="O97" s="7">
        <v>0</v>
      </c>
      <c r="P97" s="7">
        <v>2.6110000000000002</v>
      </c>
      <c r="Q97" s="7">
        <v>0.57699999999999996</v>
      </c>
      <c r="R97" s="7">
        <v>6.2E-2</v>
      </c>
      <c r="S97" s="7">
        <v>6.5289999999999999</v>
      </c>
      <c r="T97" s="7">
        <v>2.8130000000000002</v>
      </c>
      <c r="U97" s="7">
        <v>3.0019999999999998</v>
      </c>
      <c r="V97" s="7">
        <v>0.13500000000000001</v>
      </c>
      <c r="W97" s="7">
        <v>1.6579999999999999</v>
      </c>
      <c r="X97" s="7">
        <v>1.6619999999999999</v>
      </c>
      <c r="Y97" s="7">
        <v>0.113</v>
      </c>
      <c r="Z97" s="7">
        <v>0</v>
      </c>
      <c r="AA97" s="7">
        <v>1.6639999999999999</v>
      </c>
      <c r="AB97" s="7">
        <v>0.37</v>
      </c>
      <c r="AC97" s="7">
        <v>0.30599999999999999</v>
      </c>
      <c r="AD97" s="7">
        <v>0.186</v>
      </c>
      <c r="AE97" s="7">
        <v>4.8010000000000002</v>
      </c>
      <c r="AF97" s="7">
        <v>8.4019999999999992</v>
      </c>
      <c r="AG97" s="7">
        <v>0</v>
      </c>
      <c r="AH97" s="7">
        <v>3.8919999999999999</v>
      </c>
      <c r="AI97" s="7">
        <v>1.9690000000000001</v>
      </c>
      <c r="AJ97" s="7">
        <v>0</v>
      </c>
      <c r="AK97" s="7">
        <v>0.86099999999999999</v>
      </c>
      <c r="AL97" s="7">
        <v>29.064</v>
      </c>
      <c r="AM97" s="7">
        <v>21.59</v>
      </c>
      <c r="AN97" s="7">
        <v>0.74299999999999999</v>
      </c>
      <c r="AO97" s="7">
        <v>16.550999999999998</v>
      </c>
      <c r="AP97" s="7">
        <v>3.9159999999999999</v>
      </c>
      <c r="AQ97" s="7">
        <v>8.5969999999999995</v>
      </c>
    </row>
    <row r="98" spans="1:43" x14ac:dyDescent="0.25">
      <c r="A98" t="s">
        <v>231</v>
      </c>
      <c r="B98" s="22" t="s">
        <v>7</v>
      </c>
      <c r="C98" s="22" t="s">
        <v>283</v>
      </c>
      <c r="D98" s="22" t="s">
        <v>286</v>
      </c>
      <c r="E98" s="21">
        <v>2018</v>
      </c>
      <c r="F98" s="7">
        <v>114.57866792910301</v>
      </c>
      <c r="G98" s="7">
        <v>5.9539999999999997</v>
      </c>
      <c r="H98" s="7">
        <v>1.8029999999999999</v>
      </c>
      <c r="I98" s="7">
        <v>1.8149999999999999</v>
      </c>
      <c r="J98" s="7">
        <v>0.43099999999999999</v>
      </c>
      <c r="K98" s="7">
        <v>1.6060000000000001</v>
      </c>
      <c r="L98" s="7">
        <v>0</v>
      </c>
      <c r="M98" s="7">
        <v>1.3480000000000001</v>
      </c>
      <c r="N98" s="7">
        <v>0</v>
      </c>
      <c r="O98" s="7">
        <v>0</v>
      </c>
      <c r="P98" s="7">
        <v>2.3079999999999998</v>
      </c>
      <c r="Q98" s="7">
        <v>0.74199999999999999</v>
      </c>
      <c r="R98" s="7">
        <v>7.0999999999999994E-2</v>
      </c>
      <c r="S98" s="7">
        <v>6.5469999999999997</v>
      </c>
      <c r="T98" s="7">
        <v>3.2850000000000001</v>
      </c>
      <c r="U98" s="7">
        <v>4.1210000000000004</v>
      </c>
      <c r="V98" s="7">
        <v>0.23400000000000001</v>
      </c>
      <c r="W98" s="7">
        <v>1.855</v>
      </c>
      <c r="X98" s="7">
        <v>2.149</v>
      </c>
      <c r="Y98" s="7">
        <v>9.4E-2</v>
      </c>
      <c r="Z98" s="7">
        <v>0</v>
      </c>
      <c r="AA98" s="7">
        <v>2.476</v>
      </c>
      <c r="AB98" s="7">
        <v>0.40400000000000003</v>
      </c>
      <c r="AC98" s="7">
        <v>0.37</v>
      </c>
      <c r="AD98" s="7">
        <v>0.26500000000000001</v>
      </c>
      <c r="AE98" s="7">
        <v>3.2730000000000001</v>
      </c>
      <c r="AF98" s="7">
        <v>11.06</v>
      </c>
      <c r="AG98" s="7">
        <v>0</v>
      </c>
      <c r="AH98" s="7">
        <v>6.0940000000000003</v>
      </c>
      <c r="AI98" s="7">
        <v>0</v>
      </c>
      <c r="AJ98" s="7">
        <v>2.0750000000000002</v>
      </c>
      <c r="AK98" s="7">
        <v>1.246</v>
      </c>
      <c r="AL98" s="7">
        <v>34.363</v>
      </c>
      <c r="AM98" s="7">
        <v>26.016999999999999</v>
      </c>
      <c r="AN98" s="7">
        <v>0.75700000000000001</v>
      </c>
      <c r="AO98" s="7">
        <v>19.097999999999999</v>
      </c>
      <c r="AP98" s="7">
        <v>3.6560000000000001</v>
      </c>
      <c r="AQ98" s="7">
        <v>11.609</v>
      </c>
    </row>
    <row r="99" spans="1:43" x14ac:dyDescent="0.25">
      <c r="A99" t="s">
        <v>232</v>
      </c>
      <c r="B99" s="22" t="s">
        <v>7</v>
      </c>
      <c r="C99" s="22" t="s">
        <v>283</v>
      </c>
      <c r="D99" s="22" t="s">
        <v>286</v>
      </c>
      <c r="E99" s="21">
        <v>2018</v>
      </c>
      <c r="F99" s="7">
        <v>100.09784639580199</v>
      </c>
      <c r="G99" s="7">
        <v>5.0410000000000004</v>
      </c>
      <c r="H99" s="7">
        <v>1.667</v>
      </c>
      <c r="I99" s="7">
        <v>1.3620000000000001</v>
      </c>
      <c r="J99" s="7">
        <v>0.36299999999999999</v>
      </c>
      <c r="K99" s="7">
        <v>1.7709999999999999</v>
      </c>
      <c r="L99" s="7">
        <v>0</v>
      </c>
      <c r="M99" s="7">
        <v>1.208</v>
      </c>
      <c r="N99" s="7">
        <v>0</v>
      </c>
      <c r="O99" s="7">
        <v>0</v>
      </c>
      <c r="P99" s="7">
        <v>1.833</v>
      </c>
      <c r="Q99" s="7">
        <v>0.55500000000000005</v>
      </c>
      <c r="R99" s="7">
        <v>0</v>
      </c>
      <c r="S99" s="7">
        <v>5.4329999999999998</v>
      </c>
      <c r="T99" s="7">
        <v>2.93</v>
      </c>
      <c r="U99" s="7">
        <v>3.399</v>
      </c>
      <c r="V99" s="7">
        <v>0.20300000000000001</v>
      </c>
      <c r="W99" s="7">
        <v>1.611</v>
      </c>
      <c r="X99" s="7">
        <v>1.889</v>
      </c>
      <c r="Y99" s="7">
        <v>0.09</v>
      </c>
      <c r="Z99" s="7">
        <v>0</v>
      </c>
      <c r="AA99" s="7">
        <v>2.5179999999999998</v>
      </c>
      <c r="AB99" s="7">
        <v>0.378</v>
      </c>
      <c r="AC99" s="7">
        <v>0.28100000000000003</v>
      </c>
      <c r="AD99" s="7">
        <v>0.23300000000000001</v>
      </c>
      <c r="AE99" s="7">
        <v>3.31</v>
      </c>
      <c r="AF99" s="7">
        <v>9.6059999999999999</v>
      </c>
      <c r="AG99" s="7">
        <v>0</v>
      </c>
      <c r="AH99" s="7">
        <v>5.6559999999999997</v>
      </c>
      <c r="AI99" s="7">
        <v>1.764</v>
      </c>
      <c r="AJ99" s="7">
        <v>0</v>
      </c>
      <c r="AK99" s="7">
        <v>0.84299999999999997</v>
      </c>
      <c r="AL99" s="7">
        <v>29.355</v>
      </c>
      <c r="AM99" s="7">
        <v>23.745999999999999</v>
      </c>
      <c r="AN99" s="7">
        <v>0.80900000000000005</v>
      </c>
      <c r="AO99" s="7">
        <v>16.11</v>
      </c>
      <c r="AP99" s="7">
        <v>3.0409999999999999</v>
      </c>
      <c r="AQ99" s="7">
        <v>10.204000000000001</v>
      </c>
    </row>
    <row r="100" spans="1:43" x14ac:dyDescent="0.25">
      <c r="A100" t="s">
        <v>233</v>
      </c>
      <c r="B100" s="22" t="s">
        <v>7</v>
      </c>
      <c r="C100" s="22" t="s">
        <v>283</v>
      </c>
      <c r="D100" t="s">
        <v>286</v>
      </c>
      <c r="E100" s="21">
        <v>2018</v>
      </c>
      <c r="F100" s="7">
        <v>88.6673127415755</v>
      </c>
      <c r="G100" s="7">
        <v>4.4320000000000004</v>
      </c>
      <c r="H100" s="7">
        <v>1.4590000000000001</v>
      </c>
      <c r="I100" s="7">
        <v>1.032</v>
      </c>
      <c r="J100" s="7">
        <v>0.36299999999999999</v>
      </c>
      <c r="K100" s="7">
        <v>1.3520000000000001</v>
      </c>
      <c r="L100" s="7">
        <v>8.4000000000000005E-2</v>
      </c>
      <c r="M100" s="7">
        <v>1.143</v>
      </c>
      <c r="N100" s="7">
        <v>0</v>
      </c>
      <c r="O100" s="7">
        <v>0</v>
      </c>
      <c r="P100" s="7">
        <v>1.8340000000000001</v>
      </c>
      <c r="Q100" s="7">
        <v>0.46200000000000002</v>
      </c>
      <c r="R100" s="7">
        <v>0</v>
      </c>
      <c r="S100" s="7">
        <v>4.8289999999999997</v>
      </c>
      <c r="T100" s="7">
        <v>2.5529999999999999</v>
      </c>
      <c r="U100" s="7">
        <v>2.996</v>
      </c>
      <c r="V100" s="7">
        <v>0.153</v>
      </c>
      <c r="W100" s="7">
        <v>1.464</v>
      </c>
      <c r="X100" s="7">
        <v>1.663</v>
      </c>
      <c r="Y100" s="7">
        <v>9.0999999999999998E-2</v>
      </c>
      <c r="Z100" s="7">
        <v>0</v>
      </c>
      <c r="AA100" s="7">
        <v>2.8029999999999999</v>
      </c>
      <c r="AB100" s="7">
        <v>0.34699999999999998</v>
      </c>
      <c r="AC100" s="7">
        <v>0.23499999999999999</v>
      </c>
      <c r="AD100" s="7">
        <v>0.184</v>
      </c>
      <c r="AE100" s="7">
        <v>2.5750000000000002</v>
      </c>
      <c r="AF100" s="7">
        <v>7.6349999999999998</v>
      </c>
      <c r="AG100" s="7">
        <v>0</v>
      </c>
      <c r="AH100" s="7">
        <v>6.0090000000000003</v>
      </c>
      <c r="AI100" s="7">
        <v>0</v>
      </c>
      <c r="AJ100" s="7">
        <v>1.4910000000000001</v>
      </c>
      <c r="AK100" s="7">
        <v>0.89800000000000002</v>
      </c>
      <c r="AL100" s="7">
        <v>25.91</v>
      </c>
      <c r="AM100" s="7">
        <v>21.279</v>
      </c>
      <c r="AN100" s="7">
        <v>0.82099999999999995</v>
      </c>
      <c r="AO100" s="7">
        <v>14.211</v>
      </c>
      <c r="AP100" s="7">
        <v>2.9769999999999999</v>
      </c>
      <c r="AQ100" s="7">
        <v>8.7219999999999995</v>
      </c>
    </row>
    <row r="101" spans="1:43" x14ac:dyDescent="0.25">
      <c r="A101" t="s">
        <v>234</v>
      </c>
      <c r="B101" s="22" t="s">
        <v>8</v>
      </c>
      <c r="C101" s="22" t="s">
        <v>283</v>
      </c>
      <c r="D101" s="22" t="s">
        <v>283</v>
      </c>
      <c r="E101" s="21">
        <v>2018</v>
      </c>
      <c r="F101" s="7">
        <v>271.32679256601301</v>
      </c>
      <c r="G101" s="7">
        <v>10.808999999999999</v>
      </c>
      <c r="H101" s="7">
        <v>1.9219999999999999</v>
      </c>
      <c r="I101" s="7">
        <v>3.0659999999999998</v>
      </c>
      <c r="J101" s="7">
        <v>1.581</v>
      </c>
      <c r="K101" s="7">
        <v>3.6419999999999999</v>
      </c>
      <c r="L101" s="7">
        <v>8.7999999999999995E-2</v>
      </c>
      <c r="M101" s="7">
        <v>3.0470000000000002</v>
      </c>
      <c r="N101" s="7">
        <v>0</v>
      </c>
      <c r="O101" s="7">
        <v>0</v>
      </c>
      <c r="P101" s="7">
        <v>4.3819999999999997</v>
      </c>
      <c r="Q101" s="7">
        <v>1.696</v>
      </c>
      <c r="R101" s="7">
        <v>0</v>
      </c>
      <c r="S101" s="7">
        <v>13.163</v>
      </c>
      <c r="T101" s="7">
        <v>7.3680000000000003</v>
      </c>
      <c r="U101" s="7">
        <v>8.6300000000000008</v>
      </c>
      <c r="V101" s="7">
        <v>0.45500000000000002</v>
      </c>
      <c r="W101" s="7">
        <v>3.57</v>
      </c>
      <c r="X101" s="7">
        <v>4.5430000000000001</v>
      </c>
      <c r="Y101" s="7">
        <v>0.20200000000000001</v>
      </c>
      <c r="Z101" s="7">
        <v>0</v>
      </c>
      <c r="AA101" s="7">
        <v>8.5269999999999992</v>
      </c>
      <c r="AB101" s="7">
        <v>0.65200000000000002</v>
      </c>
      <c r="AC101" s="7">
        <v>0.91</v>
      </c>
      <c r="AD101" s="7">
        <v>0.46300000000000002</v>
      </c>
      <c r="AE101" s="7">
        <v>12.138</v>
      </c>
      <c r="AF101" s="7">
        <v>24.648</v>
      </c>
      <c r="AG101" s="7">
        <v>0</v>
      </c>
      <c r="AH101" s="7">
        <v>19.120999999999999</v>
      </c>
      <c r="AI101" s="7">
        <v>0</v>
      </c>
      <c r="AJ101" s="7">
        <v>5.9359999999999999</v>
      </c>
      <c r="AK101" s="7">
        <v>1.5169999999999999</v>
      </c>
      <c r="AL101" s="7">
        <v>68.164000000000001</v>
      </c>
      <c r="AM101" s="7">
        <v>72.394999999999996</v>
      </c>
      <c r="AN101" s="7">
        <v>1.0620000000000001</v>
      </c>
      <c r="AO101" s="7">
        <v>39.627000000000002</v>
      </c>
      <c r="AP101" s="7">
        <v>7.4290000000000003</v>
      </c>
      <c r="AQ101" s="7">
        <v>21.108000000000001</v>
      </c>
    </row>
    <row r="102" spans="1:43" x14ac:dyDescent="0.25">
      <c r="A102" t="s">
        <v>235</v>
      </c>
      <c r="B102" s="22" t="s">
        <v>8</v>
      </c>
      <c r="C102" s="22" t="s">
        <v>283</v>
      </c>
      <c r="D102" s="22" t="s">
        <v>283</v>
      </c>
      <c r="E102" s="21">
        <v>2018</v>
      </c>
      <c r="F102" s="7">
        <v>107.856521845714</v>
      </c>
      <c r="G102" s="7">
        <v>5.9429999999999996</v>
      </c>
      <c r="H102" s="7">
        <v>1.472</v>
      </c>
      <c r="I102" s="7">
        <v>0.99299999999999999</v>
      </c>
      <c r="J102" s="7">
        <v>0.501</v>
      </c>
      <c r="K102" s="7">
        <v>1.4410000000000001</v>
      </c>
      <c r="L102" s="7">
        <v>0</v>
      </c>
      <c r="M102" s="7">
        <v>1.399</v>
      </c>
      <c r="N102" s="7">
        <v>0</v>
      </c>
      <c r="O102" s="7">
        <v>0</v>
      </c>
      <c r="P102" s="7">
        <v>2.5779999999999998</v>
      </c>
      <c r="Q102" s="7">
        <v>0.66400000000000003</v>
      </c>
      <c r="R102" s="7">
        <v>4.9000000000000002E-2</v>
      </c>
      <c r="S102" s="7">
        <v>6.7839999999999998</v>
      </c>
      <c r="T102" s="7">
        <v>2.93</v>
      </c>
      <c r="U102" s="7">
        <v>3.4489999999999998</v>
      </c>
      <c r="V102" s="7">
        <v>0.2</v>
      </c>
      <c r="W102" s="7">
        <v>1.903</v>
      </c>
      <c r="X102" s="7">
        <v>2.081</v>
      </c>
      <c r="Y102" s="7">
        <v>0.10199999999999999</v>
      </c>
      <c r="Z102" s="7">
        <v>0</v>
      </c>
      <c r="AA102" s="7">
        <v>2.8490000000000002</v>
      </c>
      <c r="AB102" s="7">
        <v>0.38400000000000001</v>
      </c>
      <c r="AC102" s="7">
        <v>0.30399999999999999</v>
      </c>
      <c r="AD102" s="7">
        <v>0.193</v>
      </c>
      <c r="AE102" s="7">
        <v>4.1289999999999996</v>
      </c>
      <c r="AF102" s="7">
        <v>8.6430000000000007</v>
      </c>
      <c r="AG102" s="7">
        <v>0</v>
      </c>
      <c r="AH102" s="7">
        <v>5.2850000000000001</v>
      </c>
      <c r="AI102" s="7">
        <v>1.9670000000000001</v>
      </c>
      <c r="AJ102" s="7">
        <v>0</v>
      </c>
      <c r="AK102" s="7">
        <v>0.74299999999999999</v>
      </c>
      <c r="AL102" s="7">
        <v>32.488999999999997</v>
      </c>
      <c r="AM102" s="7">
        <v>23.754000000000001</v>
      </c>
      <c r="AN102" s="7">
        <v>0.73099999999999998</v>
      </c>
      <c r="AO102" s="7">
        <v>18.161999999999999</v>
      </c>
      <c r="AP102" s="7">
        <v>3.9769999999999999</v>
      </c>
      <c r="AQ102" s="7">
        <v>10.35</v>
      </c>
    </row>
    <row r="103" spans="1:43" x14ac:dyDescent="0.25">
      <c r="A103" t="s">
        <v>236</v>
      </c>
      <c r="B103" s="22" t="s">
        <v>8</v>
      </c>
      <c r="C103" s="22" t="s">
        <v>283</v>
      </c>
      <c r="D103" s="22" t="s">
        <v>283</v>
      </c>
      <c r="E103" s="21">
        <v>2018</v>
      </c>
      <c r="F103" s="7">
        <v>120.51959556545999</v>
      </c>
      <c r="G103" s="7">
        <v>7.4489999999999998</v>
      </c>
      <c r="H103" s="7">
        <v>1.994</v>
      </c>
      <c r="I103" s="7">
        <v>1.29</v>
      </c>
      <c r="J103" s="7">
        <v>0.52600000000000002</v>
      </c>
      <c r="K103" s="7">
        <v>1.554</v>
      </c>
      <c r="L103" s="7">
        <v>0</v>
      </c>
      <c r="M103" s="7">
        <v>1.6020000000000001</v>
      </c>
      <c r="N103" s="7">
        <v>0</v>
      </c>
      <c r="O103" s="7">
        <v>0</v>
      </c>
      <c r="P103" s="7">
        <v>2.9289999999999998</v>
      </c>
      <c r="Q103" s="7">
        <v>0.78400000000000003</v>
      </c>
      <c r="R103" s="7">
        <v>8.8999999999999996E-2</v>
      </c>
      <c r="S103" s="7">
        <v>7.7770000000000001</v>
      </c>
      <c r="T103" s="7">
        <v>3.48</v>
      </c>
      <c r="U103" s="7">
        <v>3.9950000000000001</v>
      </c>
      <c r="V103" s="7">
        <v>0.23400000000000001</v>
      </c>
      <c r="W103" s="7">
        <v>2.2309999999999999</v>
      </c>
      <c r="X103" s="7">
        <v>2.5579999999999998</v>
      </c>
      <c r="Y103" s="7">
        <v>0.126</v>
      </c>
      <c r="Z103" s="7">
        <v>0</v>
      </c>
      <c r="AA103" s="7">
        <v>2.61</v>
      </c>
      <c r="AB103" s="7">
        <v>0.34799999999999998</v>
      </c>
      <c r="AC103" s="7">
        <v>0.41</v>
      </c>
      <c r="AD103" s="7">
        <v>0.33700000000000002</v>
      </c>
      <c r="AE103" s="7">
        <v>3.4049999999999998</v>
      </c>
      <c r="AF103" s="7">
        <v>9.3780000000000001</v>
      </c>
      <c r="AG103" s="7">
        <v>0</v>
      </c>
      <c r="AH103" s="7">
        <v>5.31</v>
      </c>
      <c r="AI103" s="7">
        <v>0</v>
      </c>
      <c r="AJ103" s="7">
        <v>2.673</v>
      </c>
      <c r="AK103" s="7">
        <v>0.96699999999999997</v>
      </c>
      <c r="AL103" s="7">
        <v>38.618000000000002</v>
      </c>
      <c r="AM103" s="7">
        <v>24.471</v>
      </c>
      <c r="AN103" s="7">
        <v>0.63400000000000001</v>
      </c>
      <c r="AO103" s="7">
        <v>21.274000000000001</v>
      </c>
      <c r="AP103" s="7">
        <v>4.5309999999999997</v>
      </c>
      <c r="AQ103" s="7">
        <v>12.813000000000001</v>
      </c>
    </row>
    <row r="104" spans="1:43" x14ac:dyDescent="0.25">
      <c r="A104" t="s">
        <v>237</v>
      </c>
      <c r="B104" s="22" t="s">
        <v>8</v>
      </c>
      <c r="C104" s="22" t="s">
        <v>283</v>
      </c>
      <c r="D104" s="22" t="s">
        <v>283</v>
      </c>
      <c r="E104" s="21">
        <v>2018</v>
      </c>
      <c r="F104" s="7">
        <v>137.70274626012301</v>
      </c>
      <c r="G104" s="7">
        <v>7.95</v>
      </c>
      <c r="H104" s="7">
        <v>1.8740000000000001</v>
      </c>
      <c r="I104" s="7">
        <v>1.4730000000000001</v>
      </c>
      <c r="J104" s="7">
        <v>0.627</v>
      </c>
      <c r="K104" s="7">
        <v>1.7549999999999999</v>
      </c>
      <c r="L104" s="7">
        <v>0</v>
      </c>
      <c r="M104" s="7">
        <v>1.6819999999999999</v>
      </c>
      <c r="N104" s="7">
        <v>0</v>
      </c>
      <c r="O104" s="7">
        <v>0</v>
      </c>
      <c r="P104" s="7">
        <v>2.9820000000000002</v>
      </c>
      <c r="Q104" s="7">
        <v>0.79900000000000004</v>
      </c>
      <c r="R104" s="7">
        <v>5.8000000000000003E-2</v>
      </c>
      <c r="S104" s="7">
        <v>8.2940000000000005</v>
      </c>
      <c r="T104" s="7">
        <v>3.7759999999999998</v>
      </c>
      <c r="U104" s="7">
        <v>4.3529999999999998</v>
      </c>
      <c r="V104" s="7">
        <v>0.26800000000000002</v>
      </c>
      <c r="W104" s="7">
        <v>2.395</v>
      </c>
      <c r="X104" s="7">
        <v>2.7490000000000001</v>
      </c>
      <c r="Y104" s="7">
        <v>0.13700000000000001</v>
      </c>
      <c r="Z104" s="7">
        <v>0</v>
      </c>
      <c r="AA104" s="7">
        <v>3.3719999999999999</v>
      </c>
      <c r="AB104" s="7">
        <v>0.39200000000000002</v>
      </c>
      <c r="AC104" s="7">
        <v>0.441</v>
      </c>
      <c r="AD104" s="7">
        <v>0.39300000000000002</v>
      </c>
      <c r="AE104" s="7">
        <v>3.6680000000000001</v>
      </c>
      <c r="AF104" s="7">
        <v>11.089</v>
      </c>
      <c r="AG104" s="7">
        <v>0</v>
      </c>
      <c r="AH104" s="7">
        <v>7.2249999999999996</v>
      </c>
      <c r="AI104" s="7">
        <v>3.2109999999999999</v>
      </c>
      <c r="AJ104" s="7">
        <v>0</v>
      </c>
      <c r="AK104" s="7">
        <v>1.474</v>
      </c>
      <c r="AL104" s="7">
        <v>41.171999999999997</v>
      </c>
      <c r="AM104" s="7">
        <v>29.791</v>
      </c>
      <c r="AN104" s="7">
        <v>0.72399999999999998</v>
      </c>
      <c r="AO104" s="7">
        <v>22.829000000000001</v>
      </c>
      <c r="AP104" s="7">
        <v>4.6639999999999997</v>
      </c>
      <c r="AQ104" s="7">
        <v>13.679</v>
      </c>
    </row>
    <row r="105" spans="1:43" x14ac:dyDescent="0.25">
      <c r="A105" t="s">
        <v>238</v>
      </c>
      <c r="B105" s="22" t="s">
        <v>825</v>
      </c>
      <c r="C105" s="22" t="s">
        <v>283</v>
      </c>
      <c r="D105" s="22" t="s">
        <v>286</v>
      </c>
      <c r="E105" s="21">
        <v>2018</v>
      </c>
      <c r="F105" s="7">
        <v>164.789462022973</v>
      </c>
      <c r="G105" s="7">
        <v>9.1170000000000009</v>
      </c>
      <c r="H105" s="7">
        <v>2.2879999999999998</v>
      </c>
      <c r="I105" s="7">
        <v>1.996</v>
      </c>
      <c r="J105" s="7">
        <v>0.79</v>
      </c>
      <c r="K105" s="7">
        <v>2.1869999999999998</v>
      </c>
      <c r="L105" s="7">
        <v>0.105</v>
      </c>
      <c r="M105" s="7">
        <v>1.9419999999999999</v>
      </c>
      <c r="N105" s="7">
        <v>0</v>
      </c>
      <c r="O105" s="7">
        <v>0</v>
      </c>
      <c r="P105" s="7">
        <v>3.97</v>
      </c>
      <c r="Q105" s="7">
        <v>0.90200000000000002</v>
      </c>
      <c r="R105" s="7">
        <v>0.115</v>
      </c>
      <c r="S105" s="7">
        <v>9.859</v>
      </c>
      <c r="T105" s="7">
        <v>4.83</v>
      </c>
      <c r="U105" s="7">
        <v>5.4560000000000004</v>
      </c>
      <c r="V105" s="7">
        <v>0.29499999999999998</v>
      </c>
      <c r="W105" s="7">
        <v>2.7730000000000001</v>
      </c>
      <c r="X105" s="7">
        <v>3.2160000000000002</v>
      </c>
      <c r="Y105" s="7">
        <v>0.19900000000000001</v>
      </c>
      <c r="Z105" s="7">
        <v>0</v>
      </c>
      <c r="AA105" s="7">
        <v>5.4980000000000002</v>
      </c>
      <c r="AB105" s="7">
        <v>0.55000000000000004</v>
      </c>
      <c r="AC105" s="7">
        <v>0.41899999999999998</v>
      </c>
      <c r="AD105" s="7">
        <v>0.21</v>
      </c>
      <c r="AE105" s="7">
        <v>6.0970000000000004</v>
      </c>
      <c r="AF105" s="7">
        <v>13.394</v>
      </c>
      <c r="AG105" s="7">
        <v>0</v>
      </c>
      <c r="AH105" s="7">
        <v>8.1489999999999991</v>
      </c>
      <c r="AI105" s="7">
        <v>4.008</v>
      </c>
      <c r="AJ105" s="7">
        <v>0</v>
      </c>
      <c r="AK105" s="7">
        <v>1.196</v>
      </c>
      <c r="AL105" s="7">
        <v>50.04</v>
      </c>
      <c r="AM105" s="7">
        <v>38.325000000000003</v>
      </c>
      <c r="AN105" s="7">
        <v>0.76600000000000001</v>
      </c>
      <c r="AO105" s="7">
        <v>27.645</v>
      </c>
      <c r="AP105" s="7">
        <v>5.9119999999999999</v>
      </c>
      <c r="AQ105" s="7">
        <v>16.483000000000001</v>
      </c>
    </row>
    <row r="106" spans="1:43" x14ac:dyDescent="0.25">
      <c r="A106" t="s">
        <v>239</v>
      </c>
      <c r="B106" s="22" t="s">
        <v>825</v>
      </c>
      <c r="C106" s="22" t="s">
        <v>283</v>
      </c>
      <c r="D106" s="22" t="s">
        <v>286</v>
      </c>
      <c r="E106" s="21">
        <v>2018</v>
      </c>
      <c r="F106" s="7">
        <v>201.59564181101001</v>
      </c>
      <c r="G106" s="7">
        <v>9.923</v>
      </c>
      <c r="H106" s="7">
        <v>2.2229999999999999</v>
      </c>
      <c r="I106" s="7">
        <v>2.3719999999999999</v>
      </c>
      <c r="J106" s="7">
        <v>0.95899999999999996</v>
      </c>
      <c r="K106" s="7">
        <v>2.7440000000000002</v>
      </c>
      <c r="L106" s="7">
        <v>0.14599999999999999</v>
      </c>
      <c r="M106" s="7">
        <v>2.3559999999999999</v>
      </c>
      <c r="N106" s="7">
        <v>0</v>
      </c>
      <c r="O106" s="7">
        <v>0</v>
      </c>
      <c r="P106" s="7">
        <v>4.4480000000000004</v>
      </c>
      <c r="Q106" s="7">
        <v>1.0900000000000001</v>
      </c>
      <c r="R106" s="7">
        <v>0.122</v>
      </c>
      <c r="S106" s="7">
        <v>11.593999999999999</v>
      </c>
      <c r="T106" s="7">
        <v>5.4740000000000002</v>
      </c>
      <c r="U106" s="7">
        <v>6.6420000000000003</v>
      </c>
      <c r="V106" s="7">
        <v>0.36299999999999999</v>
      </c>
      <c r="W106" s="7">
        <v>3.202</v>
      </c>
      <c r="X106" s="7">
        <v>3.6989999999999998</v>
      </c>
      <c r="Y106" s="7">
        <v>0.22</v>
      </c>
      <c r="Z106" s="7">
        <v>0</v>
      </c>
      <c r="AA106" s="7">
        <v>5.0549999999999997</v>
      </c>
      <c r="AB106" s="7">
        <v>0.754</v>
      </c>
      <c r="AC106" s="7">
        <v>0.52200000000000002</v>
      </c>
      <c r="AD106" s="7">
        <v>0.26200000000000001</v>
      </c>
      <c r="AE106" s="7">
        <v>9.1809999999999992</v>
      </c>
      <c r="AF106" s="7">
        <v>17.423999999999999</v>
      </c>
      <c r="AG106" s="7">
        <v>0</v>
      </c>
      <c r="AH106" s="7">
        <v>9.8089999999999993</v>
      </c>
      <c r="AI106" s="7">
        <v>5.7539999999999996</v>
      </c>
      <c r="AJ106" s="7">
        <v>0</v>
      </c>
      <c r="AK106" s="7">
        <v>1.6579999999999999</v>
      </c>
      <c r="AL106" s="7">
        <v>57.576999999999998</v>
      </c>
      <c r="AM106" s="7">
        <v>48.761000000000003</v>
      </c>
      <c r="AN106" s="7">
        <v>0.84699999999999998</v>
      </c>
      <c r="AO106" s="7">
        <v>32.405999999999999</v>
      </c>
      <c r="AP106" s="7">
        <v>6.8040000000000003</v>
      </c>
      <c r="AQ106" s="7">
        <v>18.367000000000001</v>
      </c>
    </row>
    <row r="107" spans="1:43" x14ac:dyDescent="0.25">
      <c r="A107" t="s">
        <v>240</v>
      </c>
      <c r="B107" s="22" t="s">
        <v>825</v>
      </c>
      <c r="C107" s="22" t="s">
        <v>283</v>
      </c>
      <c r="D107" s="22" t="s">
        <v>286</v>
      </c>
      <c r="E107" s="21">
        <v>2018</v>
      </c>
      <c r="F107" s="7">
        <v>175.281720762036</v>
      </c>
      <c r="G107" s="7">
        <v>10.169</v>
      </c>
      <c r="H107" s="7">
        <v>3.044</v>
      </c>
      <c r="I107" s="7">
        <v>2.0830000000000002</v>
      </c>
      <c r="J107" s="7">
        <v>0.84299999999999997</v>
      </c>
      <c r="K107" s="7">
        <v>2.2959999999999998</v>
      </c>
      <c r="L107" s="7">
        <v>0.222</v>
      </c>
      <c r="M107" s="7">
        <v>2.1720000000000002</v>
      </c>
      <c r="N107" s="7">
        <v>0</v>
      </c>
      <c r="O107" s="7">
        <v>0</v>
      </c>
      <c r="P107" s="7">
        <v>4.4800000000000004</v>
      </c>
      <c r="Q107" s="7">
        <v>0.98899999999999999</v>
      </c>
      <c r="R107" s="7">
        <v>0.108</v>
      </c>
      <c r="S107" s="7">
        <v>10.452</v>
      </c>
      <c r="T107" s="7">
        <v>5.1580000000000004</v>
      </c>
      <c r="U107" s="7">
        <v>5.6310000000000002</v>
      </c>
      <c r="V107" s="7">
        <v>0.34300000000000003</v>
      </c>
      <c r="W107" s="7">
        <v>3.1389999999999998</v>
      </c>
      <c r="X107" s="7">
        <v>3.6619999999999999</v>
      </c>
      <c r="Y107" s="7">
        <v>0.224</v>
      </c>
      <c r="Z107" s="7">
        <v>0</v>
      </c>
      <c r="AA107" s="7">
        <v>4.5190000000000001</v>
      </c>
      <c r="AB107" s="7">
        <v>0.6</v>
      </c>
      <c r="AC107" s="7">
        <v>0.54200000000000004</v>
      </c>
      <c r="AD107" s="7">
        <v>0.27600000000000002</v>
      </c>
      <c r="AE107" s="7">
        <v>5.0110000000000001</v>
      </c>
      <c r="AF107" s="7">
        <v>13.413</v>
      </c>
      <c r="AG107" s="7">
        <v>0</v>
      </c>
      <c r="AH107" s="7">
        <v>8.2230000000000008</v>
      </c>
      <c r="AI107" s="7">
        <v>4.1230000000000002</v>
      </c>
      <c r="AJ107" s="7">
        <v>0</v>
      </c>
      <c r="AK107" s="7">
        <v>1.4830000000000001</v>
      </c>
      <c r="AL107" s="7">
        <v>55.015000000000001</v>
      </c>
      <c r="AM107" s="7">
        <v>36.707000000000001</v>
      </c>
      <c r="AN107" s="7">
        <v>0.66700000000000004</v>
      </c>
      <c r="AO107" s="7">
        <v>29.706</v>
      </c>
      <c r="AP107" s="7">
        <v>6.6520000000000001</v>
      </c>
      <c r="AQ107" s="7">
        <v>18.657</v>
      </c>
    </row>
    <row r="108" spans="1:43" x14ac:dyDescent="0.25">
      <c r="A108" t="s">
        <v>241</v>
      </c>
      <c r="B108" s="22" t="s">
        <v>825</v>
      </c>
      <c r="C108" s="22" t="s">
        <v>283</v>
      </c>
      <c r="D108" s="22" t="s">
        <v>286</v>
      </c>
      <c r="E108" s="21">
        <v>2018</v>
      </c>
      <c r="F108" s="7">
        <v>223.13242902423599</v>
      </c>
      <c r="G108" s="7">
        <v>11.215</v>
      </c>
      <c r="H108" s="7">
        <v>3.0139999999999998</v>
      </c>
      <c r="I108" s="7">
        <v>2.2440000000000002</v>
      </c>
      <c r="J108" s="7">
        <v>1.385</v>
      </c>
      <c r="K108" s="7">
        <v>2.8090000000000002</v>
      </c>
      <c r="L108" s="7">
        <v>0.29299999999999998</v>
      </c>
      <c r="M108" s="7">
        <v>2.5059999999999998</v>
      </c>
      <c r="N108" s="7">
        <v>0.3</v>
      </c>
      <c r="O108" s="7">
        <v>0</v>
      </c>
      <c r="P108" s="7">
        <v>5.2110000000000003</v>
      </c>
      <c r="Q108" s="7">
        <v>1.325</v>
      </c>
      <c r="R108" s="7">
        <v>0.26100000000000001</v>
      </c>
      <c r="S108" s="7">
        <v>11.212</v>
      </c>
      <c r="T108" s="7">
        <v>6.1950000000000003</v>
      </c>
      <c r="U108" s="7">
        <v>6.63</v>
      </c>
      <c r="V108" s="7">
        <v>0.47299999999999998</v>
      </c>
      <c r="W108" s="7">
        <v>3.4279999999999999</v>
      </c>
      <c r="X108" s="7">
        <v>4.1109999999999998</v>
      </c>
      <c r="Y108" s="7">
        <v>0.29799999999999999</v>
      </c>
      <c r="Z108" s="7">
        <v>0</v>
      </c>
      <c r="AA108" s="7">
        <v>7.0679999999999996</v>
      </c>
      <c r="AB108" s="7">
        <v>1.0209999999999999</v>
      </c>
      <c r="AC108" s="7">
        <v>0.72199999999999998</v>
      </c>
      <c r="AD108" s="7">
        <v>0.34399999999999997</v>
      </c>
      <c r="AE108" s="7">
        <v>9.5630000000000006</v>
      </c>
      <c r="AF108" s="7">
        <v>17.838999999999999</v>
      </c>
      <c r="AG108" s="7">
        <v>0</v>
      </c>
      <c r="AH108" s="7">
        <v>14.554</v>
      </c>
      <c r="AI108" s="7">
        <v>0</v>
      </c>
      <c r="AJ108" s="7">
        <v>6.5490000000000004</v>
      </c>
      <c r="AK108" s="7">
        <v>2.0590000000000002</v>
      </c>
      <c r="AL108" s="7">
        <v>62.91</v>
      </c>
      <c r="AM108" s="7">
        <v>57.66</v>
      </c>
      <c r="AN108" s="7">
        <v>0.91700000000000004</v>
      </c>
      <c r="AO108" s="7">
        <v>33.933</v>
      </c>
      <c r="AP108" s="7">
        <v>8.0169999999999995</v>
      </c>
      <c r="AQ108" s="7">
        <v>20.96</v>
      </c>
    </row>
    <row r="109" spans="1:43" x14ac:dyDescent="0.25">
      <c r="A109" t="s">
        <v>264</v>
      </c>
      <c r="B109" s="22" t="s">
        <v>826</v>
      </c>
      <c r="C109" s="22" t="s">
        <v>283</v>
      </c>
      <c r="D109" s="22" t="s">
        <v>286</v>
      </c>
      <c r="E109" s="21">
        <v>2018</v>
      </c>
      <c r="F109" s="7">
        <v>164.79135280096901</v>
      </c>
      <c r="G109" s="7">
        <v>8.4809999999999999</v>
      </c>
      <c r="H109" s="7">
        <v>2.681</v>
      </c>
      <c r="I109" s="7">
        <v>1.81</v>
      </c>
      <c r="J109" s="7">
        <v>0.67300000000000004</v>
      </c>
      <c r="K109" s="7">
        <v>2.375</v>
      </c>
      <c r="L109" s="7">
        <v>8.5999999999999993E-2</v>
      </c>
      <c r="M109" s="7">
        <v>1.776</v>
      </c>
      <c r="N109" s="7">
        <v>0</v>
      </c>
      <c r="O109" s="7">
        <v>0</v>
      </c>
      <c r="P109" s="7">
        <v>3.254</v>
      </c>
      <c r="Q109" s="7">
        <v>0.94499999999999995</v>
      </c>
      <c r="R109" s="7">
        <v>0</v>
      </c>
      <c r="S109" s="7">
        <v>8.0589999999999993</v>
      </c>
      <c r="T109" s="7">
        <v>4.4829999999999997</v>
      </c>
      <c r="U109" s="7">
        <v>5.3159999999999998</v>
      </c>
      <c r="V109" s="7">
        <v>0.27200000000000002</v>
      </c>
      <c r="W109" s="7">
        <v>2.4369999999999998</v>
      </c>
      <c r="X109" s="7">
        <v>3.2050000000000001</v>
      </c>
      <c r="Y109" s="7">
        <v>0.152</v>
      </c>
      <c r="Z109" s="7">
        <v>0</v>
      </c>
      <c r="AA109" s="7">
        <v>4.3410000000000002</v>
      </c>
      <c r="AB109" s="7">
        <v>0.38700000000000001</v>
      </c>
      <c r="AC109" s="7">
        <v>0.504</v>
      </c>
      <c r="AD109" s="7">
        <v>0.20399999999999999</v>
      </c>
      <c r="AE109" s="7">
        <v>7.64</v>
      </c>
      <c r="AF109" s="7">
        <v>17.649999999999999</v>
      </c>
      <c r="AG109" s="7">
        <v>0</v>
      </c>
      <c r="AH109" s="7">
        <v>9.0350000000000001</v>
      </c>
      <c r="AI109" s="7">
        <v>0</v>
      </c>
      <c r="AJ109" s="7">
        <v>2.7269999999999999</v>
      </c>
      <c r="AK109" s="7">
        <v>2.4700000000000002</v>
      </c>
      <c r="AL109" s="7">
        <v>46.005000000000003</v>
      </c>
      <c r="AM109" s="7">
        <v>42.488</v>
      </c>
      <c r="AN109" s="7">
        <v>0.92400000000000004</v>
      </c>
      <c r="AO109" s="7">
        <v>24.869</v>
      </c>
      <c r="AP109" s="7">
        <v>5.03</v>
      </c>
      <c r="AQ109" s="7">
        <v>16.106000000000002</v>
      </c>
    </row>
    <row r="110" spans="1:43" x14ac:dyDescent="0.25">
      <c r="A110" t="s">
        <v>242</v>
      </c>
      <c r="B110" s="22" t="s">
        <v>826</v>
      </c>
      <c r="C110" s="22" t="s">
        <v>283</v>
      </c>
      <c r="D110" s="22" t="s">
        <v>286</v>
      </c>
      <c r="E110" s="21">
        <v>2018</v>
      </c>
      <c r="F110" s="7">
        <v>179.4157318469</v>
      </c>
      <c r="G110" s="7">
        <v>9.2520000000000007</v>
      </c>
      <c r="H110" s="7">
        <v>2.806</v>
      </c>
      <c r="I110" s="7">
        <v>2.1379999999999999</v>
      </c>
      <c r="J110" s="7">
        <v>0.73499999999999999</v>
      </c>
      <c r="K110" s="7">
        <v>2.6139999999999999</v>
      </c>
      <c r="L110" s="7">
        <v>9.0999999999999998E-2</v>
      </c>
      <c r="M110" s="7">
        <v>2.0489999999999999</v>
      </c>
      <c r="N110" s="7">
        <v>0</v>
      </c>
      <c r="O110" s="7">
        <v>0</v>
      </c>
      <c r="P110" s="7">
        <v>3.3570000000000002</v>
      </c>
      <c r="Q110" s="7">
        <v>0.94799999999999995</v>
      </c>
      <c r="R110" s="7">
        <v>7.6999999999999999E-2</v>
      </c>
      <c r="S110" s="7">
        <v>8.8390000000000004</v>
      </c>
      <c r="T110" s="7">
        <v>5.3810000000000002</v>
      </c>
      <c r="U110" s="7">
        <v>6.05</v>
      </c>
      <c r="V110" s="7">
        <v>0.28599999999999998</v>
      </c>
      <c r="W110" s="7">
        <v>2.7189999999999999</v>
      </c>
      <c r="X110" s="7">
        <v>3.5790000000000002</v>
      </c>
      <c r="Y110" s="7">
        <v>0.151</v>
      </c>
      <c r="Z110" s="7">
        <v>0</v>
      </c>
      <c r="AA110" s="7">
        <v>5.8609999999999998</v>
      </c>
      <c r="AB110" s="7">
        <v>0.47699999999999998</v>
      </c>
      <c r="AC110" s="7">
        <v>0.628</v>
      </c>
      <c r="AD110" s="7">
        <v>0.311</v>
      </c>
      <c r="AE110" s="7">
        <v>5.8540000000000001</v>
      </c>
      <c r="AF110" s="7">
        <v>17.16</v>
      </c>
      <c r="AG110" s="7">
        <v>0</v>
      </c>
      <c r="AH110" s="7">
        <v>10.694000000000001</v>
      </c>
      <c r="AI110" s="7">
        <v>0</v>
      </c>
      <c r="AJ110" s="7">
        <v>3.1829999999999998</v>
      </c>
      <c r="AK110" s="7">
        <v>1.9510000000000001</v>
      </c>
      <c r="AL110" s="7">
        <v>51.072000000000003</v>
      </c>
      <c r="AM110" s="7">
        <v>44.167999999999999</v>
      </c>
      <c r="AN110" s="7">
        <v>0.86499999999999999</v>
      </c>
      <c r="AO110" s="7">
        <v>28.03</v>
      </c>
      <c r="AP110" s="7">
        <v>5.4059999999999997</v>
      </c>
      <c r="AQ110" s="7">
        <v>17.635999999999999</v>
      </c>
    </row>
    <row r="111" spans="1:43" x14ac:dyDescent="0.25">
      <c r="A111" t="s">
        <v>243</v>
      </c>
      <c r="B111" s="22" t="s">
        <v>826</v>
      </c>
      <c r="C111" s="22" t="s">
        <v>283</v>
      </c>
      <c r="D111" s="22" t="s">
        <v>286</v>
      </c>
      <c r="E111" s="21">
        <v>2018</v>
      </c>
      <c r="F111" s="7">
        <v>126.768351336051</v>
      </c>
      <c r="G111" s="7">
        <v>7.1</v>
      </c>
      <c r="H111" s="7">
        <v>2.6749999999999998</v>
      </c>
      <c r="I111" s="7">
        <v>1.329</v>
      </c>
      <c r="J111" s="7">
        <v>0.42299999999999999</v>
      </c>
      <c r="K111" s="7">
        <v>1.6990000000000001</v>
      </c>
      <c r="L111" s="7">
        <v>8.3000000000000004E-2</v>
      </c>
      <c r="M111" s="7">
        <v>1.4359999999999999</v>
      </c>
      <c r="N111" s="7">
        <v>0</v>
      </c>
      <c r="O111" s="7">
        <v>0</v>
      </c>
      <c r="P111" s="7">
        <v>2.859</v>
      </c>
      <c r="Q111" s="7">
        <v>0.63500000000000001</v>
      </c>
      <c r="R111" s="7">
        <v>0</v>
      </c>
      <c r="S111" s="7">
        <v>6.5839999999999996</v>
      </c>
      <c r="T111" s="7">
        <v>3.4249999999999998</v>
      </c>
      <c r="U111" s="7">
        <v>4.3319999999999999</v>
      </c>
      <c r="V111" s="7">
        <v>0.21299999999999999</v>
      </c>
      <c r="W111" s="7">
        <v>2.165</v>
      </c>
      <c r="X111" s="7">
        <v>2.6739999999999999</v>
      </c>
      <c r="Y111" s="7">
        <v>0.106</v>
      </c>
      <c r="Z111" s="7">
        <v>0</v>
      </c>
      <c r="AA111" s="7">
        <v>4.6319999999999997</v>
      </c>
      <c r="AB111" s="7">
        <v>0.52600000000000002</v>
      </c>
      <c r="AC111" s="7">
        <v>0.34399999999999997</v>
      </c>
      <c r="AD111" s="7">
        <v>0.20100000000000001</v>
      </c>
      <c r="AE111" s="7">
        <v>4.3949999999999996</v>
      </c>
      <c r="AF111" s="7">
        <v>11.332000000000001</v>
      </c>
      <c r="AG111" s="7">
        <v>0</v>
      </c>
      <c r="AH111" s="7">
        <v>6.8120000000000003</v>
      </c>
      <c r="AI111" s="7">
        <v>2.2330000000000001</v>
      </c>
      <c r="AJ111" s="7">
        <v>0</v>
      </c>
      <c r="AK111" s="7">
        <v>1.7629999999999999</v>
      </c>
      <c r="AL111" s="7">
        <v>37.738</v>
      </c>
      <c r="AM111" s="7">
        <v>30.475000000000001</v>
      </c>
      <c r="AN111" s="7">
        <v>0.80800000000000005</v>
      </c>
      <c r="AO111" s="7">
        <v>20.134</v>
      </c>
      <c r="AP111" s="7">
        <v>4.2949999999999999</v>
      </c>
      <c r="AQ111" s="7">
        <v>13.308999999999999</v>
      </c>
    </row>
    <row r="112" spans="1:43" x14ac:dyDescent="0.25">
      <c r="A112" t="s">
        <v>244</v>
      </c>
      <c r="B112" s="22" t="s">
        <v>826</v>
      </c>
      <c r="C112" s="22" t="s">
        <v>283</v>
      </c>
      <c r="D112" s="22" t="s">
        <v>286</v>
      </c>
      <c r="E112" s="21">
        <v>2018</v>
      </c>
      <c r="F112" s="7">
        <v>194.155054622937</v>
      </c>
      <c r="G112" s="7">
        <v>8.5229999999999997</v>
      </c>
      <c r="H112" s="7">
        <v>2.8460000000000001</v>
      </c>
      <c r="I112" s="7">
        <v>2.202</v>
      </c>
      <c r="J112" s="7">
        <v>0.82699999999999996</v>
      </c>
      <c r="K112" s="7">
        <v>3.0190000000000001</v>
      </c>
      <c r="L112" s="7">
        <v>0</v>
      </c>
      <c r="M112" s="7">
        <v>2.0409999999999999</v>
      </c>
      <c r="N112" s="7">
        <v>0</v>
      </c>
      <c r="O112" s="7">
        <v>0</v>
      </c>
      <c r="P112" s="7">
        <v>3.2709999999999999</v>
      </c>
      <c r="Q112" s="7">
        <v>1.038</v>
      </c>
      <c r="R112" s="7">
        <v>9.1999999999999998E-2</v>
      </c>
      <c r="S112" s="7">
        <v>8.3699999999999992</v>
      </c>
      <c r="T112" s="7">
        <v>5.4240000000000004</v>
      </c>
      <c r="U112" s="7">
        <v>6.0759999999999996</v>
      </c>
      <c r="V112" s="7">
        <v>0.3</v>
      </c>
      <c r="W112" s="7">
        <v>2.738</v>
      </c>
      <c r="X112" s="7">
        <v>3.8340000000000001</v>
      </c>
      <c r="Y112" s="7">
        <v>0.16500000000000001</v>
      </c>
      <c r="Z112" s="7">
        <v>0</v>
      </c>
      <c r="AA112" s="7">
        <v>11.01</v>
      </c>
      <c r="AB112" s="7">
        <v>0.57599999999999996</v>
      </c>
      <c r="AC112" s="7">
        <v>0.67500000000000004</v>
      </c>
      <c r="AD112" s="7">
        <v>0.28899999999999998</v>
      </c>
      <c r="AE112" s="7">
        <v>11.545</v>
      </c>
      <c r="AF112" s="7">
        <v>23.51</v>
      </c>
      <c r="AG112" s="7">
        <v>0</v>
      </c>
      <c r="AH112" s="7">
        <v>11.935</v>
      </c>
      <c r="AI112" s="7">
        <v>0</v>
      </c>
      <c r="AJ112" s="7">
        <v>2.895</v>
      </c>
      <c r="AK112" s="7">
        <v>1.526</v>
      </c>
      <c r="AL112" s="7">
        <v>50.765999999999998</v>
      </c>
      <c r="AM112" s="7">
        <v>62.435000000000002</v>
      </c>
      <c r="AN112" s="7">
        <v>1.23</v>
      </c>
      <c r="AO112" s="7">
        <v>28.036999999999999</v>
      </c>
      <c r="AP112" s="7">
        <v>5.3120000000000003</v>
      </c>
      <c r="AQ112" s="7">
        <v>17.417000000000002</v>
      </c>
    </row>
    <row r="113" spans="1:43" x14ac:dyDescent="0.25">
      <c r="A113" t="s">
        <v>245</v>
      </c>
      <c r="B113" s="22" t="s">
        <v>824</v>
      </c>
      <c r="C113" s="22" t="s">
        <v>283</v>
      </c>
      <c r="D113" s="22" t="s">
        <v>286</v>
      </c>
      <c r="E113" s="21">
        <v>2018</v>
      </c>
      <c r="F113" s="7">
        <v>175.76272506319299</v>
      </c>
      <c r="G113" s="7">
        <v>8.3529999999999998</v>
      </c>
      <c r="H113" s="7">
        <v>4.7469999999999999</v>
      </c>
      <c r="I113" s="7">
        <v>1.839</v>
      </c>
      <c r="J113" s="7">
        <v>0.81299999999999994</v>
      </c>
      <c r="K113" s="7">
        <v>3.048</v>
      </c>
      <c r="L113" s="7">
        <v>0.24399999999999999</v>
      </c>
      <c r="M113" s="7">
        <v>2.0680000000000001</v>
      </c>
      <c r="N113" s="7">
        <v>0</v>
      </c>
      <c r="O113" s="7">
        <v>0</v>
      </c>
      <c r="P113" s="7">
        <v>4.0620000000000003</v>
      </c>
      <c r="Q113" s="7">
        <v>0.76500000000000001</v>
      </c>
      <c r="R113" s="7">
        <v>0</v>
      </c>
      <c r="S113" s="7">
        <v>7.117</v>
      </c>
      <c r="T113" s="7">
        <v>4.2320000000000002</v>
      </c>
      <c r="U113" s="7">
        <v>5.5279999999999996</v>
      </c>
      <c r="V113" s="7">
        <v>0.27200000000000002</v>
      </c>
      <c r="W113" s="7">
        <v>2.7989999999999999</v>
      </c>
      <c r="X113" s="7">
        <v>3.6030000000000002</v>
      </c>
      <c r="Y113" s="7">
        <v>0.156</v>
      </c>
      <c r="Z113" s="7">
        <v>0</v>
      </c>
      <c r="AA113" s="7">
        <v>17.722000000000001</v>
      </c>
      <c r="AB113" s="7">
        <v>0.78800000000000003</v>
      </c>
      <c r="AC113" s="7">
        <v>0.39300000000000002</v>
      </c>
      <c r="AD113" s="7">
        <v>0.13500000000000001</v>
      </c>
      <c r="AE113" s="7">
        <v>5.9980000000000002</v>
      </c>
      <c r="AF113" s="7">
        <v>16.145</v>
      </c>
      <c r="AG113" s="7">
        <v>0</v>
      </c>
      <c r="AH113" s="7">
        <v>12.051</v>
      </c>
      <c r="AI113" s="7">
        <v>0</v>
      </c>
      <c r="AJ113" s="7">
        <v>2.5550000000000002</v>
      </c>
      <c r="AK113" s="7">
        <v>3.4849999999999999</v>
      </c>
      <c r="AL113" s="7">
        <v>49.646000000000001</v>
      </c>
      <c r="AM113" s="7">
        <v>55.786999999999999</v>
      </c>
      <c r="AN113" s="7">
        <v>1.1240000000000001</v>
      </c>
      <c r="AO113" s="7">
        <v>24.472000000000001</v>
      </c>
      <c r="AP113" s="7">
        <v>6.13</v>
      </c>
      <c r="AQ113" s="7">
        <v>19.044</v>
      </c>
    </row>
    <row r="114" spans="1:43" x14ac:dyDescent="0.25">
      <c r="A114" t="s">
        <v>246</v>
      </c>
      <c r="B114" s="22" t="s">
        <v>824</v>
      </c>
      <c r="C114" s="22" t="s">
        <v>283</v>
      </c>
      <c r="D114" s="22" t="s">
        <v>286</v>
      </c>
      <c r="E114" s="21">
        <v>2018</v>
      </c>
      <c r="F114" s="7">
        <v>156.22916257249</v>
      </c>
      <c r="G114" s="7">
        <v>8.8409999999999993</v>
      </c>
      <c r="H114" s="7">
        <v>4.9989999999999997</v>
      </c>
      <c r="I114" s="7">
        <v>1.6060000000000001</v>
      </c>
      <c r="J114" s="7">
        <v>0.69699999999999995</v>
      </c>
      <c r="K114" s="7">
        <v>2.3820000000000001</v>
      </c>
      <c r="L114" s="7">
        <v>0.17599999999999999</v>
      </c>
      <c r="M114" s="7">
        <v>1.944</v>
      </c>
      <c r="N114" s="7">
        <v>0</v>
      </c>
      <c r="O114" s="7">
        <v>0</v>
      </c>
      <c r="P114" s="7">
        <v>4.7779999999999996</v>
      </c>
      <c r="Q114" s="7">
        <v>0.83699999999999997</v>
      </c>
      <c r="R114" s="7">
        <v>0</v>
      </c>
      <c r="S114" s="7">
        <v>7.4169999999999998</v>
      </c>
      <c r="T114" s="7">
        <v>4.0919999999999996</v>
      </c>
      <c r="U114" s="7">
        <v>5.1159999999999997</v>
      </c>
      <c r="V114" s="7">
        <v>0.26300000000000001</v>
      </c>
      <c r="W114" s="7">
        <v>2.7759999999999998</v>
      </c>
      <c r="X114" s="7">
        <v>3.4329999999999998</v>
      </c>
      <c r="Y114" s="7">
        <v>0.188</v>
      </c>
      <c r="Z114" s="7">
        <v>0</v>
      </c>
      <c r="AA114" s="7">
        <v>9.2629999999999999</v>
      </c>
      <c r="AB114" s="7">
        <v>0.61699999999999999</v>
      </c>
      <c r="AC114" s="7">
        <v>0.42299999999999999</v>
      </c>
      <c r="AD114" s="7">
        <v>0.16900000000000001</v>
      </c>
      <c r="AE114" s="7">
        <v>5.2279999999999998</v>
      </c>
      <c r="AF114" s="7">
        <v>12.29</v>
      </c>
      <c r="AG114" s="7">
        <v>0</v>
      </c>
      <c r="AH114" s="7">
        <v>9.5809999999999995</v>
      </c>
      <c r="AI114" s="7">
        <v>0</v>
      </c>
      <c r="AJ114" s="7">
        <v>2.532</v>
      </c>
      <c r="AK114" s="7">
        <v>2.3769999999999998</v>
      </c>
      <c r="AL114" s="7">
        <v>49.545000000000002</v>
      </c>
      <c r="AM114" s="7">
        <v>40.103000000000002</v>
      </c>
      <c r="AN114" s="7">
        <v>0.80900000000000005</v>
      </c>
      <c r="AO114" s="7">
        <v>24.122</v>
      </c>
      <c r="AP114" s="7">
        <v>6.7220000000000004</v>
      </c>
      <c r="AQ114" s="7">
        <v>18.701000000000001</v>
      </c>
    </row>
    <row r="115" spans="1:43" x14ac:dyDescent="0.25">
      <c r="A115" t="s">
        <v>249</v>
      </c>
      <c r="B115" s="22" t="s">
        <v>827</v>
      </c>
      <c r="C115" s="22" t="s">
        <v>283</v>
      </c>
      <c r="D115" s="22" t="s">
        <v>286</v>
      </c>
      <c r="E115" s="21">
        <v>2018</v>
      </c>
      <c r="F115" s="7">
        <v>180.12005873473601</v>
      </c>
      <c r="G115" s="7">
        <v>9.0410000000000004</v>
      </c>
      <c r="H115" s="7">
        <v>1.887</v>
      </c>
      <c r="I115" s="7">
        <v>2.0329999999999999</v>
      </c>
      <c r="J115" s="7">
        <v>0.70699999999999996</v>
      </c>
      <c r="K115" s="7">
        <v>2.3029999999999999</v>
      </c>
      <c r="L115" s="7">
        <v>0.126</v>
      </c>
      <c r="M115" s="7">
        <v>2.145</v>
      </c>
      <c r="N115" s="7">
        <v>0</v>
      </c>
      <c r="O115" s="7">
        <v>0</v>
      </c>
      <c r="P115" s="7">
        <v>3.8079999999999998</v>
      </c>
      <c r="Q115" s="7">
        <v>1.0409999999999999</v>
      </c>
      <c r="R115" s="7">
        <v>0.14599999999999999</v>
      </c>
      <c r="S115" s="7">
        <v>10.356</v>
      </c>
      <c r="T115" s="7">
        <v>5.056</v>
      </c>
      <c r="U115" s="7">
        <v>5.423</v>
      </c>
      <c r="V115" s="7">
        <v>0.33300000000000002</v>
      </c>
      <c r="W115" s="7">
        <v>2.8210000000000002</v>
      </c>
      <c r="X115" s="7">
        <v>3.1579999999999999</v>
      </c>
      <c r="Y115" s="7">
        <v>0.188</v>
      </c>
      <c r="Z115" s="7">
        <v>0</v>
      </c>
      <c r="AA115" s="7">
        <v>4.5369999999999999</v>
      </c>
      <c r="AB115" s="7">
        <v>0.71699999999999997</v>
      </c>
      <c r="AC115" s="7">
        <v>0.45100000000000001</v>
      </c>
      <c r="AD115" s="7">
        <v>0.34699999999999998</v>
      </c>
      <c r="AE115" s="7">
        <v>9.34</v>
      </c>
      <c r="AF115" s="7">
        <v>15.294</v>
      </c>
      <c r="AG115" s="7">
        <v>0</v>
      </c>
      <c r="AH115" s="7">
        <v>10.513</v>
      </c>
      <c r="AI115" s="7">
        <v>4.7210000000000001</v>
      </c>
      <c r="AJ115" s="7">
        <v>0</v>
      </c>
      <c r="AK115" s="7">
        <v>1.405</v>
      </c>
      <c r="AL115" s="7">
        <v>50.572000000000003</v>
      </c>
      <c r="AM115" s="7">
        <v>45.92</v>
      </c>
      <c r="AN115" s="7">
        <v>0.90800000000000003</v>
      </c>
      <c r="AO115" s="7">
        <v>28.521999999999998</v>
      </c>
      <c r="AP115" s="7">
        <v>5.9530000000000003</v>
      </c>
      <c r="AQ115" s="7">
        <v>16.097000000000001</v>
      </c>
    </row>
    <row r="116" spans="1:43" x14ac:dyDescent="0.25">
      <c r="A116" t="s">
        <v>265</v>
      </c>
      <c r="B116" s="22" t="s">
        <v>827</v>
      </c>
      <c r="C116" s="22" t="s">
        <v>283</v>
      </c>
      <c r="D116" s="22" t="s">
        <v>286</v>
      </c>
      <c r="E116" s="21">
        <v>2018</v>
      </c>
      <c r="F116" s="7">
        <v>192.13449158727201</v>
      </c>
      <c r="G116" s="7">
        <v>8.8040000000000003</v>
      </c>
      <c r="H116" s="7">
        <v>1.681</v>
      </c>
      <c r="I116" s="7">
        <v>2.2240000000000002</v>
      </c>
      <c r="J116" s="7">
        <v>0.81799999999999995</v>
      </c>
      <c r="K116" s="7">
        <v>2.4809999999999999</v>
      </c>
      <c r="L116" s="7">
        <v>0.21299999999999999</v>
      </c>
      <c r="M116" s="7">
        <v>2.444</v>
      </c>
      <c r="N116" s="7">
        <v>0.23</v>
      </c>
      <c r="O116" s="7">
        <v>0</v>
      </c>
      <c r="P116" s="7">
        <v>3.7879999999999998</v>
      </c>
      <c r="Q116" s="7">
        <v>1.0029999999999999</v>
      </c>
      <c r="R116" s="7">
        <v>9.6000000000000002E-2</v>
      </c>
      <c r="S116" s="7">
        <v>10.760999999999999</v>
      </c>
      <c r="T116" s="7">
        <v>5.5739999999999998</v>
      </c>
      <c r="U116" s="7">
        <v>6.0149999999999997</v>
      </c>
      <c r="V116" s="7">
        <v>0.372</v>
      </c>
      <c r="W116" s="7">
        <v>3.032</v>
      </c>
      <c r="X116" s="7">
        <v>3.3420000000000001</v>
      </c>
      <c r="Y116" s="7">
        <v>0.23100000000000001</v>
      </c>
      <c r="Z116" s="7">
        <v>0</v>
      </c>
      <c r="AA116" s="7">
        <v>4.8140000000000001</v>
      </c>
      <c r="AB116" s="7">
        <v>0.78900000000000003</v>
      </c>
      <c r="AC116" s="7">
        <v>0.56699999999999995</v>
      </c>
      <c r="AD116" s="7">
        <v>0.32700000000000001</v>
      </c>
      <c r="AE116" s="7">
        <v>10.576000000000001</v>
      </c>
      <c r="AF116" s="7">
        <v>16.038</v>
      </c>
      <c r="AG116" s="7">
        <v>0</v>
      </c>
      <c r="AH116" s="7">
        <v>10.581</v>
      </c>
      <c r="AI116" s="7">
        <v>4.718</v>
      </c>
      <c r="AJ116" s="7">
        <v>0</v>
      </c>
      <c r="AK116" s="7">
        <v>1.786</v>
      </c>
      <c r="AL116" s="7">
        <v>53.109000000000002</v>
      </c>
      <c r="AM116" s="7">
        <v>48.41</v>
      </c>
      <c r="AN116" s="7">
        <v>0.91200000000000003</v>
      </c>
      <c r="AO116" s="7">
        <v>30.425999999999998</v>
      </c>
      <c r="AP116" s="7">
        <v>6.4619999999999997</v>
      </c>
      <c r="AQ116" s="7">
        <v>16.221</v>
      </c>
    </row>
    <row r="117" spans="1:43" x14ac:dyDescent="0.25">
      <c r="A117" t="s">
        <v>266</v>
      </c>
      <c r="B117" s="22" t="s">
        <v>827</v>
      </c>
      <c r="C117" s="22" t="s">
        <v>283</v>
      </c>
      <c r="D117" s="22" t="s">
        <v>286</v>
      </c>
      <c r="E117" s="21">
        <v>2018</v>
      </c>
      <c r="F117" s="7">
        <v>189.000498266889</v>
      </c>
      <c r="G117" s="7">
        <v>8.0329999999999995</v>
      </c>
      <c r="H117" s="7">
        <v>1.585</v>
      </c>
      <c r="I117" s="7">
        <v>2.3029999999999999</v>
      </c>
      <c r="J117" s="7">
        <v>0.69899999999999995</v>
      </c>
      <c r="K117" s="7">
        <v>2.319</v>
      </c>
      <c r="L117" s="7">
        <v>9.9000000000000005E-2</v>
      </c>
      <c r="M117" s="7">
        <v>2.0950000000000002</v>
      </c>
      <c r="N117" s="7">
        <v>0</v>
      </c>
      <c r="O117" s="7">
        <v>0</v>
      </c>
      <c r="P117" s="7">
        <v>2.78</v>
      </c>
      <c r="Q117" s="7">
        <v>0.97899999999999998</v>
      </c>
      <c r="R117" s="7">
        <v>0.28199999999999997</v>
      </c>
      <c r="S117" s="7">
        <v>9.6029999999999998</v>
      </c>
      <c r="T117" s="7">
        <v>5.0490000000000004</v>
      </c>
      <c r="U117" s="7">
        <v>5.6909999999999998</v>
      </c>
      <c r="V117" s="7">
        <v>0.38900000000000001</v>
      </c>
      <c r="W117" s="7">
        <v>2.6680000000000001</v>
      </c>
      <c r="X117" s="7">
        <v>3.0649999999999999</v>
      </c>
      <c r="Y117" s="7">
        <v>0.188</v>
      </c>
      <c r="Z117" s="7">
        <v>0</v>
      </c>
      <c r="AA117" s="7">
        <v>4.234</v>
      </c>
      <c r="AB117" s="7">
        <v>1.1180000000000001</v>
      </c>
      <c r="AC117" s="7">
        <v>0.46600000000000003</v>
      </c>
      <c r="AD117" s="7">
        <v>0.48</v>
      </c>
      <c r="AE117" s="7">
        <v>10.752000000000001</v>
      </c>
      <c r="AF117" s="7">
        <v>16.962</v>
      </c>
      <c r="AG117" s="7">
        <v>0</v>
      </c>
      <c r="AH117" s="7">
        <v>10.579000000000001</v>
      </c>
      <c r="AI117" s="7">
        <v>4.6470000000000002</v>
      </c>
      <c r="AJ117" s="7">
        <v>0</v>
      </c>
      <c r="AK117" s="7">
        <v>2.3290000000000002</v>
      </c>
      <c r="AL117" s="7">
        <v>47.826999999999998</v>
      </c>
      <c r="AM117" s="7">
        <v>49.238</v>
      </c>
      <c r="AN117" s="7">
        <v>1.03</v>
      </c>
      <c r="AO117" s="7">
        <v>27.914000000000001</v>
      </c>
      <c r="AP117" s="7">
        <v>4.875</v>
      </c>
      <c r="AQ117" s="7">
        <v>15.038</v>
      </c>
    </row>
    <row r="118" spans="1:43" x14ac:dyDescent="0.25">
      <c r="A118" t="s">
        <v>250</v>
      </c>
      <c r="B118" s="22" t="s">
        <v>834</v>
      </c>
      <c r="C118" s="22" t="s">
        <v>286</v>
      </c>
      <c r="D118" s="22" t="s">
        <v>286</v>
      </c>
      <c r="E118" s="21">
        <v>2018</v>
      </c>
      <c r="F118" s="7">
        <v>163.67523663565899</v>
      </c>
      <c r="G118" s="7">
        <v>6.4349999999999996</v>
      </c>
      <c r="H118" s="7">
        <v>1.7989999999999999</v>
      </c>
      <c r="I118" s="7">
        <v>1.258</v>
      </c>
      <c r="J118" s="7">
        <v>0.98099999999999998</v>
      </c>
      <c r="K118" s="7">
        <v>1.776</v>
      </c>
      <c r="L118" s="7">
        <v>0</v>
      </c>
      <c r="M118" s="7">
        <v>1.917</v>
      </c>
      <c r="N118" s="7">
        <v>0</v>
      </c>
      <c r="O118" s="7">
        <v>0</v>
      </c>
      <c r="P118" s="7">
        <v>3.073</v>
      </c>
      <c r="Q118" s="7">
        <v>0.75900000000000001</v>
      </c>
      <c r="R118" s="7">
        <v>7.0999999999999994E-2</v>
      </c>
      <c r="S118" s="7">
        <v>5.9710000000000001</v>
      </c>
      <c r="T118" s="7">
        <v>4.1529999999999996</v>
      </c>
      <c r="U118" s="7">
        <v>4.3440000000000003</v>
      </c>
      <c r="V118" s="7">
        <v>0.28699999999999998</v>
      </c>
      <c r="W118" s="7">
        <v>2.12</v>
      </c>
      <c r="X118" s="7">
        <v>2.9260000000000002</v>
      </c>
      <c r="Y118" s="7">
        <v>0.155</v>
      </c>
      <c r="Z118" s="7">
        <v>0</v>
      </c>
      <c r="AA118" s="7">
        <v>4.8920000000000003</v>
      </c>
      <c r="AB118" s="7">
        <v>1.2430000000000001</v>
      </c>
      <c r="AC118" s="7">
        <v>0</v>
      </c>
      <c r="AD118" s="7">
        <v>0.20499999999999999</v>
      </c>
      <c r="AE118" s="7">
        <v>15.119</v>
      </c>
      <c r="AF118" s="7">
        <v>16.387</v>
      </c>
      <c r="AG118" s="7">
        <v>0</v>
      </c>
      <c r="AH118" s="7">
        <v>8.782</v>
      </c>
      <c r="AI118" s="7">
        <v>2.343</v>
      </c>
      <c r="AJ118" s="7">
        <v>0</v>
      </c>
      <c r="AK118" s="7">
        <v>2.3410000000000002</v>
      </c>
      <c r="AL118" s="7">
        <v>38.024999999999999</v>
      </c>
      <c r="AM118" s="7">
        <v>48.970999999999997</v>
      </c>
      <c r="AN118" s="7">
        <v>1.288</v>
      </c>
      <c r="AO118" s="7">
        <v>20.786000000000001</v>
      </c>
      <c r="AP118" s="7">
        <v>4.99</v>
      </c>
      <c r="AQ118" s="7">
        <v>12.249000000000001</v>
      </c>
    </row>
    <row r="119" spans="1:43" x14ac:dyDescent="0.25">
      <c r="A119" t="s">
        <v>251</v>
      </c>
      <c r="B119" s="22" t="s">
        <v>834</v>
      </c>
      <c r="C119" s="22" t="s">
        <v>286</v>
      </c>
      <c r="D119" s="22" t="s">
        <v>286</v>
      </c>
      <c r="E119" s="21">
        <v>2018</v>
      </c>
      <c r="F119" s="7">
        <v>164.84926387003199</v>
      </c>
      <c r="G119" s="7">
        <v>6.2480000000000002</v>
      </c>
      <c r="H119" s="7">
        <v>1.554</v>
      </c>
      <c r="I119" s="7">
        <v>1.28</v>
      </c>
      <c r="J119" s="7">
        <v>0.86299999999999999</v>
      </c>
      <c r="K119" s="7">
        <v>1.851</v>
      </c>
      <c r="L119" s="7">
        <v>0</v>
      </c>
      <c r="M119" s="7">
        <v>1.996</v>
      </c>
      <c r="N119" s="7">
        <v>0</v>
      </c>
      <c r="O119" s="7">
        <v>0</v>
      </c>
      <c r="P119" s="7">
        <v>3.1269999999999998</v>
      </c>
      <c r="Q119" s="7">
        <v>0.78400000000000003</v>
      </c>
      <c r="R119" s="7">
        <v>4.9000000000000002E-2</v>
      </c>
      <c r="S119" s="7">
        <v>6.1420000000000003</v>
      </c>
      <c r="T119" s="7">
        <v>4.4210000000000003</v>
      </c>
      <c r="U119" s="7">
        <v>4.6230000000000002</v>
      </c>
      <c r="V119" s="7">
        <v>0.23899999999999999</v>
      </c>
      <c r="W119" s="7">
        <v>2.1150000000000002</v>
      </c>
      <c r="X119" s="7">
        <v>2.8149999999999999</v>
      </c>
      <c r="Y119" s="7">
        <v>0.127</v>
      </c>
      <c r="Z119" s="7">
        <v>0</v>
      </c>
      <c r="AA119" s="7">
        <v>5.61</v>
      </c>
      <c r="AB119" s="7">
        <v>0.45600000000000002</v>
      </c>
      <c r="AC119" s="7">
        <v>0.49</v>
      </c>
      <c r="AD119" s="7">
        <v>0</v>
      </c>
      <c r="AE119" s="7">
        <v>14.375999999999999</v>
      </c>
      <c r="AF119" s="7">
        <v>16.456</v>
      </c>
      <c r="AG119" s="7">
        <v>0</v>
      </c>
      <c r="AH119" s="7">
        <v>10.97</v>
      </c>
      <c r="AI119" s="7">
        <v>3.0539999999999998</v>
      </c>
      <c r="AJ119" s="7">
        <v>0</v>
      </c>
      <c r="AK119" s="7">
        <v>1.6930000000000001</v>
      </c>
      <c r="AL119" s="7">
        <v>38.234000000000002</v>
      </c>
      <c r="AM119" s="7">
        <v>51.411999999999999</v>
      </c>
      <c r="AN119" s="7">
        <v>1.345</v>
      </c>
      <c r="AO119" s="7">
        <v>21.315000000000001</v>
      </c>
      <c r="AP119" s="7">
        <v>5.1230000000000002</v>
      </c>
      <c r="AQ119" s="7">
        <v>11.795999999999999</v>
      </c>
    </row>
    <row r="120" spans="1:43" x14ac:dyDescent="0.25">
      <c r="A120" t="s">
        <v>252</v>
      </c>
      <c r="B120" s="22" t="s">
        <v>834</v>
      </c>
      <c r="C120" s="22" t="s">
        <v>286</v>
      </c>
      <c r="D120" s="22" t="s">
        <v>286</v>
      </c>
      <c r="E120" s="21">
        <v>2018</v>
      </c>
      <c r="F120" s="7">
        <v>137.87096467302899</v>
      </c>
      <c r="G120" s="7">
        <v>5.9539999999999997</v>
      </c>
      <c r="H120" s="7">
        <v>1.548</v>
      </c>
      <c r="I120" s="7">
        <v>1.0660000000000001</v>
      </c>
      <c r="J120" s="7">
        <v>0.67500000000000004</v>
      </c>
      <c r="K120" s="7">
        <v>1.534</v>
      </c>
      <c r="L120" s="7">
        <v>0</v>
      </c>
      <c r="M120" s="7">
        <v>1.716</v>
      </c>
      <c r="N120" s="7">
        <v>0</v>
      </c>
      <c r="O120" s="7">
        <v>0</v>
      </c>
      <c r="P120" s="7">
        <v>2.61</v>
      </c>
      <c r="Q120" s="7">
        <v>0.54800000000000004</v>
      </c>
      <c r="R120" s="7">
        <v>0</v>
      </c>
      <c r="S120" s="7">
        <v>5.0599999999999996</v>
      </c>
      <c r="T120" s="7">
        <v>3.1659999999999999</v>
      </c>
      <c r="U120" s="7">
        <v>3.62</v>
      </c>
      <c r="V120" s="7">
        <v>0.186</v>
      </c>
      <c r="W120" s="7">
        <v>1.861</v>
      </c>
      <c r="X120" s="7">
        <v>2.2829999999999999</v>
      </c>
      <c r="Y120" s="7">
        <v>0.11</v>
      </c>
      <c r="Z120" s="7">
        <v>0</v>
      </c>
      <c r="AA120" s="7">
        <v>8.1259999999999994</v>
      </c>
      <c r="AB120" s="7">
        <v>0.39200000000000002</v>
      </c>
      <c r="AC120" s="7">
        <v>0.39</v>
      </c>
      <c r="AD120" s="7">
        <v>0.15</v>
      </c>
      <c r="AE120" s="7">
        <v>8.4339999999999993</v>
      </c>
      <c r="AF120" s="7">
        <v>13.353999999999999</v>
      </c>
      <c r="AG120" s="7">
        <v>0</v>
      </c>
      <c r="AH120" s="7">
        <v>8.6530000000000005</v>
      </c>
      <c r="AI120" s="7">
        <v>2.7130000000000001</v>
      </c>
      <c r="AJ120" s="7">
        <v>0</v>
      </c>
      <c r="AK120" s="7">
        <v>1.39</v>
      </c>
      <c r="AL120" s="7">
        <v>31.937000000000001</v>
      </c>
      <c r="AM120" s="7">
        <v>42.212000000000003</v>
      </c>
      <c r="AN120" s="7">
        <v>1.3220000000000001</v>
      </c>
      <c r="AO120" s="7">
        <v>16.834</v>
      </c>
      <c r="AP120" s="7">
        <v>4.3259999999999996</v>
      </c>
      <c r="AQ120" s="7">
        <v>10.776999999999999</v>
      </c>
    </row>
    <row r="121" spans="1:43" x14ac:dyDescent="0.25">
      <c r="A121" t="s">
        <v>253</v>
      </c>
      <c r="B121" s="22" t="s">
        <v>834</v>
      </c>
      <c r="C121" s="22" t="s">
        <v>286</v>
      </c>
      <c r="D121" s="22" t="s">
        <v>286</v>
      </c>
      <c r="E121" s="21">
        <v>2018</v>
      </c>
      <c r="F121" s="7">
        <v>197.46201670520699</v>
      </c>
      <c r="G121" s="7">
        <v>9.1059999999999999</v>
      </c>
      <c r="H121" s="7">
        <v>2.2629999999999999</v>
      </c>
      <c r="I121" s="7">
        <v>1.7869999999999999</v>
      </c>
      <c r="J121" s="7">
        <v>1.337</v>
      </c>
      <c r="K121" s="7">
        <v>2.504</v>
      </c>
      <c r="L121" s="7">
        <v>0.159</v>
      </c>
      <c r="M121" s="7">
        <v>2.5979999999999999</v>
      </c>
      <c r="N121" s="7">
        <v>0</v>
      </c>
      <c r="O121" s="7">
        <v>0</v>
      </c>
      <c r="P121" s="7">
        <v>4.306</v>
      </c>
      <c r="Q121" s="7">
        <v>1.0069999999999999</v>
      </c>
      <c r="R121" s="7">
        <v>0</v>
      </c>
      <c r="S121" s="7">
        <v>7.8730000000000002</v>
      </c>
      <c r="T121" s="7">
        <v>5.1440000000000001</v>
      </c>
      <c r="U121" s="7">
        <v>5.9</v>
      </c>
      <c r="V121" s="7">
        <v>0.32500000000000001</v>
      </c>
      <c r="W121" s="7">
        <v>2.798</v>
      </c>
      <c r="X121" s="7">
        <v>3.702</v>
      </c>
      <c r="Y121" s="7">
        <v>0.23499999999999999</v>
      </c>
      <c r="Z121" s="7">
        <v>0</v>
      </c>
      <c r="AA121" s="7">
        <v>5.407</v>
      </c>
      <c r="AB121" s="7">
        <v>0.54700000000000004</v>
      </c>
      <c r="AC121" s="7">
        <v>0.71</v>
      </c>
      <c r="AD121" s="7">
        <v>0.29599999999999999</v>
      </c>
      <c r="AE121" s="7">
        <v>11.215</v>
      </c>
      <c r="AF121" s="7">
        <v>18.353999999999999</v>
      </c>
      <c r="AG121" s="7">
        <v>0</v>
      </c>
      <c r="AH121" s="7">
        <v>12.686</v>
      </c>
      <c r="AI121" s="7">
        <v>4.1440000000000001</v>
      </c>
      <c r="AJ121" s="7">
        <v>0</v>
      </c>
      <c r="AK121" s="7">
        <v>1.4419999999999999</v>
      </c>
      <c r="AL121" s="7">
        <v>51.043999999999997</v>
      </c>
      <c r="AM121" s="7">
        <v>53.359000000000002</v>
      </c>
      <c r="AN121" s="7">
        <v>1.0449999999999999</v>
      </c>
      <c r="AO121" s="7">
        <v>26.984000000000002</v>
      </c>
      <c r="AP121" s="7">
        <v>6.9039999999999999</v>
      </c>
      <c r="AQ121" s="7">
        <v>17.155999999999999</v>
      </c>
    </row>
    <row r="122" spans="1:43" x14ac:dyDescent="0.25">
      <c r="A122" t="s">
        <v>254</v>
      </c>
      <c r="B122" s="22" t="s">
        <v>833</v>
      </c>
      <c r="C122" s="22" t="s">
        <v>298</v>
      </c>
      <c r="D122" s="22" t="s">
        <v>286</v>
      </c>
      <c r="E122" s="21">
        <v>2018</v>
      </c>
      <c r="F122" s="7">
        <v>134.293935487223</v>
      </c>
      <c r="G122" s="7">
        <v>5.2240000000000002</v>
      </c>
      <c r="H122" s="7">
        <v>1.0449999999999999</v>
      </c>
      <c r="I122" s="7">
        <v>1.0389999999999999</v>
      </c>
      <c r="J122" s="7">
        <v>0.496</v>
      </c>
      <c r="K122" s="7">
        <v>1.514</v>
      </c>
      <c r="L122" s="7">
        <v>0</v>
      </c>
      <c r="M122" s="7">
        <v>1.4550000000000001</v>
      </c>
      <c r="N122" s="7">
        <v>0</v>
      </c>
      <c r="O122" s="7">
        <v>0</v>
      </c>
      <c r="P122" s="7">
        <v>2.6480000000000001</v>
      </c>
      <c r="Q122" s="7">
        <v>0.76300000000000001</v>
      </c>
      <c r="R122" s="7">
        <v>0.13200000000000001</v>
      </c>
      <c r="S122" s="7">
        <v>5.9119999999999999</v>
      </c>
      <c r="T122" s="7">
        <v>3.23</v>
      </c>
      <c r="U122" s="7">
        <v>3.5659999999999998</v>
      </c>
      <c r="V122" s="7">
        <v>0.21</v>
      </c>
      <c r="W122" s="7">
        <v>2.0750000000000002</v>
      </c>
      <c r="X122" s="7">
        <v>2.194</v>
      </c>
      <c r="Y122" s="7">
        <v>0.186</v>
      </c>
      <c r="Z122" s="7">
        <v>0</v>
      </c>
      <c r="AA122" s="7">
        <v>3.407</v>
      </c>
      <c r="AB122" s="7">
        <v>0.33500000000000002</v>
      </c>
      <c r="AC122" s="7">
        <v>0.40500000000000003</v>
      </c>
      <c r="AD122" s="7">
        <v>0.23400000000000001</v>
      </c>
      <c r="AE122" s="7">
        <v>6.4320000000000004</v>
      </c>
      <c r="AF122" s="7">
        <v>11.05</v>
      </c>
      <c r="AG122" s="7">
        <v>0</v>
      </c>
      <c r="AH122" s="7">
        <v>7.125</v>
      </c>
      <c r="AI122" s="7">
        <v>4.6130000000000004</v>
      </c>
      <c r="AJ122" s="7">
        <v>0</v>
      </c>
      <c r="AK122" s="7">
        <v>0.67800000000000005</v>
      </c>
      <c r="AL122" s="7">
        <v>31.689</v>
      </c>
      <c r="AM122" s="7">
        <v>33.600999999999999</v>
      </c>
      <c r="AN122" s="7">
        <v>1.06</v>
      </c>
      <c r="AO122" s="7">
        <v>18.268000000000001</v>
      </c>
      <c r="AP122" s="7">
        <v>4.1029999999999998</v>
      </c>
      <c r="AQ122" s="7">
        <v>9.3179999999999996</v>
      </c>
    </row>
    <row r="123" spans="1:43" x14ac:dyDescent="0.25">
      <c r="A123" t="s">
        <v>255</v>
      </c>
      <c r="B123" s="22" t="s">
        <v>833</v>
      </c>
      <c r="C123" s="22" t="s">
        <v>298</v>
      </c>
      <c r="D123" s="22" t="s">
        <v>286</v>
      </c>
      <c r="E123" s="21">
        <v>2018</v>
      </c>
      <c r="F123" s="7">
        <v>131.39552690817899</v>
      </c>
      <c r="G123" s="7">
        <v>4.2880000000000003</v>
      </c>
      <c r="H123" s="7">
        <v>0.66900000000000004</v>
      </c>
      <c r="I123" s="7">
        <v>1.224</v>
      </c>
      <c r="J123" s="7">
        <v>0.44</v>
      </c>
      <c r="K123" s="7">
        <v>1.8480000000000001</v>
      </c>
      <c r="L123" s="7">
        <v>0</v>
      </c>
      <c r="M123" s="7">
        <v>1.458</v>
      </c>
      <c r="N123" s="7">
        <v>0</v>
      </c>
      <c r="O123" s="7">
        <v>0</v>
      </c>
      <c r="P123" s="7">
        <v>2.7229999999999999</v>
      </c>
      <c r="Q123" s="7">
        <v>0.65600000000000003</v>
      </c>
      <c r="R123" s="7">
        <v>8.6999999999999994E-2</v>
      </c>
      <c r="S123" s="7">
        <v>5.5119999999999996</v>
      </c>
      <c r="T123" s="7">
        <v>3.0089999999999999</v>
      </c>
      <c r="U123" s="7">
        <v>3.726</v>
      </c>
      <c r="V123" s="7">
        <v>0.16900000000000001</v>
      </c>
      <c r="W123" s="7">
        <v>1.9930000000000001</v>
      </c>
      <c r="X123" s="7">
        <v>2.0670000000000002</v>
      </c>
      <c r="Y123" s="7">
        <v>0.161</v>
      </c>
      <c r="Z123" s="7">
        <v>0</v>
      </c>
      <c r="AA123" s="7">
        <v>2.0289999999999999</v>
      </c>
      <c r="AB123" s="7">
        <v>0.35399999999999998</v>
      </c>
      <c r="AC123" s="7">
        <v>0.38900000000000001</v>
      </c>
      <c r="AD123" s="7">
        <v>0.253</v>
      </c>
      <c r="AE123" s="7">
        <v>6.2990000000000004</v>
      </c>
      <c r="AF123" s="7">
        <v>10.486000000000001</v>
      </c>
      <c r="AG123" s="7">
        <v>0</v>
      </c>
      <c r="AH123" s="7">
        <v>6.2169999999999996</v>
      </c>
      <c r="AI123" s="7">
        <v>4.6539999999999999</v>
      </c>
      <c r="AJ123" s="7">
        <v>0</v>
      </c>
      <c r="AK123" s="7">
        <v>1.36</v>
      </c>
      <c r="AL123" s="7">
        <v>30.03</v>
      </c>
      <c r="AM123" s="7">
        <v>30.681000000000001</v>
      </c>
      <c r="AN123" s="7">
        <v>1.022</v>
      </c>
      <c r="AO123" s="7">
        <v>17.38</v>
      </c>
      <c r="AP123" s="7">
        <v>4.181</v>
      </c>
      <c r="AQ123" s="7">
        <v>8.4689999999999994</v>
      </c>
    </row>
    <row r="124" spans="1:43" x14ac:dyDescent="0.25">
      <c r="A124" t="s">
        <v>256</v>
      </c>
      <c r="B124" s="22" t="s">
        <v>833</v>
      </c>
      <c r="C124" s="22" t="s">
        <v>298</v>
      </c>
      <c r="D124" s="22" t="s">
        <v>286</v>
      </c>
      <c r="E124" s="21">
        <v>2018</v>
      </c>
      <c r="F124" s="7">
        <v>123.95572958801201</v>
      </c>
      <c r="G124" s="7">
        <v>3.7669999999999999</v>
      </c>
      <c r="H124" s="7">
        <v>0.622</v>
      </c>
      <c r="I124" s="7">
        <v>0.98299999999999998</v>
      </c>
      <c r="J124" s="7">
        <v>0.4</v>
      </c>
      <c r="K124" s="7">
        <v>1.448</v>
      </c>
      <c r="L124" s="7">
        <v>0</v>
      </c>
      <c r="M124" s="7">
        <v>1.3049999999999999</v>
      </c>
      <c r="N124" s="7">
        <v>0</v>
      </c>
      <c r="O124" s="7">
        <v>0</v>
      </c>
      <c r="P124" s="7">
        <v>2.5499999999999998</v>
      </c>
      <c r="Q124" s="7">
        <v>0.56799999999999995</v>
      </c>
      <c r="R124" s="7">
        <v>5.5E-2</v>
      </c>
      <c r="S124" s="7">
        <v>4.8840000000000003</v>
      </c>
      <c r="T124" s="7">
        <v>2.7570000000000001</v>
      </c>
      <c r="U124" s="7">
        <v>3.1749999999999998</v>
      </c>
      <c r="V124" s="7">
        <v>0.16700000000000001</v>
      </c>
      <c r="W124" s="7">
        <v>1.738</v>
      </c>
      <c r="X124" s="7">
        <v>1.7589999999999999</v>
      </c>
      <c r="Y124" s="7">
        <v>0.192</v>
      </c>
      <c r="Z124" s="7">
        <v>0</v>
      </c>
      <c r="AA124" s="7">
        <v>1.8959999999999999</v>
      </c>
      <c r="AB124" s="7">
        <v>0.38100000000000001</v>
      </c>
      <c r="AC124" s="7">
        <v>0.33100000000000002</v>
      </c>
      <c r="AD124" s="7">
        <v>0.21199999999999999</v>
      </c>
      <c r="AE124" s="7">
        <v>6.2809999999999997</v>
      </c>
      <c r="AF124" s="7">
        <v>10.053000000000001</v>
      </c>
      <c r="AG124" s="7">
        <v>0</v>
      </c>
      <c r="AH124" s="7">
        <v>6.0869999999999997</v>
      </c>
      <c r="AI124" s="7">
        <v>4.0060000000000002</v>
      </c>
      <c r="AJ124" s="7">
        <v>0</v>
      </c>
      <c r="AK124" s="7">
        <v>1.64</v>
      </c>
      <c r="AL124" s="7">
        <v>26.37</v>
      </c>
      <c r="AM124" s="7">
        <v>29.247</v>
      </c>
      <c r="AN124" s="7">
        <v>1.109</v>
      </c>
      <c r="AO124" s="7">
        <v>15.295</v>
      </c>
      <c r="AP124" s="7">
        <v>3.855</v>
      </c>
      <c r="AQ124" s="7">
        <v>7.22</v>
      </c>
    </row>
    <row r="125" spans="1:43" x14ac:dyDescent="0.25">
      <c r="A125" t="s">
        <v>257</v>
      </c>
      <c r="B125" s="22" t="s">
        <v>833</v>
      </c>
      <c r="C125" s="22" t="s">
        <v>298</v>
      </c>
      <c r="D125" s="22" t="s">
        <v>286</v>
      </c>
      <c r="E125" s="21">
        <v>2018</v>
      </c>
      <c r="F125" s="7">
        <v>177.11040486634701</v>
      </c>
      <c r="G125" s="7">
        <v>5.5609999999999999</v>
      </c>
      <c r="H125" s="7">
        <v>0.72799999999999998</v>
      </c>
      <c r="I125" s="7">
        <v>1.4139999999999999</v>
      </c>
      <c r="J125" s="7">
        <v>0.65900000000000003</v>
      </c>
      <c r="K125" s="7">
        <v>1.762</v>
      </c>
      <c r="L125" s="7">
        <v>0</v>
      </c>
      <c r="M125" s="7">
        <v>1.823</v>
      </c>
      <c r="N125" s="7">
        <v>0</v>
      </c>
      <c r="O125" s="7">
        <v>0</v>
      </c>
      <c r="P125" s="7">
        <v>3.0390000000000001</v>
      </c>
      <c r="Q125" s="7">
        <v>0.96199999999999997</v>
      </c>
      <c r="R125" s="7">
        <v>0</v>
      </c>
      <c r="S125" s="7">
        <v>7.5309999999999997</v>
      </c>
      <c r="T125" s="7">
        <v>3.9620000000000002</v>
      </c>
      <c r="U125" s="7">
        <v>4.5250000000000004</v>
      </c>
      <c r="V125" s="7">
        <v>0.29199999999999998</v>
      </c>
      <c r="W125" s="7">
        <v>2.581</v>
      </c>
      <c r="X125" s="7">
        <v>2.6720000000000002</v>
      </c>
      <c r="Y125" s="7">
        <v>0.13700000000000001</v>
      </c>
      <c r="Z125" s="7">
        <v>0</v>
      </c>
      <c r="AA125" s="7">
        <v>4.29</v>
      </c>
      <c r="AB125" s="7">
        <v>0.64200000000000002</v>
      </c>
      <c r="AC125" s="7">
        <v>0.379</v>
      </c>
      <c r="AD125" s="7">
        <v>0.25800000000000001</v>
      </c>
      <c r="AE125" s="7">
        <v>10.381</v>
      </c>
      <c r="AF125" s="7">
        <v>15.196</v>
      </c>
      <c r="AG125" s="7">
        <v>0</v>
      </c>
      <c r="AH125" s="7">
        <v>8.4039999999999999</v>
      </c>
      <c r="AI125" s="7">
        <v>6.1319999999999997</v>
      </c>
      <c r="AJ125" s="7">
        <v>0</v>
      </c>
      <c r="AK125" s="7">
        <v>1.706</v>
      </c>
      <c r="AL125" s="7">
        <v>37.648000000000003</v>
      </c>
      <c r="AM125" s="7">
        <v>45.682000000000002</v>
      </c>
      <c r="AN125" s="7">
        <v>1.2130000000000001</v>
      </c>
      <c r="AO125" s="7">
        <v>22.661999999999999</v>
      </c>
      <c r="AP125" s="7">
        <v>4.8620000000000001</v>
      </c>
      <c r="AQ125" s="7">
        <v>10.124000000000001</v>
      </c>
    </row>
    <row r="126" spans="1:43" x14ac:dyDescent="0.25">
      <c r="A126" t="s">
        <v>258</v>
      </c>
      <c r="B126" s="22" t="s">
        <v>835</v>
      </c>
      <c r="C126" s="22" t="s">
        <v>298</v>
      </c>
      <c r="D126" s="22" t="s">
        <v>286</v>
      </c>
      <c r="E126" s="21">
        <v>2018</v>
      </c>
      <c r="F126" s="7">
        <v>95.198436636717105</v>
      </c>
      <c r="G126" s="7">
        <v>3.5289999999999999</v>
      </c>
      <c r="H126" s="7">
        <v>0.53500000000000003</v>
      </c>
      <c r="I126" s="7">
        <v>0.625</v>
      </c>
      <c r="J126" s="7">
        <v>0.41799999999999998</v>
      </c>
      <c r="K126" s="7">
        <v>0.98899999999999999</v>
      </c>
      <c r="L126" s="7">
        <v>0</v>
      </c>
      <c r="M126" s="7">
        <v>0.93</v>
      </c>
      <c r="N126" s="7">
        <v>0.223</v>
      </c>
      <c r="O126" s="7">
        <v>0</v>
      </c>
      <c r="P126" s="7">
        <v>2.2879999999999998</v>
      </c>
      <c r="Q126" s="7">
        <v>0.40100000000000002</v>
      </c>
      <c r="R126" s="7">
        <v>0</v>
      </c>
      <c r="S126" s="7">
        <v>3.5880000000000001</v>
      </c>
      <c r="T126" s="7">
        <v>2.177</v>
      </c>
      <c r="U126" s="7">
        <v>2.0259999999999998</v>
      </c>
      <c r="V126" s="7">
        <v>0.11899999999999999</v>
      </c>
      <c r="W126" s="7">
        <v>1.353</v>
      </c>
      <c r="X126" s="7">
        <v>1.458</v>
      </c>
      <c r="Y126" s="7">
        <v>0.214</v>
      </c>
      <c r="Z126" s="7">
        <v>0</v>
      </c>
      <c r="AA126" s="7">
        <v>2.0409999999999999</v>
      </c>
      <c r="AB126" s="7">
        <v>0.19700000000000001</v>
      </c>
      <c r="AC126" s="7">
        <v>0.28399999999999997</v>
      </c>
      <c r="AD126" s="7">
        <v>0.21</v>
      </c>
      <c r="AE126" s="7">
        <v>5.0259999999999998</v>
      </c>
      <c r="AF126" s="7">
        <v>8.8339999999999996</v>
      </c>
      <c r="AG126" s="7">
        <v>0</v>
      </c>
      <c r="AH126" s="7">
        <v>6.7869999999999999</v>
      </c>
      <c r="AI126" s="7">
        <v>2.0939999999999999</v>
      </c>
      <c r="AJ126" s="7">
        <v>0</v>
      </c>
      <c r="AK126" s="7">
        <v>1.337</v>
      </c>
      <c r="AL126" s="7">
        <v>20.873000000000001</v>
      </c>
      <c r="AM126" s="7">
        <v>25.472999999999999</v>
      </c>
      <c r="AN126" s="7">
        <v>1.22</v>
      </c>
      <c r="AO126" s="7">
        <v>11.336</v>
      </c>
      <c r="AP126" s="7">
        <v>3.4409999999999998</v>
      </c>
      <c r="AQ126" s="7">
        <v>6.0960000000000001</v>
      </c>
    </row>
    <row r="127" spans="1:43" x14ac:dyDescent="0.25">
      <c r="A127" t="s">
        <v>259</v>
      </c>
      <c r="B127" s="22" t="s">
        <v>835</v>
      </c>
      <c r="C127" s="22" t="s">
        <v>298</v>
      </c>
      <c r="D127" s="22" t="s">
        <v>286</v>
      </c>
      <c r="E127" s="21">
        <v>2018</v>
      </c>
      <c r="F127" s="7">
        <v>101.475018173826</v>
      </c>
      <c r="G127" s="7">
        <v>4.3570000000000002</v>
      </c>
      <c r="H127" s="7">
        <v>0.67600000000000005</v>
      </c>
      <c r="I127" s="7">
        <v>0.63900000000000001</v>
      </c>
      <c r="J127" s="7">
        <v>0.434</v>
      </c>
      <c r="K127" s="7">
        <v>0.99399999999999999</v>
      </c>
      <c r="L127" s="7">
        <v>0</v>
      </c>
      <c r="M127" s="7">
        <v>1.0389999999999999</v>
      </c>
      <c r="N127" s="7">
        <v>0.19600000000000001</v>
      </c>
      <c r="O127" s="7">
        <v>0</v>
      </c>
      <c r="P127" s="7">
        <v>2.6970000000000001</v>
      </c>
      <c r="Q127" s="7">
        <v>0.45700000000000002</v>
      </c>
      <c r="R127" s="7">
        <v>0</v>
      </c>
      <c r="S127" s="7">
        <v>4.8250000000000002</v>
      </c>
      <c r="T127" s="7">
        <v>2.4009999999999998</v>
      </c>
      <c r="U127" s="7">
        <v>2.3929999999999998</v>
      </c>
      <c r="V127" s="7">
        <v>0.156</v>
      </c>
      <c r="W127" s="7">
        <v>1.6879999999999999</v>
      </c>
      <c r="X127" s="7">
        <v>1.6160000000000001</v>
      </c>
      <c r="Y127" s="7">
        <v>0.14299999999999999</v>
      </c>
      <c r="Z127" s="7">
        <v>0</v>
      </c>
      <c r="AA127" s="7">
        <v>3.1059999999999999</v>
      </c>
      <c r="AB127" s="7">
        <v>0.23799999999999999</v>
      </c>
      <c r="AC127" s="7">
        <v>0.28899999999999998</v>
      </c>
      <c r="AD127" s="7">
        <v>0.128</v>
      </c>
      <c r="AE127" s="7">
        <v>5.25</v>
      </c>
      <c r="AF127" s="7">
        <v>8.2289999999999992</v>
      </c>
      <c r="AG127" s="7">
        <v>0</v>
      </c>
      <c r="AH127" s="7">
        <v>5.81</v>
      </c>
      <c r="AI127" s="7">
        <v>1.97</v>
      </c>
      <c r="AJ127" s="7">
        <v>0</v>
      </c>
      <c r="AK127" s="7">
        <v>1.3779999999999999</v>
      </c>
      <c r="AL127" s="7">
        <v>24.710999999999999</v>
      </c>
      <c r="AM127" s="7">
        <v>25.02</v>
      </c>
      <c r="AN127" s="7">
        <v>1.0129999999999999</v>
      </c>
      <c r="AO127" s="7">
        <v>13.679</v>
      </c>
      <c r="AP127" s="7">
        <v>3.9319999999999999</v>
      </c>
      <c r="AQ127" s="7">
        <v>7.1</v>
      </c>
    </row>
    <row r="128" spans="1:43" x14ac:dyDescent="0.25">
      <c r="A128" t="s">
        <v>260</v>
      </c>
      <c r="B128" s="22" t="s">
        <v>835</v>
      </c>
      <c r="C128" s="22" t="s">
        <v>298</v>
      </c>
      <c r="D128" s="22" t="s">
        <v>286</v>
      </c>
      <c r="E128" s="21">
        <v>2018</v>
      </c>
      <c r="F128" s="7">
        <v>152.21854145116799</v>
      </c>
      <c r="G128" s="7">
        <v>5.5659999999999998</v>
      </c>
      <c r="H128" s="7">
        <v>0.85299999999999998</v>
      </c>
      <c r="I128" s="7">
        <v>0.86799999999999999</v>
      </c>
      <c r="J128" s="7">
        <v>0.70399999999999996</v>
      </c>
      <c r="K128" s="7">
        <v>1.7609999999999999</v>
      </c>
      <c r="L128" s="7">
        <v>0.10199999999999999</v>
      </c>
      <c r="M128" s="7">
        <v>1.5209999999999999</v>
      </c>
      <c r="N128" s="7">
        <v>0.13300000000000001</v>
      </c>
      <c r="O128" s="7">
        <v>0</v>
      </c>
      <c r="P128" s="7">
        <v>2.9780000000000002</v>
      </c>
      <c r="Q128" s="7">
        <v>0.65100000000000002</v>
      </c>
      <c r="R128" s="7">
        <v>0</v>
      </c>
      <c r="S128" s="7">
        <v>5.633</v>
      </c>
      <c r="T128" s="7">
        <v>3.7450000000000001</v>
      </c>
      <c r="U128" s="7">
        <v>3.262</v>
      </c>
      <c r="V128" s="7">
        <v>0.22900000000000001</v>
      </c>
      <c r="W128" s="7">
        <v>2.1320000000000001</v>
      </c>
      <c r="X128" s="7">
        <v>2.3860000000000001</v>
      </c>
      <c r="Y128" s="7">
        <v>0.26300000000000001</v>
      </c>
      <c r="Z128" s="7">
        <v>0</v>
      </c>
      <c r="AA128" s="7">
        <v>3.0750000000000002</v>
      </c>
      <c r="AB128" s="7">
        <v>1.0129999999999999</v>
      </c>
      <c r="AC128" s="7">
        <v>0</v>
      </c>
      <c r="AD128" s="7">
        <v>0.17100000000000001</v>
      </c>
      <c r="AE128" s="7">
        <v>10.073</v>
      </c>
      <c r="AF128" s="7">
        <v>14.958</v>
      </c>
      <c r="AG128" s="7">
        <v>0</v>
      </c>
      <c r="AH128" s="7">
        <v>9.7479999999999993</v>
      </c>
      <c r="AI128" s="7">
        <v>2.847</v>
      </c>
      <c r="AJ128" s="7">
        <v>0</v>
      </c>
      <c r="AK128" s="7">
        <v>1.913</v>
      </c>
      <c r="AL128" s="7">
        <v>32.786999999999999</v>
      </c>
      <c r="AM128" s="7">
        <v>41.884999999999998</v>
      </c>
      <c r="AN128" s="7">
        <v>1.2769999999999999</v>
      </c>
      <c r="AO128" s="7">
        <v>18.300999999999998</v>
      </c>
      <c r="AP128" s="7">
        <v>4.6319999999999997</v>
      </c>
      <c r="AQ128" s="7">
        <v>9.8539999999999992</v>
      </c>
    </row>
    <row r="129" spans="1:43" x14ac:dyDescent="0.25">
      <c r="A129" t="s">
        <v>261</v>
      </c>
      <c r="B129" s="22" t="s">
        <v>835</v>
      </c>
      <c r="C129" s="22" t="s">
        <v>298</v>
      </c>
      <c r="D129" s="22" t="s">
        <v>286</v>
      </c>
      <c r="E129" s="21">
        <v>2018</v>
      </c>
      <c r="F129" s="7">
        <v>103.459575119025</v>
      </c>
      <c r="G129" s="7">
        <v>4.8239999999999998</v>
      </c>
      <c r="H129" s="7">
        <v>0.86399999999999999</v>
      </c>
      <c r="I129" s="7">
        <v>0.77100000000000002</v>
      </c>
      <c r="J129" s="7">
        <v>0.45900000000000002</v>
      </c>
      <c r="K129" s="7">
        <v>1.2070000000000001</v>
      </c>
      <c r="L129" s="7">
        <v>0</v>
      </c>
      <c r="M129" s="7">
        <v>1.1830000000000001</v>
      </c>
      <c r="N129" s="7">
        <v>0.25</v>
      </c>
      <c r="O129" s="7">
        <v>0</v>
      </c>
      <c r="P129" s="7">
        <v>3.0310000000000001</v>
      </c>
      <c r="Q129" s="7">
        <v>0.46800000000000003</v>
      </c>
      <c r="R129" s="7">
        <v>3.7999999999999999E-2</v>
      </c>
      <c r="S129" s="7">
        <v>4.7910000000000004</v>
      </c>
      <c r="T129" s="7">
        <v>2.6030000000000002</v>
      </c>
      <c r="U129" s="7">
        <v>2.5270000000000001</v>
      </c>
      <c r="V129" s="7">
        <v>0.161</v>
      </c>
      <c r="W129" s="7">
        <v>1.7310000000000001</v>
      </c>
      <c r="X129" s="7">
        <v>1.7549999999999999</v>
      </c>
      <c r="Y129" s="7">
        <v>0.20200000000000001</v>
      </c>
      <c r="Z129" s="7">
        <v>0</v>
      </c>
      <c r="AA129" s="7">
        <v>2.4620000000000002</v>
      </c>
      <c r="AB129" s="7">
        <v>0.24199999999999999</v>
      </c>
      <c r="AC129" s="7">
        <v>0.27600000000000002</v>
      </c>
      <c r="AD129" s="7">
        <v>0.158</v>
      </c>
      <c r="AE129" s="7">
        <v>4.6029999999999998</v>
      </c>
      <c r="AF129" s="7">
        <v>8.5570000000000004</v>
      </c>
      <c r="AG129" s="7">
        <v>0</v>
      </c>
      <c r="AH129" s="7">
        <v>6.2679999999999998</v>
      </c>
      <c r="AI129" s="7">
        <v>2.2749999999999999</v>
      </c>
      <c r="AJ129" s="7">
        <v>0</v>
      </c>
      <c r="AK129" s="7">
        <v>1.0249999999999999</v>
      </c>
      <c r="AL129" s="7">
        <v>26.864999999999998</v>
      </c>
      <c r="AM129" s="7">
        <v>24.841000000000001</v>
      </c>
      <c r="AN129" s="7">
        <v>0.92500000000000004</v>
      </c>
      <c r="AO129" s="7">
        <v>14.276</v>
      </c>
      <c r="AP129" s="7">
        <v>4.4640000000000004</v>
      </c>
      <c r="AQ129" s="7">
        <v>8.125</v>
      </c>
    </row>
    <row r="130" spans="1:43" x14ac:dyDescent="0.25">
      <c r="A130" t="s">
        <v>212</v>
      </c>
      <c r="B130" s="22" t="s">
        <v>832</v>
      </c>
      <c r="C130" s="22" t="s">
        <v>286</v>
      </c>
      <c r="D130" s="22" t="s">
        <v>286</v>
      </c>
      <c r="E130" s="21">
        <v>2018</v>
      </c>
      <c r="F130" s="7">
        <v>50.9273969608344</v>
      </c>
      <c r="G130" s="7">
        <v>2.1019999999999999</v>
      </c>
      <c r="H130" s="7">
        <v>0.53100000000000003</v>
      </c>
      <c r="I130" s="7">
        <v>0.47299999999999998</v>
      </c>
      <c r="J130" s="7">
        <v>0.17599999999999999</v>
      </c>
      <c r="K130" s="7">
        <v>0.53800000000000003</v>
      </c>
      <c r="L130" s="7">
        <v>0</v>
      </c>
      <c r="M130" s="7">
        <v>0.56000000000000005</v>
      </c>
      <c r="N130" s="7">
        <v>0</v>
      </c>
      <c r="O130" s="7">
        <v>0</v>
      </c>
      <c r="P130" s="7">
        <v>1.2090000000000001</v>
      </c>
      <c r="Q130" s="7">
        <v>0.14099999999999999</v>
      </c>
      <c r="R130" s="7">
        <v>0</v>
      </c>
      <c r="S130" s="7">
        <v>1.917</v>
      </c>
      <c r="T130" s="7">
        <v>1.1859999999999999</v>
      </c>
      <c r="U130" s="7">
        <v>1.355</v>
      </c>
      <c r="V130" s="7">
        <v>7.0999999999999994E-2</v>
      </c>
      <c r="W130" s="7">
        <v>0.68700000000000006</v>
      </c>
      <c r="X130" s="7">
        <v>0.82299999999999995</v>
      </c>
      <c r="Y130" s="7">
        <v>5.8000000000000003E-2</v>
      </c>
      <c r="Z130" s="7">
        <v>0</v>
      </c>
      <c r="AA130" s="7">
        <v>2.3980000000000001</v>
      </c>
      <c r="AB130" s="7">
        <v>0.27600000000000002</v>
      </c>
      <c r="AC130" s="7">
        <v>0.14000000000000001</v>
      </c>
      <c r="AD130" s="7">
        <v>0</v>
      </c>
      <c r="AE130" s="7">
        <v>2.8959999999999999</v>
      </c>
      <c r="AF130" s="7">
        <v>4.6609999999999996</v>
      </c>
      <c r="AG130" s="7">
        <v>0</v>
      </c>
      <c r="AH130" s="7">
        <v>2.7669999999999999</v>
      </c>
      <c r="AI130" s="7">
        <v>0.96199999999999997</v>
      </c>
      <c r="AJ130" s="7">
        <v>0</v>
      </c>
      <c r="AK130" s="7">
        <v>0.84399999999999997</v>
      </c>
      <c r="AL130" s="7">
        <v>11.827</v>
      </c>
      <c r="AM130" s="7">
        <v>14.1</v>
      </c>
      <c r="AN130" s="7">
        <v>1.1919999999999999</v>
      </c>
      <c r="AO130" s="7">
        <v>6.2380000000000004</v>
      </c>
      <c r="AP130" s="7">
        <v>1.7689999999999999</v>
      </c>
      <c r="AQ130" s="7">
        <v>3.82</v>
      </c>
    </row>
    <row r="131" spans="1:43" x14ac:dyDescent="0.25">
      <c r="A131" t="s">
        <v>262</v>
      </c>
      <c r="B131" s="22" t="s">
        <v>832</v>
      </c>
      <c r="C131" s="22" t="s">
        <v>286</v>
      </c>
      <c r="D131" s="22" t="s">
        <v>286</v>
      </c>
      <c r="E131" s="21">
        <v>2018</v>
      </c>
      <c r="F131" s="7">
        <v>144.109552025093</v>
      </c>
      <c r="G131" s="7">
        <v>3.77</v>
      </c>
      <c r="H131" s="7">
        <v>0.84</v>
      </c>
      <c r="I131" s="7">
        <v>0.93700000000000006</v>
      </c>
      <c r="J131" s="7">
        <v>0.61199999999999999</v>
      </c>
      <c r="K131" s="7">
        <v>1.1240000000000001</v>
      </c>
      <c r="L131" s="7">
        <v>0</v>
      </c>
      <c r="M131" s="7">
        <v>1.365</v>
      </c>
      <c r="N131" s="7">
        <v>0</v>
      </c>
      <c r="O131" s="7">
        <v>0</v>
      </c>
      <c r="P131" s="7">
        <v>1.7170000000000001</v>
      </c>
      <c r="Q131" s="7">
        <v>0.496</v>
      </c>
      <c r="R131" s="7">
        <v>6.8000000000000005E-2</v>
      </c>
      <c r="S131" s="7">
        <v>4.6020000000000003</v>
      </c>
      <c r="T131" s="7">
        <v>2.8559999999999999</v>
      </c>
      <c r="U131" s="7">
        <v>3.5209999999999999</v>
      </c>
      <c r="V131" s="7">
        <v>0.21</v>
      </c>
      <c r="W131" s="7">
        <v>1.71</v>
      </c>
      <c r="X131" s="7">
        <v>2.0979999999999999</v>
      </c>
      <c r="Y131" s="7">
        <v>8.4000000000000005E-2</v>
      </c>
      <c r="Z131" s="7">
        <v>0</v>
      </c>
      <c r="AA131" s="7">
        <v>3.5569999999999999</v>
      </c>
      <c r="AB131" s="7">
        <v>0.47699999999999998</v>
      </c>
      <c r="AC131" s="7">
        <v>0.318</v>
      </c>
      <c r="AD131" s="7">
        <v>0</v>
      </c>
      <c r="AE131" s="7">
        <v>21.366</v>
      </c>
      <c r="AF131" s="7">
        <v>11.484999999999999</v>
      </c>
      <c r="AG131" s="7">
        <v>0</v>
      </c>
      <c r="AH131" s="7">
        <v>7.6470000000000002</v>
      </c>
      <c r="AI131" s="7">
        <v>3.57</v>
      </c>
      <c r="AJ131" s="7">
        <v>0</v>
      </c>
      <c r="AK131" s="7">
        <v>1.375</v>
      </c>
      <c r="AL131" s="7">
        <v>26.01</v>
      </c>
      <c r="AM131" s="7">
        <v>48.42</v>
      </c>
      <c r="AN131" s="7">
        <v>1.8620000000000001</v>
      </c>
      <c r="AO131" s="7">
        <v>15.645</v>
      </c>
      <c r="AP131" s="7">
        <v>3.0819999999999999</v>
      </c>
      <c r="AQ131" s="7">
        <v>7.2830000000000004</v>
      </c>
    </row>
    <row r="132" spans="1:43" x14ac:dyDescent="0.25">
      <c r="A132" t="s">
        <v>213</v>
      </c>
      <c r="B132" s="22" t="s">
        <v>832</v>
      </c>
      <c r="C132" s="22" t="s">
        <v>286</v>
      </c>
      <c r="D132" s="22" t="s">
        <v>286</v>
      </c>
      <c r="E132" s="21">
        <v>2018</v>
      </c>
      <c r="F132" s="7">
        <v>34.558745477562802</v>
      </c>
      <c r="G132" s="7">
        <v>1.716</v>
      </c>
      <c r="H132" s="7">
        <v>0.85</v>
      </c>
      <c r="I132" s="7">
        <v>0.42899999999999999</v>
      </c>
      <c r="J132" s="7">
        <v>0.10100000000000001</v>
      </c>
      <c r="K132" s="7">
        <v>0.45900000000000002</v>
      </c>
      <c r="L132" s="7">
        <v>0</v>
      </c>
      <c r="M132" s="7">
        <v>0.376</v>
      </c>
      <c r="N132" s="7">
        <v>6.3E-2</v>
      </c>
      <c r="O132" s="7">
        <v>0</v>
      </c>
      <c r="P132" s="7">
        <v>0.87</v>
      </c>
      <c r="Q132" s="7">
        <v>9.5000000000000001E-2</v>
      </c>
      <c r="R132" s="7">
        <v>0</v>
      </c>
      <c r="S132" s="7">
        <v>1.32</v>
      </c>
      <c r="T132" s="7">
        <v>0.66900000000000004</v>
      </c>
      <c r="U132" s="7">
        <v>0.86399999999999999</v>
      </c>
      <c r="V132" s="7">
        <v>4.2999999999999997E-2</v>
      </c>
      <c r="W132" s="7">
        <v>0.57899999999999996</v>
      </c>
      <c r="X132" s="7">
        <v>0.56200000000000006</v>
      </c>
      <c r="Y132" s="7">
        <v>4.5999999999999999E-2</v>
      </c>
      <c r="Z132" s="7">
        <v>0</v>
      </c>
      <c r="AA132" s="7">
        <v>3.1219999999999999</v>
      </c>
      <c r="AB132" s="7">
        <v>0.36899999999999999</v>
      </c>
      <c r="AC132" s="7">
        <v>0</v>
      </c>
      <c r="AD132" s="7">
        <v>0</v>
      </c>
      <c r="AE132" s="7">
        <v>1.6950000000000001</v>
      </c>
      <c r="AF132" s="7">
        <v>3.9020000000000001</v>
      </c>
      <c r="AG132" s="7">
        <v>0</v>
      </c>
      <c r="AH132" s="7">
        <v>2.0430000000000001</v>
      </c>
      <c r="AI132" s="7">
        <v>0</v>
      </c>
      <c r="AJ132" s="7">
        <v>0</v>
      </c>
      <c r="AK132" s="7">
        <v>0.25600000000000001</v>
      </c>
      <c r="AL132" s="7">
        <v>9.0419999999999998</v>
      </c>
      <c r="AM132" s="7">
        <v>11.131</v>
      </c>
      <c r="AN132" s="7">
        <v>1.2310000000000001</v>
      </c>
      <c r="AO132" s="7">
        <v>4.1779999999999999</v>
      </c>
      <c r="AP132" s="7">
        <v>1.3089999999999999</v>
      </c>
      <c r="AQ132" s="7">
        <v>3.5550000000000002</v>
      </c>
    </row>
    <row r="133" spans="1:43" x14ac:dyDescent="0.25">
      <c r="A133" t="s">
        <v>214</v>
      </c>
      <c r="B133" s="22" t="s">
        <v>832</v>
      </c>
      <c r="C133" s="22" t="s">
        <v>286</v>
      </c>
      <c r="D133" s="22" t="s">
        <v>286</v>
      </c>
      <c r="E133" s="21">
        <v>2018</v>
      </c>
      <c r="F133" s="7">
        <v>71.848857420847395</v>
      </c>
      <c r="G133" s="7">
        <v>3.0649999999999999</v>
      </c>
      <c r="H133" s="7">
        <v>0.65</v>
      </c>
      <c r="I133" s="7">
        <v>0.64200000000000002</v>
      </c>
      <c r="J133" s="7">
        <v>0.255</v>
      </c>
      <c r="K133" s="7">
        <v>0.71</v>
      </c>
      <c r="L133" s="7">
        <v>0</v>
      </c>
      <c r="M133" s="7">
        <v>0.79700000000000004</v>
      </c>
      <c r="N133" s="7">
        <v>0</v>
      </c>
      <c r="O133" s="7">
        <v>0</v>
      </c>
      <c r="P133" s="7">
        <v>1.524</v>
      </c>
      <c r="Q133" s="7">
        <v>0.28000000000000003</v>
      </c>
      <c r="R133" s="7">
        <v>0</v>
      </c>
      <c r="S133" s="7">
        <v>3.0070000000000001</v>
      </c>
      <c r="T133" s="7">
        <v>1.7589999999999999</v>
      </c>
      <c r="U133" s="7">
        <v>2.0339999999999998</v>
      </c>
      <c r="V133" s="7">
        <v>0.13700000000000001</v>
      </c>
      <c r="W133" s="7">
        <v>1.0609999999999999</v>
      </c>
      <c r="X133" s="7">
        <v>1.204</v>
      </c>
      <c r="Y133" s="7">
        <v>7.0999999999999994E-2</v>
      </c>
      <c r="Z133" s="7">
        <v>0</v>
      </c>
      <c r="AA133" s="7">
        <v>2.7149999999999999</v>
      </c>
      <c r="AB133" s="7">
        <v>0.26700000000000002</v>
      </c>
      <c r="AC133" s="7">
        <v>0.248</v>
      </c>
      <c r="AD133" s="7">
        <v>0.09</v>
      </c>
      <c r="AE133" s="7">
        <v>4.0720000000000001</v>
      </c>
      <c r="AF133" s="7">
        <v>6.83</v>
      </c>
      <c r="AG133" s="7">
        <v>0</v>
      </c>
      <c r="AH133" s="7">
        <v>4.0919999999999996</v>
      </c>
      <c r="AI133" s="7">
        <v>1.8720000000000001</v>
      </c>
      <c r="AJ133" s="7">
        <v>0</v>
      </c>
      <c r="AK133" s="7">
        <v>0.55500000000000005</v>
      </c>
      <c r="AL133" s="7">
        <v>17.196000000000002</v>
      </c>
      <c r="AM133" s="7">
        <v>20.186</v>
      </c>
      <c r="AN133" s="7">
        <v>1.1739999999999999</v>
      </c>
      <c r="AO133" s="7">
        <v>9.5530000000000008</v>
      </c>
      <c r="AP133" s="7">
        <v>2.3210000000000002</v>
      </c>
      <c r="AQ133" s="7">
        <v>5.3220000000000001</v>
      </c>
    </row>
    <row r="134" spans="1:43" x14ac:dyDescent="0.25">
      <c r="A134" t="s">
        <v>208</v>
      </c>
      <c r="B134" s="22" t="s">
        <v>836</v>
      </c>
      <c r="C134" t="s">
        <v>283</v>
      </c>
      <c r="D134" s="22" t="s">
        <v>283</v>
      </c>
      <c r="E134" s="21">
        <v>2018</v>
      </c>
      <c r="F134" s="7">
        <v>70.541348472564295</v>
      </c>
      <c r="G134" s="7">
        <v>3.2839999999999998</v>
      </c>
      <c r="H134" s="7">
        <v>0.61299999999999999</v>
      </c>
      <c r="I134" s="7">
        <v>0.80900000000000005</v>
      </c>
      <c r="J134" s="7">
        <v>0.42499999999999999</v>
      </c>
      <c r="K134" s="7">
        <v>0.81799999999999995</v>
      </c>
      <c r="L134" s="7">
        <v>0</v>
      </c>
      <c r="M134" s="7">
        <v>0.79600000000000004</v>
      </c>
      <c r="N134" s="7">
        <v>0.38500000000000001</v>
      </c>
      <c r="O134" s="7">
        <v>0</v>
      </c>
      <c r="P134" s="7">
        <v>1.7669999999999999</v>
      </c>
      <c r="Q134" s="7">
        <v>0.314</v>
      </c>
      <c r="R134" s="7">
        <v>4.7E-2</v>
      </c>
      <c r="S134" s="7">
        <v>3.0640000000000001</v>
      </c>
      <c r="T134" s="7">
        <v>1.7450000000000001</v>
      </c>
      <c r="U134" s="7">
        <v>1.956</v>
      </c>
      <c r="V134" s="7">
        <v>0.123</v>
      </c>
      <c r="W134" s="7">
        <v>1.0229999999999999</v>
      </c>
      <c r="X134" s="7">
        <v>1.1859999999999999</v>
      </c>
      <c r="Y134" s="7">
        <v>0.124</v>
      </c>
      <c r="Z134" s="7">
        <v>0</v>
      </c>
      <c r="AA134" s="7">
        <v>1.7509999999999999</v>
      </c>
      <c r="AB134" s="7">
        <v>0.30599999999999999</v>
      </c>
      <c r="AC134" s="7">
        <v>0.22800000000000001</v>
      </c>
      <c r="AD134" s="7">
        <v>0</v>
      </c>
      <c r="AE134" s="7">
        <v>3.4119999999999999</v>
      </c>
      <c r="AF134" s="7">
        <v>5.9420000000000002</v>
      </c>
      <c r="AG134" s="7">
        <v>0</v>
      </c>
      <c r="AH134" s="7">
        <v>4.0380000000000003</v>
      </c>
      <c r="AI134" s="7">
        <v>1.5129999999999999</v>
      </c>
      <c r="AJ134" s="7">
        <v>0</v>
      </c>
      <c r="AK134" s="7">
        <v>0.92300000000000004</v>
      </c>
      <c r="AL134" s="7">
        <v>18.478999999999999</v>
      </c>
      <c r="AM134" s="7">
        <v>17.190000000000001</v>
      </c>
      <c r="AN134" s="7">
        <v>0.93</v>
      </c>
      <c r="AO134" s="7">
        <v>9.5820000000000007</v>
      </c>
      <c r="AP134" s="7">
        <v>2.948</v>
      </c>
      <c r="AQ134" s="7">
        <v>5.9489999999999998</v>
      </c>
    </row>
    <row r="135" spans="1:43" x14ac:dyDescent="0.25">
      <c r="A135" t="s">
        <v>209</v>
      </c>
      <c r="B135" s="22" t="s">
        <v>836</v>
      </c>
      <c r="C135" t="s">
        <v>283</v>
      </c>
      <c r="D135" s="22" t="s">
        <v>283</v>
      </c>
      <c r="E135" s="21">
        <v>2018</v>
      </c>
      <c r="F135" s="7">
        <v>81.475292983392194</v>
      </c>
      <c r="G135" s="7">
        <v>3.4830000000000001</v>
      </c>
      <c r="H135" s="7">
        <v>0.55800000000000005</v>
      </c>
      <c r="I135" s="7">
        <v>0.84399999999999997</v>
      </c>
      <c r="J135" s="7">
        <v>0.316</v>
      </c>
      <c r="K135" s="7">
        <v>0.878</v>
      </c>
      <c r="L135" s="7">
        <v>0</v>
      </c>
      <c r="M135" s="7">
        <v>0.96799999999999997</v>
      </c>
      <c r="N135" s="7">
        <v>0.12</v>
      </c>
      <c r="O135" s="7">
        <v>0</v>
      </c>
      <c r="P135" s="7">
        <v>1.569</v>
      </c>
      <c r="Q135" s="7">
        <v>0.30199999999999999</v>
      </c>
      <c r="R135" s="7">
        <v>0</v>
      </c>
      <c r="S135" s="7">
        <v>3.4289999999999998</v>
      </c>
      <c r="T135" s="7">
        <v>2.6549999999999998</v>
      </c>
      <c r="U135" s="7">
        <v>2.415</v>
      </c>
      <c r="V135" s="7">
        <v>0.152</v>
      </c>
      <c r="W135" s="7">
        <v>1.1739999999999999</v>
      </c>
      <c r="X135" s="7">
        <v>1.5</v>
      </c>
      <c r="Y135" s="7">
        <v>7.1999999999999995E-2</v>
      </c>
      <c r="Z135" s="7">
        <v>0</v>
      </c>
      <c r="AA135" s="7">
        <v>1.9390000000000001</v>
      </c>
      <c r="AB135" s="7">
        <v>0.40899999999999997</v>
      </c>
      <c r="AC135" s="7">
        <v>0.33100000000000002</v>
      </c>
      <c r="AD135" s="7">
        <v>0.111</v>
      </c>
      <c r="AE135" s="7">
        <v>4.5030000000000001</v>
      </c>
      <c r="AF135" s="7">
        <v>7.117</v>
      </c>
      <c r="AG135" s="7">
        <v>0</v>
      </c>
      <c r="AH135" s="7">
        <v>5.54</v>
      </c>
      <c r="AI135" s="7">
        <v>1.8280000000000001</v>
      </c>
      <c r="AJ135" s="7">
        <v>0</v>
      </c>
      <c r="AK135" s="7">
        <v>0.60299999999999998</v>
      </c>
      <c r="AL135" s="7">
        <v>20.434999999999999</v>
      </c>
      <c r="AM135" s="7">
        <v>21.777999999999999</v>
      </c>
      <c r="AN135" s="7">
        <v>1.0660000000000001</v>
      </c>
      <c r="AO135" s="7">
        <v>11.699</v>
      </c>
      <c r="AP135" s="7">
        <v>2.657</v>
      </c>
      <c r="AQ135" s="7">
        <v>6.0789999999999997</v>
      </c>
    </row>
    <row r="136" spans="1:43" x14ac:dyDescent="0.25">
      <c r="A136" t="s">
        <v>210</v>
      </c>
      <c r="B136" s="22" t="s">
        <v>836</v>
      </c>
      <c r="C136" t="s">
        <v>283</v>
      </c>
      <c r="D136" s="22" t="s">
        <v>283</v>
      </c>
      <c r="E136" s="21">
        <v>2018</v>
      </c>
      <c r="F136" s="7">
        <v>67.595357910595297</v>
      </c>
      <c r="G136" s="7">
        <v>3.399</v>
      </c>
      <c r="H136" s="7">
        <v>0.751</v>
      </c>
      <c r="I136" s="7">
        <v>0.54</v>
      </c>
      <c r="J136" s="7">
        <v>0.223</v>
      </c>
      <c r="K136" s="7">
        <v>0.88700000000000001</v>
      </c>
      <c r="L136" s="7">
        <v>0</v>
      </c>
      <c r="M136" s="7">
        <v>1.028</v>
      </c>
      <c r="N136" s="7">
        <v>0</v>
      </c>
      <c r="O136" s="7">
        <v>0</v>
      </c>
      <c r="P136" s="7">
        <v>1.679</v>
      </c>
      <c r="Q136" s="7">
        <v>0.29599999999999999</v>
      </c>
      <c r="R136" s="7">
        <v>0</v>
      </c>
      <c r="S136" s="7">
        <v>3.1110000000000002</v>
      </c>
      <c r="T136" s="7">
        <v>1.984</v>
      </c>
      <c r="U136" s="7">
        <v>2.0459999999999998</v>
      </c>
      <c r="V136" s="7">
        <v>0.13400000000000001</v>
      </c>
      <c r="W136" s="7">
        <v>1.1160000000000001</v>
      </c>
      <c r="X136" s="7">
        <v>1.38</v>
      </c>
      <c r="Y136" s="7">
        <v>6.2E-2</v>
      </c>
      <c r="Z136" s="7">
        <v>0</v>
      </c>
      <c r="AA136" s="7">
        <v>2.2149999999999999</v>
      </c>
      <c r="AB136" s="7">
        <v>0.26900000000000002</v>
      </c>
      <c r="AC136" s="7">
        <v>0.221</v>
      </c>
      <c r="AD136" s="7">
        <v>5.1999999999999998E-2</v>
      </c>
      <c r="AE136" s="7">
        <v>4.0229999999999997</v>
      </c>
      <c r="AF136" s="7">
        <v>6.9340000000000002</v>
      </c>
      <c r="AG136" s="7">
        <v>0</v>
      </c>
      <c r="AH136" s="7">
        <v>3.5680000000000001</v>
      </c>
      <c r="AI136" s="7">
        <v>1.3069999999999999</v>
      </c>
      <c r="AJ136" s="7">
        <v>0</v>
      </c>
      <c r="AK136" s="7">
        <v>0.39100000000000001</v>
      </c>
      <c r="AL136" s="7">
        <v>18.635999999999999</v>
      </c>
      <c r="AM136" s="7">
        <v>18.588999999999999</v>
      </c>
      <c r="AN136" s="7">
        <v>0.997</v>
      </c>
      <c r="AO136" s="7">
        <v>10.129</v>
      </c>
      <c r="AP136" s="7">
        <v>2.7069999999999999</v>
      </c>
      <c r="AQ136" s="7">
        <v>5.8</v>
      </c>
    </row>
    <row r="137" spans="1:43" x14ac:dyDescent="0.25">
      <c r="A137" t="s">
        <v>211</v>
      </c>
      <c r="B137" s="22" t="s">
        <v>836</v>
      </c>
      <c r="C137" t="s">
        <v>283</v>
      </c>
      <c r="D137" s="22" t="s">
        <v>283</v>
      </c>
      <c r="E137" s="21">
        <v>2018</v>
      </c>
      <c r="F137" s="7">
        <v>80.611069583103003</v>
      </c>
      <c r="G137" s="7">
        <v>3.2149999999999999</v>
      </c>
      <c r="H137" s="7">
        <v>0.50800000000000001</v>
      </c>
      <c r="I137" s="7">
        <v>0.70499999999999996</v>
      </c>
      <c r="J137" s="7">
        <v>0.30499999999999999</v>
      </c>
      <c r="K137" s="7">
        <v>0.76700000000000002</v>
      </c>
      <c r="L137" s="7">
        <v>0</v>
      </c>
      <c r="M137" s="7">
        <v>0.88800000000000001</v>
      </c>
      <c r="N137" s="7">
        <v>0.108</v>
      </c>
      <c r="O137" s="7">
        <v>0</v>
      </c>
      <c r="P137" s="7">
        <v>1.7609999999999999</v>
      </c>
      <c r="Q137" s="7">
        <v>0.35899999999999999</v>
      </c>
      <c r="R137" s="7">
        <v>6.9000000000000006E-2</v>
      </c>
      <c r="S137" s="7">
        <v>3.528</v>
      </c>
      <c r="T137" s="7">
        <v>1.952</v>
      </c>
      <c r="U137" s="7">
        <v>2.2149999999999999</v>
      </c>
      <c r="V137" s="7">
        <v>0.13</v>
      </c>
      <c r="W137" s="7">
        <v>1.2509999999999999</v>
      </c>
      <c r="X137" s="7">
        <v>1.409</v>
      </c>
      <c r="Y137" s="7">
        <v>7.4999999999999997E-2</v>
      </c>
      <c r="Z137" s="7">
        <v>0</v>
      </c>
      <c r="AA137" s="7">
        <v>2.222</v>
      </c>
      <c r="AB137" s="7">
        <v>0.255</v>
      </c>
      <c r="AC137" s="7">
        <v>0.33300000000000002</v>
      </c>
      <c r="AD137" s="7">
        <v>7.6999999999999999E-2</v>
      </c>
      <c r="AE137" s="7">
        <v>5.0289999999999999</v>
      </c>
      <c r="AF137" s="7">
        <v>7.3789999999999996</v>
      </c>
      <c r="AG137" s="7">
        <v>0</v>
      </c>
      <c r="AH137" s="7">
        <v>4.3230000000000004</v>
      </c>
      <c r="AI137" s="7">
        <v>2.3010000000000002</v>
      </c>
      <c r="AJ137" s="7">
        <v>0</v>
      </c>
      <c r="AK137" s="7">
        <v>0.45200000000000001</v>
      </c>
      <c r="AL137" s="7">
        <v>19.245000000000001</v>
      </c>
      <c r="AM137" s="7">
        <v>21.919</v>
      </c>
      <c r="AN137" s="7">
        <v>1.139</v>
      </c>
      <c r="AO137" s="7">
        <v>10.988</v>
      </c>
      <c r="AP137" s="7">
        <v>2.7570000000000001</v>
      </c>
      <c r="AQ137" s="7">
        <v>5.5</v>
      </c>
    </row>
    <row r="138" spans="1:43" x14ac:dyDescent="0.25">
      <c r="A138" t="s">
        <v>196</v>
      </c>
      <c r="B138" s="22" t="s">
        <v>837</v>
      </c>
      <c r="C138" t="s">
        <v>283</v>
      </c>
      <c r="D138" s="22" t="s">
        <v>286</v>
      </c>
      <c r="E138" s="21">
        <v>2018</v>
      </c>
      <c r="F138" s="7">
        <v>219.35455335436001</v>
      </c>
      <c r="G138" s="7">
        <v>8.1989999999999998</v>
      </c>
      <c r="H138" s="7">
        <v>1.2889999999999999</v>
      </c>
      <c r="I138" s="7">
        <v>1.681</v>
      </c>
      <c r="J138" s="7">
        <v>1.4890000000000001</v>
      </c>
      <c r="K138" s="7">
        <v>2.5550000000000002</v>
      </c>
      <c r="L138" s="7">
        <v>0.33800000000000002</v>
      </c>
      <c r="M138" s="7">
        <v>2.3239999999999998</v>
      </c>
      <c r="N138" s="7">
        <v>0</v>
      </c>
      <c r="O138" s="7">
        <v>0</v>
      </c>
      <c r="P138" s="7">
        <v>5.1379999999999999</v>
      </c>
      <c r="Q138" s="7">
        <v>1.327</v>
      </c>
      <c r="R138" s="7">
        <v>6.9000000000000006E-2</v>
      </c>
      <c r="S138" s="7">
        <v>10.583</v>
      </c>
      <c r="T138" s="7">
        <v>6.7690000000000001</v>
      </c>
      <c r="U138" s="7">
        <v>5.59</v>
      </c>
      <c r="V138" s="7">
        <v>0.35</v>
      </c>
      <c r="W138" s="7">
        <v>2.8490000000000002</v>
      </c>
      <c r="X138" s="7">
        <v>3.57</v>
      </c>
      <c r="Y138" s="7">
        <v>0</v>
      </c>
      <c r="Z138" s="7">
        <v>0</v>
      </c>
      <c r="AA138" s="7">
        <v>5.9349999999999996</v>
      </c>
      <c r="AB138" s="7">
        <v>0.443</v>
      </c>
      <c r="AC138" s="7">
        <v>0.85099999999999998</v>
      </c>
      <c r="AD138" s="7">
        <v>0.28499999999999998</v>
      </c>
      <c r="AE138" s="7">
        <v>14.68</v>
      </c>
      <c r="AF138" s="7">
        <v>18.288</v>
      </c>
      <c r="AG138" s="7">
        <v>0</v>
      </c>
      <c r="AH138" s="7">
        <v>13.526999999999999</v>
      </c>
      <c r="AI138" s="7">
        <v>4.4649999999999999</v>
      </c>
      <c r="AJ138" s="7">
        <v>0</v>
      </c>
      <c r="AK138" s="7">
        <v>1.59</v>
      </c>
      <c r="AL138" s="7">
        <v>54.12</v>
      </c>
      <c r="AM138" s="7">
        <v>58.473999999999997</v>
      </c>
      <c r="AN138" s="7">
        <v>1.08</v>
      </c>
      <c r="AO138" s="7">
        <v>31.106999999999999</v>
      </c>
      <c r="AP138" s="7">
        <v>7.4619999999999997</v>
      </c>
      <c r="AQ138" s="7">
        <v>15.551</v>
      </c>
    </row>
    <row r="139" spans="1:43" x14ac:dyDescent="0.25">
      <c r="A139" t="s">
        <v>197</v>
      </c>
      <c r="B139" s="22" t="s">
        <v>837</v>
      </c>
      <c r="C139" t="s">
        <v>283</v>
      </c>
      <c r="D139" s="22" t="s">
        <v>286</v>
      </c>
      <c r="E139" s="21">
        <v>2018</v>
      </c>
      <c r="F139" s="7">
        <v>217.460908936164</v>
      </c>
      <c r="G139" s="7">
        <v>8.2100000000000009</v>
      </c>
      <c r="H139" s="7">
        <v>1.607</v>
      </c>
      <c r="I139" s="7">
        <v>1.8540000000000001</v>
      </c>
      <c r="J139" s="7">
        <v>1.2629999999999999</v>
      </c>
      <c r="K139" s="7">
        <v>2.899</v>
      </c>
      <c r="L139" s="7">
        <v>0</v>
      </c>
      <c r="M139" s="7">
        <v>2.2909999999999999</v>
      </c>
      <c r="N139" s="7">
        <v>0</v>
      </c>
      <c r="O139" s="7">
        <v>0</v>
      </c>
      <c r="P139" s="7">
        <v>5.0380000000000003</v>
      </c>
      <c r="Q139" s="7">
        <v>1.375</v>
      </c>
      <c r="R139" s="7">
        <v>6.0999999999999999E-2</v>
      </c>
      <c r="S139" s="7">
        <v>10.845000000000001</v>
      </c>
      <c r="T139" s="7">
        <v>7.7759999999999998</v>
      </c>
      <c r="U139" s="7">
        <v>6.2830000000000004</v>
      </c>
      <c r="V139" s="7">
        <v>0.35799999999999998</v>
      </c>
      <c r="W139" s="7">
        <v>3.1070000000000002</v>
      </c>
      <c r="X139" s="7">
        <v>3.8079999999999998</v>
      </c>
      <c r="Y139" s="7">
        <v>0.16300000000000001</v>
      </c>
      <c r="Z139" s="7">
        <v>0</v>
      </c>
      <c r="AA139" s="7">
        <v>6.6230000000000002</v>
      </c>
      <c r="AB139" s="7">
        <v>0.41</v>
      </c>
      <c r="AC139" s="7">
        <v>0.85099999999999998</v>
      </c>
      <c r="AD139" s="7">
        <v>0.26400000000000001</v>
      </c>
      <c r="AE139" s="7">
        <v>13.076000000000001</v>
      </c>
      <c r="AF139" s="7">
        <v>18.991</v>
      </c>
      <c r="AG139" s="7">
        <v>0</v>
      </c>
      <c r="AH139" s="7">
        <v>14.295999999999999</v>
      </c>
      <c r="AI139" s="7">
        <v>3.867</v>
      </c>
      <c r="AJ139" s="7">
        <v>0</v>
      </c>
      <c r="AK139" s="7">
        <v>2.4239999999999999</v>
      </c>
      <c r="AL139" s="7">
        <v>56.938000000000002</v>
      </c>
      <c r="AM139" s="7">
        <v>58.378</v>
      </c>
      <c r="AN139" s="7">
        <v>1.0249999999999999</v>
      </c>
      <c r="AO139" s="7">
        <v>33.776000000000003</v>
      </c>
      <c r="AP139" s="7">
        <v>7.3289999999999997</v>
      </c>
      <c r="AQ139" s="7">
        <v>15.833</v>
      </c>
    </row>
    <row r="140" spans="1:43" x14ac:dyDescent="0.25">
      <c r="A140" t="s">
        <v>198</v>
      </c>
      <c r="B140" s="22" t="s">
        <v>837</v>
      </c>
      <c r="C140" t="s">
        <v>283</v>
      </c>
      <c r="D140" s="22" t="s">
        <v>286</v>
      </c>
      <c r="E140" s="21">
        <v>2018</v>
      </c>
      <c r="F140" s="7">
        <v>389.63254106609799</v>
      </c>
      <c r="G140" s="7">
        <v>12.311</v>
      </c>
      <c r="H140" s="7">
        <v>1.917</v>
      </c>
      <c r="I140" s="7">
        <v>2.7919999999999998</v>
      </c>
      <c r="J140" s="7">
        <v>2.84</v>
      </c>
      <c r="K140" s="7">
        <v>5.0389999999999997</v>
      </c>
      <c r="L140" s="7">
        <v>0.35299999999999998</v>
      </c>
      <c r="M140" s="7">
        <v>3.7170000000000001</v>
      </c>
      <c r="N140" s="7">
        <v>0</v>
      </c>
      <c r="O140" s="7">
        <v>0</v>
      </c>
      <c r="P140" s="7">
        <v>7.4050000000000002</v>
      </c>
      <c r="Q140" s="7">
        <v>2.4980000000000002</v>
      </c>
      <c r="R140" s="7">
        <v>0.14099999999999999</v>
      </c>
      <c r="S140" s="7">
        <v>16.856999999999999</v>
      </c>
      <c r="T140" s="7">
        <v>11.423</v>
      </c>
      <c r="U140" s="7">
        <v>9.3490000000000002</v>
      </c>
      <c r="V140" s="7">
        <v>0.55600000000000005</v>
      </c>
      <c r="W140" s="7">
        <v>4.53</v>
      </c>
      <c r="X140" s="7">
        <v>5.56</v>
      </c>
      <c r="Y140" s="7">
        <v>0.39900000000000002</v>
      </c>
      <c r="Z140" s="7">
        <v>0</v>
      </c>
      <c r="AA140" s="7">
        <v>11.378</v>
      </c>
      <c r="AB140" s="7">
        <v>0.99</v>
      </c>
      <c r="AC140" s="7">
        <v>1.2789999999999999</v>
      </c>
      <c r="AD140" s="7">
        <v>0.629</v>
      </c>
      <c r="AE140" s="7">
        <v>21.638999999999999</v>
      </c>
      <c r="AF140" s="7">
        <v>37.121000000000002</v>
      </c>
      <c r="AG140" s="7">
        <v>0</v>
      </c>
      <c r="AH140" s="7">
        <v>25.045999999999999</v>
      </c>
      <c r="AI140" s="7">
        <v>0</v>
      </c>
      <c r="AJ140" s="7">
        <v>18.827999999999999</v>
      </c>
      <c r="AK140" s="7">
        <v>5.0720000000000001</v>
      </c>
      <c r="AL140" s="7">
        <v>87.686999999999998</v>
      </c>
      <c r="AM140" s="7">
        <v>116.91</v>
      </c>
      <c r="AN140" s="7">
        <v>1.333</v>
      </c>
      <c r="AO140" s="7">
        <v>51.313000000000002</v>
      </c>
      <c r="AP140" s="7">
        <v>11.122</v>
      </c>
      <c r="AQ140" s="7">
        <v>25.251999999999999</v>
      </c>
    </row>
    <row r="141" spans="1:43" x14ac:dyDescent="0.25">
      <c r="A141" t="s">
        <v>199</v>
      </c>
      <c r="B141" s="22" t="s">
        <v>837</v>
      </c>
      <c r="C141" t="s">
        <v>283</v>
      </c>
      <c r="D141" s="22" t="s">
        <v>286</v>
      </c>
      <c r="E141" s="21">
        <v>2018</v>
      </c>
      <c r="F141" s="7">
        <v>377.13266014960197</v>
      </c>
      <c r="G141" s="7">
        <v>10.823</v>
      </c>
      <c r="H141" s="7">
        <v>1.5249999999999999</v>
      </c>
      <c r="I141" s="7">
        <v>2.899</v>
      </c>
      <c r="J141" s="7">
        <v>2.613</v>
      </c>
      <c r="K141" s="7">
        <v>5.4619999999999997</v>
      </c>
      <c r="L141" s="7">
        <v>0</v>
      </c>
      <c r="M141" s="7">
        <v>3.2730000000000001</v>
      </c>
      <c r="N141" s="7">
        <v>0</v>
      </c>
      <c r="O141" s="7">
        <v>0</v>
      </c>
      <c r="P141" s="7">
        <v>6.1550000000000002</v>
      </c>
      <c r="Q141" s="7">
        <v>2.3380000000000001</v>
      </c>
      <c r="R141" s="7">
        <v>0.113</v>
      </c>
      <c r="S141" s="7">
        <v>15.941000000000001</v>
      </c>
      <c r="T141" s="7">
        <v>12.247999999999999</v>
      </c>
      <c r="U141" s="7">
        <v>10.416</v>
      </c>
      <c r="V141" s="7">
        <v>0.64500000000000002</v>
      </c>
      <c r="W141" s="7">
        <v>4.2359999999999998</v>
      </c>
      <c r="X141" s="7">
        <v>5.8079999999999998</v>
      </c>
      <c r="Y141" s="7">
        <v>0.40899999999999997</v>
      </c>
      <c r="Z141" s="7">
        <v>0</v>
      </c>
      <c r="AA141" s="7">
        <v>8.8989999999999991</v>
      </c>
      <c r="AB141" s="7">
        <v>1.72</v>
      </c>
      <c r="AC141" s="7">
        <v>1.1240000000000001</v>
      </c>
      <c r="AD141" s="7">
        <v>0.996</v>
      </c>
      <c r="AE141" s="7">
        <v>34.6</v>
      </c>
      <c r="AF141" s="7">
        <v>35.26</v>
      </c>
      <c r="AG141" s="7">
        <v>0</v>
      </c>
      <c r="AH141" s="7">
        <v>24.238</v>
      </c>
      <c r="AI141" s="7">
        <v>7.21</v>
      </c>
      <c r="AJ141" s="7">
        <v>0</v>
      </c>
      <c r="AK141" s="7">
        <v>4.7939999999999996</v>
      </c>
      <c r="AL141" s="7">
        <v>84.903999999999996</v>
      </c>
      <c r="AM141" s="7">
        <v>114.047</v>
      </c>
      <c r="AN141" s="7">
        <v>1.343</v>
      </c>
      <c r="AO141" s="7">
        <v>52.154000000000003</v>
      </c>
      <c r="AP141" s="7">
        <v>9.4280000000000008</v>
      </c>
      <c r="AQ141" s="7">
        <v>23.321999999999999</v>
      </c>
    </row>
    <row r="142" spans="1:43" x14ac:dyDescent="0.25">
      <c r="A142" t="s">
        <v>200</v>
      </c>
      <c r="B142" s="22" t="s">
        <v>831</v>
      </c>
      <c r="C142" t="s">
        <v>283</v>
      </c>
      <c r="D142" s="22" t="s">
        <v>286</v>
      </c>
      <c r="E142" s="21">
        <v>2018</v>
      </c>
      <c r="F142" s="7">
        <v>253.38124140752799</v>
      </c>
      <c r="G142" s="7">
        <v>7.3949999999999996</v>
      </c>
      <c r="H142" s="7">
        <v>1.6539999999999999</v>
      </c>
      <c r="I142" s="7">
        <v>2.4039999999999999</v>
      </c>
      <c r="J142" s="7">
        <v>1.52</v>
      </c>
      <c r="K142" s="7">
        <v>3.7469999999999999</v>
      </c>
      <c r="L142" s="7">
        <v>0.218</v>
      </c>
      <c r="M142" s="7">
        <v>2.597</v>
      </c>
      <c r="N142" s="7">
        <v>0</v>
      </c>
      <c r="O142" s="7">
        <v>0</v>
      </c>
      <c r="P142" s="7">
        <v>5.3470000000000004</v>
      </c>
      <c r="Q142" s="7">
        <v>1.381</v>
      </c>
      <c r="R142" s="7">
        <v>8.2000000000000003E-2</v>
      </c>
      <c r="S142" s="7">
        <v>11.971</v>
      </c>
      <c r="T142" s="7">
        <v>6.8140000000000001</v>
      </c>
      <c r="U142" s="7">
        <v>7.1550000000000002</v>
      </c>
      <c r="V142" s="7">
        <v>0.45100000000000001</v>
      </c>
      <c r="W142" s="7">
        <v>3.7610000000000001</v>
      </c>
      <c r="X142" s="7">
        <v>4.2560000000000002</v>
      </c>
      <c r="Y142" s="7">
        <v>0.35</v>
      </c>
      <c r="Z142" s="7">
        <v>0</v>
      </c>
      <c r="AA142" s="7">
        <v>5.0860000000000003</v>
      </c>
      <c r="AB142" s="7">
        <v>0.98399999999999999</v>
      </c>
      <c r="AC142" s="7">
        <v>0.70099999999999996</v>
      </c>
      <c r="AD142" s="7">
        <v>0.83399999999999996</v>
      </c>
      <c r="AE142" s="7">
        <v>11.141999999999999</v>
      </c>
      <c r="AF142" s="7">
        <v>19.855</v>
      </c>
      <c r="AG142" s="7">
        <v>0</v>
      </c>
      <c r="AH142" s="7">
        <v>10.199</v>
      </c>
      <c r="AI142" s="7">
        <v>0</v>
      </c>
      <c r="AJ142" s="7">
        <v>11.643000000000001</v>
      </c>
      <c r="AK142" s="7">
        <v>1.7310000000000001</v>
      </c>
      <c r="AL142" s="7">
        <v>61.103000000000002</v>
      </c>
      <c r="AM142" s="7">
        <v>60.444000000000003</v>
      </c>
      <c r="AN142" s="7">
        <v>0.98899999999999999</v>
      </c>
      <c r="AO142" s="7">
        <v>36.220999999999997</v>
      </c>
      <c r="AP142" s="7">
        <v>7.944</v>
      </c>
      <c r="AQ142" s="7">
        <v>16.937999999999999</v>
      </c>
    </row>
    <row r="143" spans="1:43" x14ac:dyDescent="0.25">
      <c r="A143" t="s">
        <v>201</v>
      </c>
      <c r="B143" s="22" t="s">
        <v>831</v>
      </c>
      <c r="C143" t="s">
        <v>283</v>
      </c>
      <c r="D143" s="22" t="s">
        <v>286</v>
      </c>
      <c r="E143" s="21">
        <v>2018</v>
      </c>
      <c r="F143" s="7">
        <v>200.85943100426701</v>
      </c>
      <c r="G143" s="7">
        <v>7.1749999999999998</v>
      </c>
      <c r="H143" s="7">
        <v>1.49</v>
      </c>
      <c r="I143" s="7">
        <v>1.577</v>
      </c>
      <c r="J143" s="7">
        <v>1.1200000000000001</v>
      </c>
      <c r="K143" s="7">
        <v>2.5979999999999999</v>
      </c>
      <c r="L143" s="7">
        <v>0.36699999999999999</v>
      </c>
      <c r="M143" s="7">
        <v>2.0619999999999998</v>
      </c>
      <c r="N143" s="7">
        <v>0</v>
      </c>
      <c r="O143" s="7">
        <v>0</v>
      </c>
      <c r="P143" s="7">
        <v>4.3789999999999996</v>
      </c>
      <c r="Q143" s="7">
        <v>1.0760000000000001</v>
      </c>
      <c r="R143" s="7">
        <v>5.5E-2</v>
      </c>
      <c r="S143" s="7">
        <v>9.5779999999999994</v>
      </c>
      <c r="T143" s="7">
        <v>5.4640000000000004</v>
      </c>
      <c r="U143" s="7">
        <v>5.4059999999999997</v>
      </c>
      <c r="V143" s="7">
        <v>0.29699999999999999</v>
      </c>
      <c r="W143" s="7">
        <v>2.887</v>
      </c>
      <c r="X143" s="7">
        <v>3.2189999999999999</v>
      </c>
      <c r="Y143" s="7">
        <v>0.22900000000000001</v>
      </c>
      <c r="Z143" s="7">
        <v>0</v>
      </c>
      <c r="AA143" s="7">
        <v>4.7229999999999999</v>
      </c>
      <c r="AB143" s="7">
        <v>0.437</v>
      </c>
      <c r="AC143" s="7">
        <v>0.61399999999999999</v>
      </c>
      <c r="AD143" s="7">
        <v>0.224</v>
      </c>
      <c r="AE143" s="7">
        <v>13.154</v>
      </c>
      <c r="AF143" s="7">
        <v>18.97</v>
      </c>
      <c r="AG143" s="7">
        <v>0</v>
      </c>
      <c r="AH143" s="7">
        <v>10.949</v>
      </c>
      <c r="AI143" s="7">
        <v>3.0779999999999998</v>
      </c>
      <c r="AJ143" s="7">
        <v>0</v>
      </c>
      <c r="AK143" s="7">
        <v>2.9220000000000002</v>
      </c>
      <c r="AL143" s="7">
        <v>48.978999999999999</v>
      </c>
      <c r="AM143" s="7">
        <v>52.149000000000001</v>
      </c>
      <c r="AN143" s="7">
        <v>1.0649999999999999</v>
      </c>
      <c r="AO143" s="7">
        <v>28.210999999999999</v>
      </c>
      <c r="AP143" s="7">
        <v>6.4409999999999998</v>
      </c>
      <c r="AQ143" s="7">
        <v>14.327</v>
      </c>
    </row>
    <row r="144" spans="1:43" x14ac:dyDescent="0.25">
      <c r="A144" t="s">
        <v>202</v>
      </c>
      <c r="B144" s="22" t="s">
        <v>831</v>
      </c>
      <c r="C144" t="s">
        <v>283</v>
      </c>
      <c r="D144" s="22" t="s">
        <v>286</v>
      </c>
      <c r="E144" s="21">
        <v>2018</v>
      </c>
      <c r="F144" s="7">
        <v>162.36591909492401</v>
      </c>
      <c r="G144" s="7">
        <v>6.8529999999999998</v>
      </c>
      <c r="H144" s="7">
        <v>1.01</v>
      </c>
      <c r="I144" s="7">
        <v>1.3480000000000001</v>
      </c>
      <c r="J144" s="7">
        <v>0.80400000000000005</v>
      </c>
      <c r="K144" s="7">
        <v>2.0139999999999998</v>
      </c>
      <c r="L144" s="7">
        <v>0</v>
      </c>
      <c r="M144" s="7">
        <v>1.863</v>
      </c>
      <c r="N144" s="7">
        <v>0</v>
      </c>
      <c r="O144" s="7">
        <v>0</v>
      </c>
      <c r="P144" s="7">
        <v>3.9790000000000001</v>
      </c>
      <c r="Q144" s="7">
        <v>0.872</v>
      </c>
      <c r="R144" s="7">
        <v>4.2999999999999997E-2</v>
      </c>
      <c r="S144" s="7">
        <v>8.4320000000000004</v>
      </c>
      <c r="T144" s="7">
        <v>4.7460000000000004</v>
      </c>
      <c r="U144" s="7">
        <v>4.5190000000000001</v>
      </c>
      <c r="V144" s="7">
        <v>0.26800000000000002</v>
      </c>
      <c r="W144" s="7">
        <v>2.5329999999999999</v>
      </c>
      <c r="X144" s="7">
        <v>2.8580000000000001</v>
      </c>
      <c r="Y144" s="7">
        <v>0.13700000000000001</v>
      </c>
      <c r="Z144" s="7">
        <v>0</v>
      </c>
      <c r="AA144" s="7">
        <v>4.3449999999999998</v>
      </c>
      <c r="AB144" s="7">
        <v>0.39200000000000002</v>
      </c>
      <c r="AC144" s="7">
        <v>0.54400000000000004</v>
      </c>
      <c r="AD144" s="7">
        <v>0.222</v>
      </c>
      <c r="AE144" s="7">
        <v>9.5399999999999991</v>
      </c>
      <c r="AF144" s="7">
        <v>14.86</v>
      </c>
      <c r="AG144" s="7">
        <v>0</v>
      </c>
      <c r="AH144" s="7">
        <v>9.3789999999999996</v>
      </c>
      <c r="AI144" s="7">
        <v>2.8959999999999999</v>
      </c>
      <c r="AJ144" s="7">
        <v>0</v>
      </c>
      <c r="AK144" s="7">
        <v>2.524</v>
      </c>
      <c r="AL144" s="7">
        <v>42.279000000000003</v>
      </c>
      <c r="AM144" s="7">
        <v>42.177999999999997</v>
      </c>
      <c r="AN144" s="7">
        <v>0.998</v>
      </c>
      <c r="AO144" s="7">
        <v>24.408000000000001</v>
      </c>
      <c r="AP144" s="7">
        <v>5.8419999999999996</v>
      </c>
      <c r="AQ144" s="7">
        <v>12.029</v>
      </c>
    </row>
    <row r="145" spans="1:43" x14ac:dyDescent="0.25">
      <c r="A145" t="s">
        <v>203</v>
      </c>
      <c r="B145" s="22" t="s">
        <v>831</v>
      </c>
      <c r="C145" t="s">
        <v>283</v>
      </c>
      <c r="D145" s="22" t="s">
        <v>286</v>
      </c>
      <c r="E145" s="21">
        <v>2018</v>
      </c>
      <c r="F145" s="7">
        <v>219.88210038486801</v>
      </c>
      <c r="G145" s="7">
        <v>7.633</v>
      </c>
      <c r="H145" s="7">
        <v>1.2350000000000001</v>
      </c>
      <c r="I145" s="7">
        <v>1.88</v>
      </c>
      <c r="J145" s="7">
        <v>1.165</v>
      </c>
      <c r="K145" s="7">
        <v>3.173</v>
      </c>
      <c r="L145" s="7">
        <v>0</v>
      </c>
      <c r="M145" s="7">
        <v>2.0920000000000001</v>
      </c>
      <c r="N145" s="7">
        <v>0</v>
      </c>
      <c r="O145" s="7">
        <v>0</v>
      </c>
      <c r="P145" s="7">
        <v>3.8839999999999999</v>
      </c>
      <c r="Q145" s="7">
        <v>1.238</v>
      </c>
      <c r="R145" s="7">
        <v>6.9000000000000006E-2</v>
      </c>
      <c r="S145" s="7">
        <v>9.99</v>
      </c>
      <c r="T145" s="7">
        <v>6.49</v>
      </c>
      <c r="U145" s="7">
        <v>6.3140000000000001</v>
      </c>
      <c r="V145" s="7">
        <v>0.35199999999999998</v>
      </c>
      <c r="W145" s="7">
        <v>2.948</v>
      </c>
      <c r="X145" s="7">
        <v>3.7709999999999999</v>
      </c>
      <c r="Y145" s="7">
        <v>0.18099999999999999</v>
      </c>
      <c r="Z145" s="7">
        <v>0</v>
      </c>
      <c r="AA145" s="7">
        <v>4.8470000000000004</v>
      </c>
      <c r="AB145" s="7">
        <v>0.47399999999999998</v>
      </c>
      <c r="AC145" s="7">
        <v>0.79500000000000004</v>
      </c>
      <c r="AD145" s="7">
        <v>0.28499999999999998</v>
      </c>
      <c r="AE145" s="7">
        <v>14.507</v>
      </c>
      <c r="AF145" s="7">
        <v>20.416</v>
      </c>
      <c r="AG145" s="7">
        <v>0</v>
      </c>
      <c r="AH145" s="7">
        <v>13.398999999999999</v>
      </c>
      <c r="AI145" s="7">
        <v>3.9630000000000001</v>
      </c>
      <c r="AJ145" s="7">
        <v>0</v>
      </c>
      <c r="AK145" s="7">
        <v>1.61</v>
      </c>
      <c r="AL145" s="7">
        <v>52.414999999999999</v>
      </c>
      <c r="AM145" s="7">
        <v>58.686</v>
      </c>
      <c r="AN145" s="7">
        <v>1.1200000000000001</v>
      </c>
      <c r="AO145" s="7">
        <v>31.353000000000002</v>
      </c>
      <c r="AP145" s="7">
        <v>5.976</v>
      </c>
      <c r="AQ145" s="7">
        <v>15.086</v>
      </c>
    </row>
    <row r="146" spans="1:43" x14ac:dyDescent="0.25">
      <c r="A146" t="s">
        <v>204</v>
      </c>
      <c r="B146" s="22" t="s">
        <v>838</v>
      </c>
      <c r="C146" t="s">
        <v>283</v>
      </c>
      <c r="D146" s="22" t="s">
        <v>286</v>
      </c>
      <c r="E146" s="21">
        <v>2018</v>
      </c>
      <c r="F146" s="7">
        <v>170.21562216503099</v>
      </c>
      <c r="G146" s="7">
        <v>6.085</v>
      </c>
      <c r="H146" s="7">
        <v>0.86</v>
      </c>
      <c r="I146" s="7">
        <v>1.4139999999999999</v>
      </c>
      <c r="J146" s="7">
        <v>0.79300000000000004</v>
      </c>
      <c r="K146" s="7">
        <v>2.2589999999999999</v>
      </c>
      <c r="L146" s="7">
        <v>0</v>
      </c>
      <c r="M146" s="7">
        <v>1.629</v>
      </c>
      <c r="N146" s="7">
        <v>0</v>
      </c>
      <c r="O146" s="7">
        <v>0</v>
      </c>
      <c r="P146" s="7">
        <v>3.3679999999999999</v>
      </c>
      <c r="Q146" s="7">
        <v>0.95</v>
      </c>
      <c r="R146" s="7">
        <v>4.4999999999999998E-2</v>
      </c>
      <c r="S146" s="7">
        <v>7.5549999999999997</v>
      </c>
      <c r="T146" s="7">
        <v>5.2110000000000003</v>
      </c>
      <c r="U146" s="7">
        <v>4.6609999999999996</v>
      </c>
      <c r="V146" s="7">
        <v>0.27500000000000002</v>
      </c>
      <c r="W146" s="7">
        <v>2.2810000000000001</v>
      </c>
      <c r="X146" s="7">
        <v>2.9129999999999998</v>
      </c>
      <c r="Y146" s="7">
        <v>0.14099999999999999</v>
      </c>
      <c r="Z146" s="7">
        <v>0</v>
      </c>
      <c r="AA146" s="7">
        <v>5.0209999999999999</v>
      </c>
      <c r="AB146" s="7">
        <v>0.45800000000000002</v>
      </c>
      <c r="AC146" s="7">
        <v>0.59</v>
      </c>
      <c r="AD146" s="7">
        <v>0.222</v>
      </c>
      <c r="AE146" s="7">
        <v>10.118</v>
      </c>
      <c r="AF146" s="7">
        <v>16.254000000000001</v>
      </c>
      <c r="AG146" s="7">
        <v>0</v>
      </c>
      <c r="AH146" s="7">
        <v>12.755000000000001</v>
      </c>
      <c r="AI146" s="7">
        <v>2.6320000000000001</v>
      </c>
      <c r="AJ146" s="7">
        <v>0</v>
      </c>
      <c r="AK146" s="7">
        <v>2.585</v>
      </c>
      <c r="AL146" s="7">
        <v>40.44</v>
      </c>
      <c r="AM146" s="7">
        <v>48.05</v>
      </c>
      <c r="AN146" s="7">
        <v>1.1879999999999999</v>
      </c>
      <c r="AO146" s="7">
        <v>24.032</v>
      </c>
      <c r="AP146" s="7">
        <v>4.9969999999999999</v>
      </c>
      <c r="AQ146" s="7">
        <v>11.411</v>
      </c>
    </row>
    <row r="147" spans="1:43" x14ac:dyDescent="0.25">
      <c r="A147" t="s">
        <v>205</v>
      </c>
      <c r="B147" s="22" t="s">
        <v>838</v>
      </c>
      <c r="C147" t="s">
        <v>283</v>
      </c>
      <c r="D147" s="22" t="s">
        <v>286</v>
      </c>
      <c r="E147" s="21">
        <v>2018</v>
      </c>
      <c r="F147" s="7">
        <v>196.87497077220999</v>
      </c>
      <c r="G147" s="7">
        <v>6.665</v>
      </c>
      <c r="H147" s="7">
        <v>0.89200000000000002</v>
      </c>
      <c r="I147" s="7">
        <v>1.5229999999999999</v>
      </c>
      <c r="J147" s="7">
        <v>1.1120000000000001</v>
      </c>
      <c r="K147" s="7">
        <v>2.5579999999999998</v>
      </c>
      <c r="L147" s="7">
        <v>0</v>
      </c>
      <c r="M147" s="7">
        <v>1.9970000000000001</v>
      </c>
      <c r="N147" s="7">
        <v>0</v>
      </c>
      <c r="O147" s="7">
        <v>0</v>
      </c>
      <c r="P147" s="7">
        <v>3.976</v>
      </c>
      <c r="Q147" s="7">
        <v>1.3380000000000001</v>
      </c>
      <c r="R147" s="7">
        <v>0</v>
      </c>
      <c r="S147" s="7">
        <v>8.9030000000000005</v>
      </c>
      <c r="T147" s="7">
        <v>5.8879999999999999</v>
      </c>
      <c r="U147" s="7">
        <v>5.1230000000000002</v>
      </c>
      <c r="V147" s="7">
        <v>0.32100000000000001</v>
      </c>
      <c r="W147" s="7">
        <v>2.669</v>
      </c>
      <c r="X147" s="7">
        <v>3.3010000000000002</v>
      </c>
      <c r="Y147" s="7">
        <v>0.20499999999999999</v>
      </c>
      <c r="Z147" s="7">
        <v>0</v>
      </c>
      <c r="AA147" s="7">
        <v>6.8049999999999997</v>
      </c>
      <c r="AB147" s="7">
        <v>0.59</v>
      </c>
      <c r="AC147" s="7">
        <v>0.72399999999999998</v>
      </c>
      <c r="AD147" s="7">
        <v>0.35599999999999998</v>
      </c>
      <c r="AE147" s="7">
        <v>11.512</v>
      </c>
      <c r="AF147" s="7">
        <v>17.576000000000001</v>
      </c>
      <c r="AG147" s="7">
        <v>0</v>
      </c>
      <c r="AH147" s="7">
        <v>13.569000000000001</v>
      </c>
      <c r="AI147" s="7">
        <v>3.6789999999999998</v>
      </c>
      <c r="AJ147" s="7">
        <v>0</v>
      </c>
      <c r="AK147" s="7">
        <v>2.7210000000000001</v>
      </c>
      <c r="AL147" s="7">
        <v>46.470999999999997</v>
      </c>
      <c r="AM147" s="7">
        <v>54.811</v>
      </c>
      <c r="AN147" s="7">
        <v>1.179</v>
      </c>
      <c r="AO147" s="7">
        <v>27.748000000000001</v>
      </c>
      <c r="AP147" s="7">
        <v>5.9729999999999999</v>
      </c>
      <c r="AQ147" s="7">
        <v>12.75</v>
      </c>
    </row>
    <row r="148" spans="1:43" x14ac:dyDescent="0.25">
      <c r="A148" t="s">
        <v>206</v>
      </c>
      <c r="B148" s="22" t="s">
        <v>838</v>
      </c>
      <c r="C148" t="s">
        <v>283</v>
      </c>
      <c r="D148" s="22" t="s">
        <v>286</v>
      </c>
      <c r="E148" s="21">
        <v>2018</v>
      </c>
      <c r="F148" s="7">
        <v>278.835367957632</v>
      </c>
      <c r="G148" s="7">
        <v>9.0549999999999997</v>
      </c>
      <c r="H148" s="7">
        <v>1.1180000000000001</v>
      </c>
      <c r="I148" s="7">
        <v>2.2120000000000002</v>
      </c>
      <c r="J148" s="7">
        <v>1.403</v>
      </c>
      <c r="K148" s="7">
        <v>3.2410000000000001</v>
      </c>
      <c r="L148" s="7">
        <v>0</v>
      </c>
      <c r="M148" s="7">
        <v>2.6779999999999999</v>
      </c>
      <c r="N148" s="7">
        <v>0</v>
      </c>
      <c r="O148" s="7">
        <v>0</v>
      </c>
      <c r="P148" s="7">
        <v>5.0830000000000002</v>
      </c>
      <c r="Q148" s="7">
        <v>1.9039999999999999</v>
      </c>
      <c r="R148" s="7">
        <v>8.3000000000000004E-2</v>
      </c>
      <c r="S148" s="7">
        <v>12.307</v>
      </c>
      <c r="T148" s="7">
        <v>8.8140000000000001</v>
      </c>
      <c r="U148" s="7">
        <v>7.66</v>
      </c>
      <c r="V148" s="7">
        <v>0.43</v>
      </c>
      <c r="W148" s="7">
        <v>3.8140000000000001</v>
      </c>
      <c r="X148" s="7">
        <v>4.7560000000000002</v>
      </c>
      <c r="Y148" s="7">
        <v>0.26</v>
      </c>
      <c r="Z148" s="7">
        <v>0</v>
      </c>
      <c r="AA148" s="7">
        <v>11.365</v>
      </c>
      <c r="AB148" s="7">
        <v>1.0049999999999999</v>
      </c>
      <c r="AC148" s="7">
        <v>0.88600000000000001</v>
      </c>
      <c r="AD148" s="7">
        <v>0.6</v>
      </c>
      <c r="AE148" s="7">
        <v>13.638999999999999</v>
      </c>
      <c r="AF148" s="7">
        <v>24.672999999999998</v>
      </c>
      <c r="AG148" s="7">
        <v>0</v>
      </c>
      <c r="AH148" s="7">
        <v>18.643000000000001</v>
      </c>
      <c r="AI148" s="7">
        <v>5.9429999999999996</v>
      </c>
      <c r="AJ148" s="7">
        <v>0</v>
      </c>
      <c r="AK148" s="7">
        <v>4.8339999999999996</v>
      </c>
      <c r="AL148" s="7">
        <v>64.817999999999998</v>
      </c>
      <c r="AM148" s="7">
        <v>76.754000000000005</v>
      </c>
      <c r="AN148" s="7">
        <v>1.1839999999999999</v>
      </c>
      <c r="AO148" s="7">
        <v>40.027999999999999</v>
      </c>
      <c r="AP148" s="7">
        <v>7.7610000000000001</v>
      </c>
      <c r="AQ148" s="7">
        <v>17.029</v>
      </c>
    </row>
    <row r="149" spans="1:43" x14ac:dyDescent="0.25">
      <c r="A149" t="s">
        <v>207</v>
      </c>
      <c r="B149" s="22" t="s">
        <v>838</v>
      </c>
      <c r="C149" t="s">
        <v>283</v>
      </c>
      <c r="D149" s="22" t="s">
        <v>286</v>
      </c>
      <c r="E149" s="21">
        <v>2018</v>
      </c>
      <c r="F149" s="7">
        <v>209.244378614726</v>
      </c>
      <c r="G149" s="7">
        <v>6.734</v>
      </c>
      <c r="H149" s="7">
        <v>1.024</v>
      </c>
      <c r="I149" s="7">
        <v>1.5569999999999999</v>
      </c>
      <c r="J149" s="7">
        <v>1.1180000000000001</v>
      </c>
      <c r="K149" s="7">
        <v>2.98</v>
      </c>
      <c r="L149" s="7">
        <v>0</v>
      </c>
      <c r="M149" s="7">
        <v>2.1030000000000002</v>
      </c>
      <c r="N149" s="7">
        <v>0</v>
      </c>
      <c r="O149" s="7">
        <v>0</v>
      </c>
      <c r="P149" s="7">
        <v>3.871</v>
      </c>
      <c r="Q149" s="7">
        <v>1.2470000000000001</v>
      </c>
      <c r="R149" s="7">
        <v>5.2999999999999999E-2</v>
      </c>
      <c r="S149" s="7">
        <v>8.5060000000000002</v>
      </c>
      <c r="T149" s="7">
        <v>6.8570000000000002</v>
      </c>
      <c r="U149" s="7">
        <v>5.5090000000000003</v>
      </c>
      <c r="V149" s="7">
        <v>0.34599999999999997</v>
      </c>
      <c r="W149" s="7">
        <v>2.677</v>
      </c>
      <c r="X149" s="7">
        <v>3.7050000000000001</v>
      </c>
      <c r="Y149" s="7">
        <v>0.255</v>
      </c>
      <c r="Z149" s="7">
        <v>0</v>
      </c>
      <c r="AA149" s="7">
        <v>6.4189999999999996</v>
      </c>
      <c r="AB149" s="7">
        <v>0.76900000000000002</v>
      </c>
      <c r="AC149" s="7">
        <v>0.63</v>
      </c>
      <c r="AD149" s="7">
        <v>0.41499999999999998</v>
      </c>
      <c r="AE149" s="7">
        <v>13.693</v>
      </c>
      <c r="AF149" s="7">
        <v>18.928999999999998</v>
      </c>
      <c r="AG149" s="7">
        <v>0</v>
      </c>
      <c r="AH149" s="7">
        <v>13.618</v>
      </c>
      <c r="AI149" s="7">
        <v>3.1560000000000001</v>
      </c>
      <c r="AJ149" s="7">
        <v>0</v>
      </c>
      <c r="AK149" s="7">
        <v>4.1929999999999996</v>
      </c>
      <c r="AL149" s="7">
        <v>48.542000000000002</v>
      </c>
      <c r="AM149" s="7">
        <v>57.628999999999998</v>
      </c>
      <c r="AN149" s="7">
        <v>1.1870000000000001</v>
      </c>
      <c r="AO149" s="7">
        <v>29.155000000000001</v>
      </c>
      <c r="AP149" s="7">
        <v>5.9740000000000002</v>
      </c>
      <c r="AQ149" s="7">
        <v>13.413</v>
      </c>
    </row>
    <row r="150" spans="1:43" x14ac:dyDescent="0.25">
      <c r="A150" t="s">
        <v>226</v>
      </c>
      <c r="B150" t="s">
        <v>823</v>
      </c>
      <c r="C150" t="s">
        <v>298</v>
      </c>
      <c r="D150" s="22" t="s">
        <v>283</v>
      </c>
      <c r="E150" s="21">
        <v>2018</v>
      </c>
      <c r="F150" s="7">
        <v>148.29406445005301</v>
      </c>
      <c r="G150" s="7">
        <v>6.0140000000000002</v>
      </c>
      <c r="H150" s="7">
        <v>3.359</v>
      </c>
      <c r="I150" s="7">
        <v>1.8149999999999999</v>
      </c>
      <c r="J150" s="7">
        <v>0.72299999999999998</v>
      </c>
      <c r="K150" s="7">
        <v>1.839</v>
      </c>
      <c r="L150" s="7">
        <v>0</v>
      </c>
      <c r="M150" s="7">
        <v>1.4990000000000001</v>
      </c>
      <c r="N150" s="7">
        <v>0</v>
      </c>
      <c r="O150" s="7">
        <v>0</v>
      </c>
      <c r="P150" s="7">
        <v>2.5880000000000001</v>
      </c>
      <c r="Q150" s="7">
        <v>0.59399999999999997</v>
      </c>
      <c r="R150" s="7">
        <v>0.06</v>
      </c>
      <c r="S150" s="7">
        <v>6.548</v>
      </c>
      <c r="T150" s="7">
        <v>4.5860000000000003</v>
      </c>
      <c r="U150" s="7">
        <v>5.1749999999999998</v>
      </c>
      <c r="V150" s="7">
        <v>0.313</v>
      </c>
      <c r="W150" s="7">
        <v>2.33</v>
      </c>
      <c r="X150" s="7">
        <v>2.823</v>
      </c>
      <c r="Y150" s="7">
        <v>0.109</v>
      </c>
      <c r="Z150" s="7">
        <v>0</v>
      </c>
      <c r="AA150" s="7">
        <v>6.7649999999999997</v>
      </c>
      <c r="AB150" s="7">
        <v>0.629</v>
      </c>
      <c r="AC150" s="7">
        <v>0.49099999999999999</v>
      </c>
      <c r="AD150" s="7">
        <v>0.16800000000000001</v>
      </c>
      <c r="AE150" s="7">
        <v>5.66</v>
      </c>
      <c r="AF150" s="7">
        <v>14.214</v>
      </c>
      <c r="AG150" s="7">
        <v>0</v>
      </c>
      <c r="AH150" s="7">
        <v>8.5830000000000002</v>
      </c>
      <c r="AI150" s="7">
        <v>0</v>
      </c>
      <c r="AJ150" s="7">
        <v>2.8969999999999998</v>
      </c>
      <c r="AK150" s="7">
        <v>0.67800000000000005</v>
      </c>
      <c r="AL150" s="7">
        <v>40.375</v>
      </c>
      <c r="AM150" s="7">
        <v>39.406999999999996</v>
      </c>
      <c r="AN150" s="7">
        <v>0.97599999999999998</v>
      </c>
      <c r="AO150" s="7">
        <v>22.538</v>
      </c>
      <c r="AP150" s="7">
        <v>4.0869999999999997</v>
      </c>
      <c r="AQ150" s="7">
        <v>13.75</v>
      </c>
    </row>
    <row r="151" spans="1:43" x14ac:dyDescent="0.25">
      <c r="A151" t="s">
        <v>247</v>
      </c>
      <c r="B151" t="s">
        <v>824</v>
      </c>
      <c r="C151" t="s">
        <v>283</v>
      </c>
      <c r="D151" s="22" t="s">
        <v>286</v>
      </c>
      <c r="E151" s="21">
        <v>2018</v>
      </c>
      <c r="F151" s="7">
        <v>140.783676103864</v>
      </c>
      <c r="G151" s="7">
        <v>7.766</v>
      </c>
      <c r="H151" s="7">
        <v>2.7050000000000001</v>
      </c>
      <c r="I151" s="7">
        <v>1.5189999999999999</v>
      </c>
      <c r="J151" s="7">
        <v>0.91200000000000003</v>
      </c>
      <c r="K151" s="7">
        <v>2.0499999999999998</v>
      </c>
      <c r="L151" s="7">
        <v>3.9E-2</v>
      </c>
      <c r="M151" s="7">
        <v>1.8140000000000001</v>
      </c>
      <c r="N151" s="7">
        <v>0</v>
      </c>
      <c r="O151" s="7">
        <v>0</v>
      </c>
      <c r="P151" s="7">
        <v>3.8220000000000001</v>
      </c>
      <c r="Q151" s="7">
        <v>0.54900000000000004</v>
      </c>
      <c r="R151" s="7">
        <v>0</v>
      </c>
      <c r="S151" s="7">
        <v>5.8520000000000003</v>
      </c>
      <c r="T151" s="7">
        <v>3.2370000000000001</v>
      </c>
      <c r="U151" s="7">
        <v>3.8050000000000002</v>
      </c>
      <c r="V151" s="7">
        <v>0.23699999999999999</v>
      </c>
      <c r="W151" s="7">
        <v>2.1320000000000001</v>
      </c>
      <c r="X151" s="7">
        <v>2.7949999999999999</v>
      </c>
      <c r="Y151" s="7">
        <v>0.156</v>
      </c>
      <c r="Z151" s="7">
        <v>0</v>
      </c>
      <c r="AA151" s="7">
        <v>6.8419999999999996</v>
      </c>
      <c r="AB151" s="7">
        <v>0.68100000000000005</v>
      </c>
      <c r="AC151" s="7">
        <v>0.432</v>
      </c>
      <c r="AD151" s="7">
        <v>0.20799999999999999</v>
      </c>
      <c r="AE151" s="7">
        <v>8.1449999999999996</v>
      </c>
      <c r="AF151" s="7">
        <v>15.673</v>
      </c>
      <c r="AG151" s="7">
        <v>0</v>
      </c>
      <c r="AH151" s="7">
        <v>9.7070000000000007</v>
      </c>
      <c r="AI151" s="7">
        <v>2.4710000000000001</v>
      </c>
      <c r="AJ151" s="7">
        <v>0</v>
      </c>
      <c r="AK151" s="7">
        <v>1.6120000000000001</v>
      </c>
      <c r="AL151" s="7">
        <v>39.39</v>
      </c>
      <c r="AM151" s="7">
        <v>44.158999999999999</v>
      </c>
      <c r="AN151" s="7">
        <v>1.121</v>
      </c>
      <c r="AO151" s="7">
        <v>18.763000000000002</v>
      </c>
      <c r="AP151" s="7">
        <v>5.6360000000000001</v>
      </c>
      <c r="AQ151" s="7">
        <v>14.991</v>
      </c>
    </row>
    <row r="152" spans="1:43" x14ac:dyDescent="0.25">
      <c r="A152" t="s">
        <v>248</v>
      </c>
      <c r="B152" t="s">
        <v>824</v>
      </c>
      <c r="C152" t="s">
        <v>283</v>
      </c>
      <c r="D152" s="22" t="s">
        <v>286</v>
      </c>
      <c r="E152" s="21">
        <v>2018</v>
      </c>
      <c r="F152" s="7">
        <v>183.62646648373101</v>
      </c>
      <c r="G152" s="7">
        <v>7.718</v>
      </c>
      <c r="H152" s="7">
        <v>3.1480000000000001</v>
      </c>
      <c r="I152" s="7">
        <v>1.756</v>
      </c>
      <c r="J152" s="7">
        <v>0.95599999999999996</v>
      </c>
      <c r="K152" s="7">
        <v>3.2469999999999999</v>
      </c>
      <c r="L152" s="7">
        <v>0.104</v>
      </c>
      <c r="M152" s="7">
        <v>2.1680000000000001</v>
      </c>
      <c r="N152" s="7">
        <v>0</v>
      </c>
      <c r="O152" s="7">
        <v>0.65400000000000003</v>
      </c>
      <c r="P152" s="7">
        <v>3.53</v>
      </c>
      <c r="Q152" s="7">
        <v>0.74199999999999999</v>
      </c>
      <c r="R152" s="7">
        <v>0</v>
      </c>
      <c r="S152" s="7">
        <v>6.5609999999999999</v>
      </c>
      <c r="T152" s="7">
        <v>4.633</v>
      </c>
      <c r="U152" s="7">
        <v>5.3049999999999997</v>
      </c>
      <c r="V152" s="7">
        <v>0.27400000000000002</v>
      </c>
      <c r="W152" s="7">
        <v>2.3889999999999998</v>
      </c>
      <c r="X152" s="7">
        <v>3.2789999999999999</v>
      </c>
      <c r="Y152" s="7">
        <v>0.13400000000000001</v>
      </c>
      <c r="Z152" s="7">
        <v>0</v>
      </c>
      <c r="AA152" s="7">
        <v>11.423</v>
      </c>
      <c r="AB152" s="7">
        <v>0.57199999999999995</v>
      </c>
      <c r="AC152" s="7">
        <v>0.55800000000000005</v>
      </c>
      <c r="AD152" s="7">
        <v>0.21299999999999999</v>
      </c>
      <c r="AE152" s="7">
        <v>9.0589999999999993</v>
      </c>
      <c r="AF152" s="7">
        <v>19.221</v>
      </c>
      <c r="AG152" s="7">
        <v>0</v>
      </c>
      <c r="AH152" s="7">
        <v>14.866</v>
      </c>
      <c r="AI152" s="7">
        <v>3.3919999999999999</v>
      </c>
      <c r="AJ152" s="7">
        <v>0</v>
      </c>
      <c r="AK152" s="7">
        <v>2.4710000000000001</v>
      </c>
      <c r="AL152" s="7">
        <v>46.597999999999999</v>
      </c>
      <c r="AM152" s="7">
        <v>59.304000000000002</v>
      </c>
      <c r="AN152" s="7">
        <v>1.2729999999999999</v>
      </c>
      <c r="AO152" s="7">
        <v>23.317</v>
      </c>
      <c r="AP152" s="7">
        <v>6.3520000000000003</v>
      </c>
      <c r="AQ152" s="7">
        <v>16.928999999999998</v>
      </c>
    </row>
    <row r="153" spans="1:43" x14ac:dyDescent="0.25">
      <c r="A153" t="s">
        <v>267</v>
      </c>
      <c r="B153" t="s">
        <v>827</v>
      </c>
      <c r="C153" t="s">
        <v>283</v>
      </c>
      <c r="D153" s="22" t="s">
        <v>286</v>
      </c>
      <c r="E153" s="21">
        <v>2018</v>
      </c>
      <c r="F153" s="7">
        <v>164.085029210214</v>
      </c>
      <c r="G153" s="7">
        <v>8.4339999999999993</v>
      </c>
      <c r="H153" s="7">
        <v>1.9530000000000001</v>
      </c>
      <c r="I153" s="7">
        <v>2.044</v>
      </c>
      <c r="J153" s="7">
        <v>0.72</v>
      </c>
      <c r="K153" s="7">
        <v>2.4580000000000002</v>
      </c>
      <c r="L153" s="7">
        <v>0</v>
      </c>
      <c r="M153" s="7">
        <v>2.0680000000000001</v>
      </c>
      <c r="N153" s="7">
        <v>0</v>
      </c>
      <c r="O153" s="7">
        <v>0</v>
      </c>
      <c r="P153" s="7">
        <v>3.7719999999999998</v>
      </c>
      <c r="Q153" s="7">
        <v>0.67700000000000005</v>
      </c>
      <c r="R153" s="7">
        <v>5.8999999999999997E-2</v>
      </c>
      <c r="S153" s="7">
        <v>8.4469999999999992</v>
      </c>
      <c r="T153" s="7">
        <v>4.6150000000000002</v>
      </c>
      <c r="U153" s="7">
        <v>5.3209999999999997</v>
      </c>
      <c r="V153" s="7">
        <v>0.34499999999999997</v>
      </c>
      <c r="W153" s="7">
        <v>2.653</v>
      </c>
      <c r="X153" s="7">
        <v>3.1469999999999998</v>
      </c>
      <c r="Y153" s="7">
        <v>0.18</v>
      </c>
      <c r="Z153" s="7">
        <v>0</v>
      </c>
      <c r="AA153" s="7">
        <v>3.774</v>
      </c>
      <c r="AB153" s="7">
        <v>0.72499999999999998</v>
      </c>
      <c r="AC153" s="7">
        <v>0.50800000000000001</v>
      </c>
      <c r="AD153" s="7">
        <v>0.40400000000000003</v>
      </c>
      <c r="AE153" s="7">
        <v>7.1349999999999998</v>
      </c>
      <c r="AF153" s="7">
        <v>15.167999999999999</v>
      </c>
      <c r="AG153" s="7">
        <v>0</v>
      </c>
      <c r="AH153" s="7">
        <v>10.117000000000001</v>
      </c>
      <c r="AI153" s="7">
        <v>4.5170000000000003</v>
      </c>
      <c r="AJ153" s="7">
        <v>0</v>
      </c>
      <c r="AK153" s="7">
        <v>2.4590000000000001</v>
      </c>
      <c r="AL153" s="7">
        <v>46.893000000000001</v>
      </c>
      <c r="AM153" s="7">
        <v>42.347999999999999</v>
      </c>
      <c r="AN153" s="7">
        <v>0.90300000000000002</v>
      </c>
      <c r="AO153" s="7">
        <v>25.443999999999999</v>
      </c>
      <c r="AP153" s="7">
        <v>5.84</v>
      </c>
      <c r="AQ153" s="7">
        <v>15.609</v>
      </c>
    </row>
    <row r="154" spans="1:43" x14ac:dyDescent="0.25">
      <c r="A154" t="s">
        <v>135</v>
      </c>
      <c r="B154" t="s">
        <v>819</v>
      </c>
      <c r="C154" t="s">
        <v>283</v>
      </c>
      <c r="D154" s="22" t="s">
        <v>286</v>
      </c>
      <c r="E154" s="21">
        <v>2018</v>
      </c>
      <c r="F154" s="7">
        <v>96.610405179043099</v>
      </c>
      <c r="G154" s="7">
        <v>5.1189999999999998</v>
      </c>
      <c r="H154" s="7">
        <v>1.4870000000000001</v>
      </c>
      <c r="I154" s="7">
        <v>1.0960000000000001</v>
      </c>
      <c r="J154" s="7">
        <v>0.47199999999999998</v>
      </c>
      <c r="K154" s="7">
        <v>1.45</v>
      </c>
      <c r="L154" s="7">
        <v>0</v>
      </c>
      <c r="M154" s="7">
        <v>1.206</v>
      </c>
      <c r="N154" s="7">
        <v>0</v>
      </c>
      <c r="O154" s="7">
        <v>0</v>
      </c>
      <c r="P154" s="7">
        <v>2.8170000000000002</v>
      </c>
      <c r="Q154" s="7">
        <v>0.38900000000000001</v>
      </c>
      <c r="R154" s="7">
        <v>0</v>
      </c>
      <c r="S154" s="7">
        <v>4.5979999999999999</v>
      </c>
      <c r="T154" s="7">
        <v>2.222</v>
      </c>
      <c r="U154" s="7">
        <v>2.79</v>
      </c>
      <c r="V154" s="7">
        <v>0.18</v>
      </c>
      <c r="W154" s="7">
        <v>1.649</v>
      </c>
      <c r="X154" s="7">
        <v>1.879</v>
      </c>
      <c r="Y154" s="7">
        <v>0.187</v>
      </c>
      <c r="Z154" s="7">
        <v>0</v>
      </c>
      <c r="AA154" s="7">
        <v>2.988</v>
      </c>
      <c r="AB154" s="7">
        <v>0</v>
      </c>
      <c r="AC154" s="7">
        <v>0.30199999999999999</v>
      </c>
      <c r="AD154" s="7">
        <v>0.13900000000000001</v>
      </c>
      <c r="AE154" s="7">
        <v>2.3460000000000001</v>
      </c>
      <c r="AF154" s="7">
        <v>8.26</v>
      </c>
      <c r="AG154" s="7">
        <v>0</v>
      </c>
      <c r="AH154" s="7">
        <v>5.9020000000000001</v>
      </c>
      <c r="AI154" s="7">
        <v>2.754</v>
      </c>
      <c r="AJ154" s="7">
        <v>0</v>
      </c>
      <c r="AK154" s="7">
        <v>1.7030000000000001</v>
      </c>
      <c r="AL154" s="7">
        <v>27.541</v>
      </c>
      <c r="AM154" s="7">
        <v>22.690999999999999</v>
      </c>
      <c r="AN154" s="7">
        <v>0.82399999999999995</v>
      </c>
      <c r="AO154" s="7">
        <v>13.894</v>
      </c>
      <c r="AP154" s="7">
        <v>4.0229999999999997</v>
      </c>
      <c r="AQ154" s="7">
        <v>9.6240000000000006</v>
      </c>
    </row>
    <row r="155" spans="1:43" x14ac:dyDescent="0.25">
      <c r="A155" t="s">
        <v>136</v>
      </c>
      <c r="B155" t="s">
        <v>819</v>
      </c>
      <c r="C155" t="s">
        <v>283</v>
      </c>
      <c r="D155" s="22" t="s">
        <v>286</v>
      </c>
      <c r="E155" s="21">
        <v>2018</v>
      </c>
      <c r="F155" s="7">
        <v>113.327101864965</v>
      </c>
      <c r="G155" s="7">
        <v>5.4219999999999997</v>
      </c>
      <c r="H155" s="7">
        <v>1.5720000000000001</v>
      </c>
      <c r="I155" s="7">
        <v>1.248</v>
      </c>
      <c r="J155" s="7">
        <v>0.54500000000000004</v>
      </c>
      <c r="K155" s="7">
        <v>1.5820000000000001</v>
      </c>
      <c r="L155" s="7">
        <v>0</v>
      </c>
      <c r="M155" s="7">
        <v>1.226</v>
      </c>
      <c r="N155" s="7">
        <v>0</v>
      </c>
      <c r="O155" s="7">
        <v>0</v>
      </c>
      <c r="P155" s="7">
        <v>2.4449999999999998</v>
      </c>
      <c r="Q155" s="7">
        <v>0.47099999999999997</v>
      </c>
      <c r="R155" s="7">
        <v>4.2000000000000003E-2</v>
      </c>
      <c r="S155" s="7">
        <v>4.7119999999999997</v>
      </c>
      <c r="T155" s="7">
        <v>2.5830000000000002</v>
      </c>
      <c r="U155" s="7">
        <v>3.2029999999999998</v>
      </c>
      <c r="V155" s="7">
        <v>0.21099999999999999</v>
      </c>
      <c r="W155" s="7">
        <v>1.673</v>
      </c>
      <c r="X155" s="7">
        <v>1.9830000000000001</v>
      </c>
      <c r="Y155" s="7">
        <v>0.111</v>
      </c>
      <c r="Z155" s="7">
        <v>0</v>
      </c>
      <c r="AA155" s="7">
        <v>2.9020000000000001</v>
      </c>
      <c r="AB155" s="7">
        <v>0</v>
      </c>
      <c r="AC155" s="7">
        <v>0.372</v>
      </c>
      <c r="AD155" s="7">
        <v>0.13</v>
      </c>
      <c r="AE155" s="7">
        <v>5.0620000000000003</v>
      </c>
      <c r="AF155" s="7">
        <v>11.209</v>
      </c>
      <c r="AG155" s="7">
        <v>0</v>
      </c>
      <c r="AH155" s="7">
        <v>6.2809999999999997</v>
      </c>
      <c r="AI155" s="7">
        <v>2.9529999999999998</v>
      </c>
      <c r="AJ155" s="7">
        <v>0</v>
      </c>
      <c r="AK155" s="7">
        <v>0.72699999999999998</v>
      </c>
      <c r="AL155" s="7">
        <v>29.029</v>
      </c>
      <c r="AM155" s="7">
        <v>28.908999999999999</v>
      </c>
      <c r="AN155" s="7">
        <v>0.996</v>
      </c>
      <c r="AO155" s="7">
        <v>14.989000000000001</v>
      </c>
      <c r="AP155" s="7">
        <v>3.6709999999999998</v>
      </c>
      <c r="AQ155" s="7">
        <v>10.369</v>
      </c>
    </row>
    <row r="156" spans="1:43" x14ac:dyDescent="0.25">
      <c r="A156" t="s">
        <v>137</v>
      </c>
      <c r="B156" t="s">
        <v>819</v>
      </c>
      <c r="C156" t="s">
        <v>283</v>
      </c>
      <c r="D156" s="22" t="s">
        <v>286</v>
      </c>
      <c r="E156" s="21">
        <v>2018</v>
      </c>
      <c r="F156" s="7">
        <v>154.202091383572</v>
      </c>
      <c r="G156" s="7">
        <v>7.0090000000000003</v>
      </c>
      <c r="H156" s="7">
        <v>1.607</v>
      </c>
      <c r="I156" s="7">
        <v>1.514</v>
      </c>
      <c r="J156" s="7">
        <v>1.1100000000000001</v>
      </c>
      <c r="K156" s="7">
        <v>1.837</v>
      </c>
      <c r="L156" s="7">
        <v>0</v>
      </c>
      <c r="M156" s="7">
        <v>1.62</v>
      </c>
      <c r="N156" s="7">
        <v>0</v>
      </c>
      <c r="O156" s="7">
        <v>0</v>
      </c>
      <c r="P156" s="7">
        <v>3.4889999999999999</v>
      </c>
      <c r="Q156" s="7">
        <v>0.65400000000000003</v>
      </c>
      <c r="R156" s="7">
        <v>5.2999999999999999E-2</v>
      </c>
      <c r="S156" s="7">
        <v>6.6470000000000002</v>
      </c>
      <c r="T156" s="7">
        <v>3.552</v>
      </c>
      <c r="U156" s="7">
        <v>4.2850000000000001</v>
      </c>
      <c r="V156" s="7">
        <v>0.33400000000000002</v>
      </c>
      <c r="W156" s="7">
        <v>2.27</v>
      </c>
      <c r="X156" s="7">
        <v>2.6909999999999998</v>
      </c>
      <c r="Y156" s="7">
        <v>0.14399999999999999</v>
      </c>
      <c r="Z156" s="7">
        <v>0</v>
      </c>
      <c r="AA156" s="7">
        <v>5.3280000000000003</v>
      </c>
      <c r="AB156" s="7">
        <v>0.47699999999999998</v>
      </c>
      <c r="AC156" s="7">
        <v>0.45800000000000002</v>
      </c>
      <c r="AD156" s="7">
        <v>0.16900000000000001</v>
      </c>
      <c r="AE156" s="7">
        <v>5.4850000000000003</v>
      </c>
      <c r="AF156" s="7">
        <v>13.82</v>
      </c>
      <c r="AG156" s="7">
        <v>0</v>
      </c>
      <c r="AH156" s="7">
        <v>10.393000000000001</v>
      </c>
      <c r="AI156" s="7">
        <v>4.9640000000000004</v>
      </c>
      <c r="AJ156" s="7">
        <v>0</v>
      </c>
      <c r="AK156" s="7">
        <v>1.6639999999999999</v>
      </c>
      <c r="AL156" s="7">
        <v>38.816000000000003</v>
      </c>
      <c r="AM156" s="7">
        <v>41.094000000000001</v>
      </c>
      <c r="AN156" s="7">
        <v>1.0589999999999999</v>
      </c>
      <c r="AO156" s="7">
        <v>20.63</v>
      </c>
      <c r="AP156" s="7">
        <v>5.109</v>
      </c>
      <c r="AQ156" s="7">
        <v>13.077</v>
      </c>
    </row>
    <row r="157" spans="1:43" x14ac:dyDescent="0.25">
      <c r="A157" t="s">
        <v>138</v>
      </c>
      <c r="B157" t="s">
        <v>819</v>
      </c>
      <c r="C157" t="s">
        <v>283</v>
      </c>
      <c r="D157" s="22" t="s">
        <v>286</v>
      </c>
      <c r="E157" s="21">
        <v>2018</v>
      </c>
      <c r="F157" s="7">
        <v>171.025316148527</v>
      </c>
      <c r="G157" s="7">
        <v>6.4509999999999996</v>
      </c>
      <c r="H157" s="7">
        <v>1.296</v>
      </c>
      <c r="I157" s="7">
        <v>1.67</v>
      </c>
      <c r="J157" s="7">
        <v>1.153</v>
      </c>
      <c r="K157" s="7">
        <v>1.9630000000000001</v>
      </c>
      <c r="L157" s="7">
        <v>0.20300000000000001</v>
      </c>
      <c r="M157" s="7">
        <v>1.923</v>
      </c>
      <c r="N157" s="7">
        <v>0</v>
      </c>
      <c r="O157" s="7">
        <v>0</v>
      </c>
      <c r="P157" s="7">
        <v>3.1030000000000002</v>
      </c>
      <c r="Q157" s="7">
        <v>0.78400000000000003</v>
      </c>
      <c r="R157" s="7">
        <v>7.8E-2</v>
      </c>
      <c r="S157" s="7">
        <v>6.6529999999999996</v>
      </c>
      <c r="T157" s="7">
        <v>3.7589999999999999</v>
      </c>
      <c r="U157" s="7">
        <v>4.5110000000000001</v>
      </c>
      <c r="V157" s="7">
        <v>0.34599999999999997</v>
      </c>
      <c r="W157" s="7">
        <v>2.3109999999999999</v>
      </c>
      <c r="X157" s="7">
        <v>2.8929999999999998</v>
      </c>
      <c r="Y157" s="7">
        <v>0.29099999999999998</v>
      </c>
      <c r="Z157" s="7">
        <v>0</v>
      </c>
      <c r="AA157" s="7">
        <v>4.0170000000000003</v>
      </c>
      <c r="AB157" s="7">
        <v>0.59699999999999998</v>
      </c>
      <c r="AC157" s="7">
        <v>0.495</v>
      </c>
      <c r="AD157" s="7">
        <v>0.22700000000000001</v>
      </c>
      <c r="AE157" s="7">
        <v>10.311999999999999</v>
      </c>
      <c r="AF157" s="7">
        <v>12.760999999999999</v>
      </c>
      <c r="AG157" s="7">
        <v>0</v>
      </c>
      <c r="AH157" s="7">
        <v>9.4589999999999996</v>
      </c>
      <c r="AI157" s="7">
        <v>5.1509999999999998</v>
      </c>
      <c r="AJ157" s="7">
        <v>0</v>
      </c>
      <c r="AK157" s="7">
        <v>1.51</v>
      </c>
      <c r="AL157" s="7">
        <v>39.387999999999998</v>
      </c>
      <c r="AM157" s="7">
        <v>43.018999999999998</v>
      </c>
      <c r="AN157" s="7">
        <v>1.0920000000000001</v>
      </c>
      <c r="AO157" s="7">
        <v>21.626000000000001</v>
      </c>
      <c r="AP157" s="7">
        <v>5.0259999999999998</v>
      </c>
      <c r="AQ157" s="7">
        <v>12.736000000000001</v>
      </c>
    </row>
    <row r="158" spans="1:43" s="12" customFormat="1" x14ac:dyDescent="0.25">
      <c r="A158" s="12" t="s">
        <v>139</v>
      </c>
      <c r="B158" s="12" t="s">
        <v>828</v>
      </c>
      <c r="C158" s="12" t="s">
        <v>286</v>
      </c>
      <c r="D158" s="24" t="s">
        <v>286</v>
      </c>
      <c r="E158" s="25">
        <v>2018</v>
      </c>
      <c r="F158" s="26">
        <v>127.02287441701399</v>
      </c>
      <c r="G158" s="26">
        <v>5.5250000000000004</v>
      </c>
      <c r="H158" s="26">
        <v>1.33</v>
      </c>
      <c r="I158" s="26">
        <v>0.92600000000000005</v>
      </c>
      <c r="J158" s="26">
        <v>0.96299999999999997</v>
      </c>
      <c r="K158" s="26">
        <v>1.3560000000000001</v>
      </c>
      <c r="L158" s="26">
        <v>0</v>
      </c>
      <c r="M158" s="26">
        <v>1.363</v>
      </c>
      <c r="N158" s="26">
        <v>0</v>
      </c>
      <c r="O158" s="26">
        <v>0</v>
      </c>
      <c r="P158" s="26">
        <v>2.9649999999999999</v>
      </c>
      <c r="Q158" s="26">
        <v>0.57999999999999996</v>
      </c>
      <c r="R158" s="26">
        <v>0</v>
      </c>
      <c r="S158" s="26">
        <v>5.4480000000000004</v>
      </c>
      <c r="T158" s="26">
        <v>2.9470000000000001</v>
      </c>
      <c r="U158" s="26">
        <v>2.9910000000000001</v>
      </c>
      <c r="V158" s="26">
        <v>0.19400000000000001</v>
      </c>
      <c r="W158" s="26">
        <v>1.7</v>
      </c>
      <c r="X158" s="26">
        <v>2.0640000000000001</v>
      </c>
      <c r="Y158" s="26">
        <v>0.156</v>
      </c>
      <c r="Z158" s="26">
        <v>0</v>
      </c>
      <c r="AA158" s="26">
        <v>3.5409999999999999</v>
      </c>
      <c r="AB158" s="26">
        <v>0.41499999999999998</v>
      </c>
      <c r="AC158" s="26">
        <v>0.35199999999999998</v>
      </c>
      <c r="AD158" s="26">
        <v>0.16800000000000001</v>
      </c>
      <c r="AE158" s="26">
        <v>8.6039999999999992</v>
      </c>
      <c r="AF158" s="26">
        <v>12.124000000000001</v>
      </c>
      <c r="AG158" s="26">
        <v>0</v>
      </c>
      <c r="AH158" s="26">
        <v>8.9779999999999998</v>
      </c>
      <c r="AI158" s="26">
        <v>1.9219999999999999</v>
      </c>
      <c r="AJ158" s="26">
        <v>0</v>
      </c>
      <c r="AK158" s="26">
        <v>3.1970000000000001</v>
      </c>
      <c r="AL158" s="26">
        <v>30.507999999999999</v>
      </c>
      <c r="AM158" s="26">
        <v>36.103999999999999</v>
      </c>
      <c r="AN158" s="26">
        <v>1.1830000000000001</v>
      </c>
      <c r="AO158" s="26">
        <v>16.079999999999998</v>
      </c>
      <c r="AP158" s="26">
        <v>4.3280000000000003</v>
      </c>
      <c r="AQ158" s="26">
        <v>10.1</v>
      </c>
    </row>
    <row r="159" spans="1:43" x14ac:dyDescent="0.25">
      <c r="A159" t="s">
        <v>140</v>
      </c>
      <c r="B159" t="s">
        <v>828</v>
      </c>
      <c r="C159" s="23" t="s">
        <v>286</v>
      </c>
      <c r="D159" s="22" t="s">
        <v>286</v>
      </c>
      <c r="E159" s="21">
        <v>2018</v>
      </c>
      <c r="F159" s="7">
        <v>168.09849986937601</v>
      </c>
      <c r="G159" s="7">
        <v>7.508</v>
      </c>
      <c r="H159" s="7">
        <v>1.538</v>
      </c>
      <c r="I159" s="7">
        <v>1.2</v>
      </c>
      <c r="J159" s="7">
        <v>1.5649999999999999</v>
      </c>
      <c r="K159" s="7">
        <v>1.784</v>
      </c>
      <c r="L159" s="7">
        <v>0</v>
      </c>
      <c r="M159" s="7">
        <v>2.0670000000000002</v>
      </c>
      <c r="N159" s="7">
        <v>0</v>
      </c>
      <c r="O159" s="7">
        <v>0</v>
      </c>
      <c r="P159" s="7">
        <v>4.0140000000000002</v>
      </c>
      <c r="Q159" s="7">
        <v>0.67300000000000004</v>
      </c>
      <c r="R159" s="7">
        <v>3.9E-2</v>
      </c>
      <c r="S159" s="7">
        <v>6.782</v>
      </c>
      <c r="T159" s="7">
        <v>3.762</v>
      </c>
      <c r="U159" s="7">
        <v>3.63</v>
      </c>
      <c r="V159" s="7">
        <v>0.26700000000000002</v>
      </c>
      <c r="W159" s="7">
        <v>2.3559999999999999</v>
      </c>
      <c r="X159" s="7">
        <v>2.8069999999999999</v>
      </c>
      <c r="Y159" s="7">
        <v>0.27</v>
      </c>
      <c r="Z159" s="7">
        <v>0</v>
      </c>
      <c r="AA159" s="7">
        <v>4.4169999999999998</v>
      </c>
      <c r="AB159" s="7">
        <v>0.46600000000000003</v>
      </c>
      <c r="AC159" s="7">
        <v>0.57699999999999996</v>
      </c>
      <c r="AD159" s="7">
        <v>0</v>
      </c>
      <c r="AE159" s="7">
        <v>16.25</v>
      </c>
      <c r="AF159" s="7">
        <v>16.794</v>
      </c>
      <c r="AG159" s="7">
        <v>0</v>
      </c>
      <c r="AH159" s="7">
        <v>11.557</v>
      </c>
      <c r="AI159" s="7">
        <v>2.7040000000000002</v>
      </c>
      <c r="AJ159" s="7">
        <v>0</v>
      </c>
      <c r="AK159" s="7">
        <v>1.9490000000000001</v>
      </c>
      <c r="AL159" s="7">
        <v>40.262</v>
      </c>
      <c r="AM159" s="7">
        <v>52.765000000000001</v>
      </c>
      <c r="AN159" s="7">
        <v>1.3109999999999999</v>
      </c>
      <c r="AO159" s="7">
        <v>20.585999999999999</v>
      </c>
      <c r="AP159" s="7">
        <v>6.0810000000000004</v>
      </c>
      <c r="AQ159" s="7">
        <v>13.595000000000001</v>
      </c>
    </row>
    <row r="160" spans="1:43" x14ac:dyDescent="0.25">
      <c r="A160" t="s">
        <v>141</v>
      </c>
      <c r="B160" t="s">
        <v>828</v>
      </c>
      <c r="C160" s="23" t="s">
        <v>286</v>
      </c>
      <c r="D160" s="22" t="s">
        <v>286</v>
      </c>
      <c r="E160" s="21">
        <v>2018</v>
      </c>
      <c r="F160" s="7">
        <v>263.02570436202598</v>
      </c>
      <c r="G160" s="7">
        <v>10.16</v>
      </c>
      <c r="H160" s="7">
        <v>1.6639999999999999</v>
      </c>
      <c r="I160" s="7">
        <v>1.8640000000000001</v>
      </c>
      <c r="J160" s="7">
        <v>2.5019999999999998</v>
      </c>
      <c r="K160" s="7">
        <v>2.7639999999999998</v>
      </c>
      <c r="L160" s="7">
        <v>0.11799999999999999</v>
      </c>
      <c r="M160" s="7">
        <v>3.1320000000000001</v>
      </c>
      <c r="N160" s="7">
        <v>0</v>
      </c>
      <c r="O160" s="7">
        <v>0</v>
      </c>
      <c r="P160" s="7">
        <v>5.37</v>
      </c>
      <c r="Q160" s="7">
        <v>1.395</v>
      </c>
      <c r="R160" s="7">
        <v>0.189</v>
      </c>
      <c r="S160" s="7">
        <v>11.007</v>
      </c>
      <c r="T160" s="7">
        <v>6.7430000000000003</v>
      </c>
      <c r="U160" s="7">
        <v>5.9850000000000003</v>
      </c>
      <c r="V160" s="7">
        <v>0.434</v>
      </c>
      <c r="W160" s="7">
        <v>3.4329999999999998</v>
      </c>
      <c r="X160" s="7">
        <v>4.2460000000000004</v>
      </c>
      <c r="Y160" s="7">
        <v>0.33300000000000002</v>
      </c>
      <c r="Z160" s="7">
        <v>0</v>
      </c>
      <c r="AA160" s="7">
        <v>7.0439999999999996</v>
      </c>
      <c r="AB160" s="7">
        <v>0.49199999999999999</v>
      </c>
      <c r="AC160" s="7">
        <v>1.0129999999999999</v>
      </c>
      <c r="AD160" s="7">
        <v>0</v>
      </c>
      <c r="AE160" s="7">
        <v>24.672000000000001</v>
      </c>
      <c r="AF160" s="7">
        <v>24.547000000000001</v>
      </c>
      <c r="AG160" s="7">
        <v>0</v>
      </c>
      <c r="AH160" s="7">
        <v>20.282</v>
      </c>
      <c r="AI160" s="7">
        <v>0</v>
      </c>
      <c r="AJ160" s="7">
        <v>4.3040000000000003</v>
      </c>
      <c r="AK160" s="7">
        <v>1.8089999999999999</v>
      </c>
      <c r="AL160" s="7">
        <v>61.338999999999999</v>
      </c>
      <c r="AM160" s="7">
        <v>82.353999999999999</v>
      </c>
      <c r="AN160" s="7">
        <v>1.343</v>
      </c>
      <c r="AO160" s="7">
        <v>33.765000000000001</v>
      </c>
      <c r="AP160" s="7">
        <v>8.5020000000000007</v>
      </c>
      <c r="AQ160" s="7">
        <v>19.071999999999999</v>
      </c>
    </row>
    <row r="161" spans="1:43" x14ac:dyDescent="0.25">
      <c r="A161" t="s">
        <v>142</v>
      </c>
      <c r="B161" t="s">
        <v>828</v>
      </c>
      <c r="C161" s="23" t="s">
        <v>286</v>
      </c>
      <c r="D161" s="22" t="s">
        <v>286</v>
      </c>
      <c r="E161" s="21">
        <v>2018</v>
      </c>
      <c r="F161" s="7">
        <v>184.33463960399601</v>
      </c>
      <c r="G161" s="7">
        <v>7.7679999999999998</v>
      </c>
      <c r="H161" s="7">
        <v>1.6160000000000001</v>
      </c>
      <c r="I161" s="7">
        <v>1.4510000000000001</v>
      </c>
      <c r="J161" s="7">
        <v>2.0139999999999998</v>
      </c>
      <c r="K161" s="7">
        <v>1.9850000000000001</v>
      </c>
      <c r="L161" s="7">
        <v>0</v>
      </c>
      <c r="M161" s="7">
        <v>2.3359999999999999</v>
      </c>
      <c r="N161" s="7">
        <v>0</v>
      </c>
      <c r="O161" s="7">
        <v>0</v>
      </c>
      <c r="P161" s="7">
        <v>3.835</v>
      </c>
      <c r="Q161" s="7">
        <v>0.752</v>
      </c>
      <c r="R161" s="7">
        <v>4.5999999999999999E-2</v>
      </c>
      <c r="S161" s="7">
        <v>7.3</v>
      </c>
      <c r="T161" s="7">
        <v>4.2350000000000003</v>
      </c>
      <c r="U161" s="7">
        <v>3.835</v>
      </c>
      <c r="V161" s="7">
        <v>0.315</v>
      </c>
      <c r="W161" s="7">
        <v>2.5539999999999998</v>
      </c>
      <c r="X161" s="7">
        <v>3.06</v>
      </c>
      <c r="Y161" s="7">
        <v>0.29399999999999998</v>
      </c>
      <c r="Z161" s="7">
        <v>0</v>
      </c>
      <c r="AA161" s="7">
        <v>4.71</v>
      </c>
      <c r="AB161" s="7">
        <v>0.65100000000000002</v>
      </c>
      <c r="AC161" s="7">
        <v>0.71699999999999997</v>
      </c>
      <c r="AD161" s="7">
        <v>0</v>
      </c>
      <c r="AE161" s="7">
        <v>14.398999999999999</v>
      </c>
      <c r="AF161" s="7">
        <v>16.93</v>
      </c>
      <c r="AG161" s="7">
        <v>0</v>
      </c>
      <c r="AH161" s="7">
        <v>11.901999999999999</v>
      </c>
      <c r="AI161" s="7">
        <v>2.8330000000000002</v>
      </c>
      <c r="AJ161" s="7">
        <v>0</v>
      </c>
      <c r="AK161" s="7">
        <v>2.895</v>
      </c>
      <c r="AL161" s="7">
        <v>43.396000000000001</v>
      </c>
      <c r="AM161" s="7">
        <v>52.142000000000003</v>
      </c>
      <c r="AN161" s="7">
        <v>1.202</v>
      </c>
      <c r="AO161" s="7">
        <v>22.390999999999998</v>
      </c>
      <c r="AP161" s="7">
        <v>6.1710000000000003</v>
      </c>
      <c r="AQ161" s="7">
        <v>14.834</v>
      </c>
    </row>
    <row r="162" spans="1:43" x14ac:dyDescent="0.25">
      <c r="A162" t="s">
        <v>143</v>
      </c>
      <c r="B162" t="s">
        <v>841</v>
      </c>
      <c r="C162" s="23" t="s">
        <v>283</v>
      </c>
      <c r="D162" s="22" t="s">
        <v>286</v>
      </c>
      <c r="E162" s="21">
        <v>2018</v>
      </c>
      <c r="F162" s="7">
        <v>198.080288888441</v>
      </c>
      <c r="G162" s="7">
        <v>8.7390000000000008</v>
      </c>
      <c r="H162" s="7">
        <v>1.784</v>
      </c>
      <c r="I162" s="7">
        <v>1.5669999999999999</v>
      </c>
      <c r="J162" s="7">
        <v>1.645</v>
      </c>
      <c r="K162" s="7">
        <v>2.2770000000000001</v>
      </c>
      <c r="L162" s="7">
        <v>0.14699999999999999</v>
      </c>
      <c r="M162" s="7">
        <v>2.6840000000000002</v>
      </c>
      <c r="N162" s="7">
        <v>0</v>
      </c>
      <c r="O162" s="7">
        <v>0</v>
      </c>
      <c r="P162" s="7">
        <v>5.1159999999999997</v>
      </c>
      <c r="Q162" s="7">
        <v>0.96499999999999997</v>
      </c>
      <c r="R162" s="7">
        <v>7.5999999999999998E-2</v>
      </c>
      <c r="S162" s="7">
        <v>8.766</v>
      </c>
      <c r="T162" s="7">
        <v>5.1139999999999999</v>
      </c>
      <c r="U162" s="7">
        <v>4.8959999999999999</v>
      </c>
      <c r="V162" s="7">
        <v>0.371</v>
      </c>
      <c r="W162" s="7">
        <v>2.7970000000000002</v>
      </c>
      <c r="X162" s="7">
        <v>3.6269999999999998</v>
      </c>
      <c r="Y162" s="7">
        <v>0.224</v>
      </c>
      <c r="Z162" s="7">
        <v>0</v>
      </c>
      <c r="AA162" s="7">
        <v>8.0060000000000002</v>
      </c>
      <c r="AB162" s="7">
        <v>0.75700000000000001</v>
      </c>
      <c r="AC162" s="7">
        <v>0.753</v>
      </c>
      <c r="AD162" s="7">
        <v>0.26800000000000002</v>
      </c>
      <c r="AE162" s="7">
        <v>9.3529999999999998</v>
      </c>
      <c r="AF162" s="7">
        <v>17.294</v>
      </c>
      <c r="AG162" s="7">
        <v>0</v>
      </c>
      <c r="AH162" s="7">
        <v>13.867000000000001</v>
      </c>
      <c r="AI162" s="7">
        <v>3.3719999999999999</v>
      </c>
      <c r="AJ162" s="7">
        <v>0</v>
      </c>
      <c r="AK162" s="7">
        <v>3.1629999999999998</v>
      </c>
      <c r="AL162" s="7">
        <v>50.795000000000002</v>
      </c>
      <c r="AM162" s="7">
        <v>53.67</v>
      </c>
      <c r="AN162" s="7">
        <v>1.0569999999999999</v>
      </c>
      <c r="AO162" s="7">
        <v>26.835999999999999</v>
      </c>
      <c r="AP162" s="7">
        <v>7.8</v>
      </c>
      <c r="AQ162" s="7">
        <v>16.158999999999999</v>
      </c>
    </row>
    <row r="163" spans="1:43" x14ac:dyDescent="0.25">
      <c r="A163" t="s">
        <v>144</v>
      </c>
      <c r="B163" t="s">
        <v>841</v>
      </c>
      <c r="C163" s="23" t="s">
        <v>283</v>
      </c>
      <c r="D163" s="22" t="s">
        <v>286</v>
      </c>
      <c r="E163" s="21">
        <v>2018</v>
      </c>
      <c r="F163" s="7">
        <v>130.09423215739</v>
      </c>
      <c r="G163" s="7">
        <v>6.2370000000000001</v>
      </c>
      <c r="H163" s="7">
        <v>1.7689999999999999</v>
      </c>
      <c r="I163" s="7">
        <v>1.4610000000000001</v>
      </c>
      <c r="J163" s="7">
        <v>1.07</v>
      </c>
      <c r="K163" s="7">
        <v>1.7569999999999999</v>
      </c>
      <c r="L163" s="7">
        <v>0</v>
      </c>
      <c r="M163" s="7">
        <v>1.635</v>
      </c>
      <c r="N163" s="7">
        <v>0</v>
      </c>
      <c r="O163" s="7">
        <v>0</v>
      </c>
      <c r="P163" s="7">
        <v>3.4</v>
      </c>
      <c r="Q163" s="7">
        <v>0.46800000000000003</v>
      </c>
      <c r="R163" s="7">
        <v>0</v>
      </c>
      <c r="S163" s="7">
        <v>4.9059999999999997</v>
      </c>
      <c r="T163" s="7">
        <v>3.2890000000000001</v>
      </c>
      <c r="U163" s="7">
        <v>3.387</v>
      </c>
      <c r="V163" s="7">
        <v>0.23799999999999999</v>
      </c>
      <c r="W163" s="7">
        <v>1.7609999999999999</v>
      </c>
      <c r="X163" s="7">
        <v>2.41</v>
      </c>
      <c r="Y163" s="7">
        <v>0.17100000000000001</v>
      </c>
      <c r="Z163" s="7">
        <v>0</v>
      </c>
      <c r="AA163" s="7">
        <v>3.37</v>
      </c>
      <c r="AB163" s="7">
        <v>0.436</v>
      </c>
      <c r="AC163" s="7">
        <v>0.56899999999999995</v>
      </c>
      <c r="AD163" s="7">
        <v>0.151</v>
      </c>
      <c r="AE163" s="7">
        <v>5.726</v>
      </c>
      <c r="AF163" s="7">
        <v>11.468999999999999</v>
      </c>
      <c r="AG163" s="7">
        <v>0</v>
      </c>
      <c r="AH163" s="7">
        <v>10.333</v>
      </c>
      <c r="AI163" s="7">
        <v>2.5449999999999999</v>
      </c>
      <c r="AJ163" s="7">
        <v>0</v>
      </c>
      <c r="AK163" s="7">
        <v>2.4809999999999999</v>
      </c>
      <c r="AL163" s="7">
        <v>33.959000000000003</v>
      </c>
      <c r="AM163" s="7">
        <v>34.598999999999997</v>
      </c>
      <c r="AN163" s="7">
        <v>1.0189999999999999</v>
      </c>
      <c r="AO163" s="7">
        <v>16.63</v>
      </c>
      <c r="AP163" s="7">
        <v>5.0350000000000001</v>
      </c>
      <c r="AQ163" s="7">
        <v>12.294</v>
      </c>
    </row>
    <row r="164" spans="1:43" x14ac:dyDescent="0.25">
      <c r="A164" t="s">
        <v>145</v>
      </c>
      <c r="B164" t="s">
        <v>841</v>
      </c>
      <c r="C164" s="23" t="s">
        <v>283</v>
      </c>
      <c r="D164" s="22" t="s">
        <v>286</v>
      </c>
      <c r="E164" s="21">
        <v>2018</v>
      </c>
      <c r="F164" s="7">
        <v>165.489937580288</v>
      </c>
      <c r="G164" s="7">
        <v>8.6859999999999999</v>
      </c>
      <c r="H164" s="7">
        <v>2.226</v>
      </c>
      <c r="I164" s="7">
        <v>1.4119999999999999</v>
      </c>
      <c r="J164" s="7">
        <v>1.3280000000000001</v>
      </c>
      <c r="K164" s="7">
        <v>2.145</v>
      </c>
      <c r="L164" s="7">
        <v>0.14000000000000001</v>
      </c>
      <c r="M164" s="7">
        <v>2.3130000000000002</v>
      </c>
      <c r="N164" s="7">
        <v>0</v>
      </c>
      <c r="O164" s="7">
        <v>0</v>
      </c>
      <c r="P164" s="7">
        <v>4.4569999999999999</v>
      </c>
      <c r="Q164" s="7">
        <v>0.81299999999999994</v>
      </c>
      <c r="R164" s="7">
        <v>6.3E-2</v>
      </c>
      <c r="S164" s="7">
        <v>7.4619999999999997</v>
      </c>
      <c r="T164" s="7">
        <v>4.5650000000000004</v>
      </c>
      <c r="U164" s="7">
        <v>4.3879999999999999</v>
      </c>
      <c r="V164" s="7">
        <v>0.34100000000000003</v>
      </c>
      <c r="W164" s="7">
        <v>2.5</v>
      </c>
      <c r="X164" s="7">
        <v>3.2610000000000001</v>
      </c>
      <c r="Y164" s="7">
        <v>0.19900000000000001</v>
      </c>
      <c r="Z164" s="7">
        <v>0</v>
      </c>
      <c r="AA164" s="7">
        <v>5.6070000000000002</v>
      </c>
      <c r="AB164" s="7">
        <v>0.48099999999999998</v>
      </c>
      <c r="AC164" s="7">
        <v>0.70799999999999996</v>
      </c>
      <c r="AD164" s="7">
        <v>0.189</v>
      </c>
      <c r="AE164" s="7">
        <v>7.7770000000000001</v>
      </c>
      <c r="AF164" s="7">
        <v>14.211</v>
      </c>
      <c r="AG164" s="7">
        <v>0</v>
      </c>
      <c r="AH164" s="7">
        <v>12.708</v>
      </c>
      <c r="AI164" s="7">
        <v>0</v>
      </c>
      <c r="AJ164" s="7">
        <v>3.2290000000000001</v>
      </c>
      <c r="AK164" s="7">
        <v>2.278</v>
      </c>
      <c r="AL164" s="7">
        <v>46.298999999999999</v>
      </c>
      <c r="AM164" s="7">
        <v>44.91</v>
      </c>
      <c r="AN164" s="7">
        <v>0.97</v>
      </c>
      <c r="AO164" s="7">
        <v>23.591999999999999</v>
      </c>
      <c r="AP164" s="7">
        <v>6.77</v>
      </c>
      <c r="AQ164" s="7">
        <v>15.936999999999999</v>
      </c>
    </row>
    <row r="165" spans="1:43" x14ac:dyDescent="0.25">
      <c r="A165" t="s">
        <v>146</v>
      </c>
      <c r="B165" t="s">
        <v>841</v>
      </c>
      <c r="C165" s="23" t="s">
        <v>283</v>
      </c>
      <c r="D165" s="22" t="s">
        <v>286</v>
      </c>
      <c r="E165" s="21">
        <v>2018</v>
      </c>
      <c r="F165" s="7">
        <v>192.09591461428599</v>
      </c>
      <c r="G165" s="7">
        <v>8.2070000000000007</v>
      </c>
      <c r="H165" s="7">
        <v>2.298</v>
      </c>
      <c r="I165" s="7">
        <v>1.6579999999999999</v>
      </c>
      <c r="J165" s="7">
        <v>1.633</v>
      </c>
      <c r="K165" s="7">
        <v>2.3650000000000002</v>
      </c>
      <c r="L165" s="7">
        <v>0.17599999999999999</v>
      </c>
      <c r="M165" s="7">
        <v>2.3620000000000001</v>
      </c>
      <c r="N165" s="7">
        <v>0</v>
      </c>
      <c r="O165" s="7">
        <v>0</v>
      </c>
      <c r="P165" s="7">
        <v>5.4210000000000003</v>
      </c>
      <c r="Q165" s="7">
        <v>0.94199999999999995</v>
      </c>
      <c r="R165" s="7">
        <v>0.05</v>
      </c>
      <c r="S165" s="7">
        <v>7.9610000000000003</v>
      </c>
      <c r="T165" s="7">
        <v>5.16</v>
      </c>
      <c r="U165" s="7">
        <v>5.0220000000000002</v>
      </c>
      <c r="V165" s="7">
        <v>0.34799999999999998</v>
      </c>
      <c r="W165" s="7">
        <v>2.6680000000000001</v>
      </c>
      <c r="X165" s="7">
        <v>3.5459999999999998</v>
      </c>
      <c r="Y165" s="7">
        <v>0.214</v>
      </c>
      <c r="Z165" s="7">
        <v>0</v>
      </c>
      <c r="AA165" s="7">
        <v>9.9740000000000002</v>
      </c>
      <c r="AB165" s="7">
        <v>0.75900000000000001</v>
      </c>
      <c r="AC165" s="7">
        <v>0.67300000000000004</v>
      </c>
      <c r="AD165" s="7">
        <v>0.19800000000000001</v>
      </c>
      <c r="AE165" s="7">
        <v>7.5810000000000004</v>
      </c>
      <c r="AF165" s="7">
        <v>18.149000000000001</v>
      </c>
      <c r="AG165" s="7">
        <v>0</v>
      </c>
      <c r="AH165" s="7">
        <v>15.778</v>
      </c>
      <c r="AI165" s="7">
        <v>0</v>
      </c>
      <c r="AJ165" s="7">
        <v>2.9039999999999999</v>
      </c>
      <c r="AK165" s="7">
        <v>2.734</v>
      </c>
      <c r="AL165" s="7">
        <v>50.030999999999999</v>
      </c>
      <c r="AM165" s="7">
        <v>56.015999999999998</v>
      </c>
      <c r="AN165" s="7">
        <v>1.1200000000000001</v>
      </c>
      <c r="AO165" s="7">
        <v>25.911000000000001</v>
      </c>
      <c r="AP165" s="7">
        <v>7.7830000000000004</v>
      </c>
      <c r="AQ165" s="7">
        <v>16.337</v>
      </c>
    </row>
    <row r="166" spans="1:43" x14ac:dyDescent="0.25">
      <c r="A166" t="s">
        <v>147</v>
      </c>
      <c r="B166" t="s">
        <v>818</v>
      </c>
      <c r="C166" s="23" t="s">
        <v>283</v>
      </c>
      <c r="D166" s="22" t="s">
        <v>286</v>
      </c>
      <c r="E166" s="21">
        <v>2018</v>
      </c>
      <c r="F166" s="7">
        <v>312.77624701660699</v>
      </c>
      <c r="G166" s="7">
        <v>9.39</v>
      </c>
      <c r="H166" s="7">
        <v>2.0179999999999998</v>
      </c>
      <c r="I166" s="7">
        <v>2.0979999999999999</v>
      </c>
      <c r="J166" s="7">
        <v>3.02</v>
      </c>
      <c r="K166" s="7">
        <v>3.3620000000000001</v>
      </c>
      <c r="L166" s="7">
        <v>0.29199999999999998</v>
      </c>
      <c r="M166" s="7">
        <v>3.895</v>
      </c>
      <c r="N166" s="7">
        <v>0</v>
      </c>
      <c r="O166" s="7">
        <v>0</v>
      </c>
      <c r="P166" s="7">
        <v>5.508</v>
      </c>
      <c r="Q166" s="7">
        <v>1.44</v>
      </c>
      <c r="R166" s="7">
        <v>0.121</v>
      </c>
      <c r="S166" s="7">
        <v>10.712999999999999</v>
      </c>
      <c r="T166" s="7">
        <v>11.959</v>
      </c>
      <c r="U166" s="7">
        <v>8.452</v>
      </c>
      <c r="V166" s="7">
        <v>0.40200000000000002</v>
      </c>
      <c r="W166" s="7">
        <v>3.4940000000000002</v>
      </c>
      <c r="X166" s="7">
        <v>6.2919999999999998</v>
      </c>
      <c r="Y166" s="7">
        <v>0.26400000000000001</v>
      </c>
      <c r="Z166" s="7">
        <v>0</v>
      </c>
      <c r="AA166" s="7">
        <v>11.643000000000001</v>
      </c>
      <c r="AB166" s="7">
        <v>1.883</v>
      </c>
      <c r="AC166" s="7">
        <v>0.997</v>
      </c>
      <c r="AD166" s="7">
        <v>0</v>
      </c>
      <c r="AE166" s="7">
        <v>23.890999999999998</v>
      </c>
      <c r="AF166" s="7">
        <v>32.981000000000002</v>
      </c>
      <c r="AG166" s="7">
        <v>0</v>
      </c>
      <c r="AH166" s="7">
        <v>23.532</v>
      </c>
      <c r="AI166" s="7">
        <v>0</v>
      </c>
      <c r="AJ166" s="7">
        <v>4.7350000000000003</v>
      </c>
      <c r="AK166" s="7">
        <v>3.3039999999999998</v>
      </c>
      <c r="AL166" s="7">
        <v>72.72</v>
      </c>
      <c r="AM166" s="7">
        <v>99.662000000000006</v>
      </c>
      <c r="AN166" s="7">
        <v>1.37</v>
      </c>
      <c r="AO166" s="7">
        <v>43.137</v>
      </c>
      <c r="AP166" s="7">
        <v>9.4030000000000005</v>
      </c>
      <c r="AQ166" s="7">
        <v>20.18</v>
      </c>
    </row>
    <row r="167" spans="1:43" x14ac:dyDescent="0.25">
      <c r="A167" t="s">
        <v>148</v>
      </c>
      <c r="B167" t="s">
        <v>818</v>
      </c>
      <c r="C167" s="23" t="s">
        <v>283</v>
      </c>
      <c r="D167" s="22" t="s">
        <v>286</v>
      </c>
      <c r="E167" s="21">
        <v>2018</v>
      </c>
      <c r="F167" s="7">
        <v>199.14472718638899</v>
      </c>
      <c r="G167" s="7">
        <v>7.8239999999999998</v>
      </c>
      <c r="H167" s="7">
        <v>1.448</v>
      </c>
      <c r="I167" s="7">
        <v>1.641</v>
      </c>
      <c r="J167" s="7">
        <v>1.296</v>
      </c>
      <c r="K167" s="7">
        <v>2.5339999999999998</v>
      </c>
      <c r="L167" s="7">
        <v>0</v>
      </c>
      <c r="M167" s="7">
        <v>2.1</v>
      </c>
      <c r="N167" s="7">
        <v>0</v>
      </c>
      <c r="O167" s="7">
        <v>0</v>
      </c>
      <c r="P167" s="7">
        <v>4.0140000000000002</v>
      </c>
      <c r="Q167" s="7">
        <v>0.98099999999999998</v>
      </c>
      <c r="R167" s="7">
        <v>6.7000000000000004E-2</v>
      </c>
      <c r="S167" s="7">
        <v>8.202</v>
      </c>
      <c r="T167" s="7">
        <v>5.14</v>
      </c>
      <c r="U167" s="7">
        <v>5.2969999999999997</v>
      </c>
      <c r="V167" s="7">
        <v>0.29699999999999999</v>
      </c>
      <c r="W167" s="7">
        <v>2.7349999999999999</v>
      </c>
      <c r="X167" s="7">
        <v>3.4809999999999999</v>
      </c>
      <c r="Y167" s="7">
        <v>0.154</v>
      </c>
      <c r="Z167" s="7">
        <v>0</v>
      </c>
      <c r="AA167" s="7">
        <v>12.456</v>
      </c>
      <c r="AB167" s="7">
        <v>1.266</v>
      </c>
      <c r="AC167" s="7">
        <v>0.621</v>
      </c>
      <c r="AD167" s="7">
        <v>0.29799999999999999</v>
      </c>
      <c r="AE167" s="7">
        <v>9.5719999999999992</v>
      </c>
      <c r="AF167" s="7">
        <v>17.547000000000001</v>
      </c>
      <c r="AG167" s="7">
        <v>0</v>
      </c>
      <c r="AH167" s="7">
        <v>16.890999999999998</v>
      </c>
      <c r="AI167" s="7">
        <v>0</v>
      </c>
      <c r="AJ167" s="7">
        <v>3.2789999999999999</v>
      </c>
      <c r="AK167" s="7">
        <v>4.2320000000000002</v>
      </c>
      <c r="AL167" s="7">
        <v>47.210999999999999</v>
      </c>
      <c r="AM167" s="7">
        <v>61.93</v>
      </c>
      <c r="AN167" s="7">
        <v>1.3120000000000001</v>
      </c>
      <c r="AO167" s="7">
        <v>26.353999999999999</v>
      </c>
      <c r="AP167" s="7">
        <v>6.1139999999999999</v>
      </c>
      <c r="AQ167" s="7">
        <v>14.743</v>
      </c>
    </row>
    <row r="168" spans="1:43" x14ac:dyDescent="0.25">
      <c r="A168" t="s">
        <v>149</v>
      </c>
      <c r="B168" t="s">
        <v>818</v>
      </c>
      <c r="C168" s="23" t="s">
        <v>283</v>
      </c>
      <c r="D168" s="22" t="s">
        <v>286</v>
      </c>
      <c r="E168" s="21">
        <v>2018</v>
      </c>
      <c r="F168" s="7">
        <v>217.05062459284201</v>
      </c>
      <c r="G168" s="7">
        <v>8.7859999999999996</v>
      </c>
      <c r="H168" s="7">
        <v>1.6240000000000001</v>
      </c>
      <c r="I168" s="7">
        <v>1.9430000000000001</v>
      </c>
      <c r="J168" s="7">
        <v>1.528</v>
      </c>
      <c r="K168" s="7">
        <v>3.1179999999999999</v>
      </c>
      <c r="L168" s="7">
        <v>0.23100000000000001</v>
      </c>
      <c r="M168" s="7">
        <v>2.496</v>
      </c>
      <c r="N168" s="7">
        <v>0</v>
      </c>
      <c r="O168" s="7">
        <v>0</v>
      </c>
      <c r="P168" s="7">
        <v>5.1130000000000004</v>
      </c>
      <c r="Q168" s="7">
        <v>1.111</v>
      </c>
      <c r="R168" s="7">
        <v>6.2E-2</v>
      </c>
      <c r="S168" s="7">
        <v>9.3059999999999992</v>
      </c>
      <c r="T168" s="7">
        <v>5.9880000000000004</v>
      </c>
      <c r="U168" s="7">
        <v>6.1020000000000003</v>
      </c>
      <c r="V168" s="7">
        <v>0.36299999999999999</v>
      </c>
      <c r="W168" s="7">
        <v>3.0840000000000001</v>
      </c>
      <c r="X168" s="7">
        <v>3.8879999999999999</v>
      </c>
      <c r="Y168" s="7">
        <v>0.23100000000000001</v>
      </c>
      <c r="Z168" s="7">
        <v>0</v>
      </c>
      <c r="AA168" s="7">
        <v>10.050000000000001</v>
      </c>
      <c r="AB168" s="7">
        <v>0.73</v>
      </c>
      <c r="AC168" s="7">
        <v>0.879</v>
      </c>
      <c r="AD168" s="7">
        <v>0.30499999999999999</v>
      </c>
      <c r="AE168" s="7">
        <v>8.9290000000000003</v>
      </c>
      <c r="AF168" s="7">
        <v>19.524999999999999</v>
      </c>
      <c r="AG168" s="7">
        <v>0</v>
      </c>
      <c r="AH168" s="7">
        <v>19.440999999999999</v>
      </c>
      <c r="AI168" s="7">
        <v>0</v>
      </c>
      <c r="AJ168" s="7">
        <v>3.7370000000000001</v>
      </c>
      <c r="AK168" s="7">
        <v>2.7149999999999999</v>
      </c>
      <c r="AL168" s="7">
        <v>54.973999999999997</v>
      </c>
      <c r="AM168" s="7">
        <v>63.595999999999997</v>
      </c>
      <c r="AN168" s="7">
        <v>1.157</v>
      </c>
      <c r="AO168" s="7">
        <v>30.135000000000002</v>
      </c>
      <c r="AP168" s="7">
        <v>7.609</v>
      </c>
      <c r="AQ168" s="7">
        <v>17.23</v>
      </c>
    </row>
    <row r="169" spans="1:43" x14ac:dyDescent="0.25">
      <c r="A169" t="s">
        <v>150</v>
      </c>
      <c r="B169" t="s">
        <v>818</v>
      </c>
      <c r="C169" s="23" t="s">
        <v>283</v>
      </c>
      <c r="D169" s="22" t="s">
        <v>286</v>
      </c>
      <c r="E169" s="21">
        <v>2018</v>
      </c>
      <c r="F169" s="7">
        <v>290.76696916402699</v>
      </c>
      <c r="G169" s="7">
        <v>10.013</v>
      </c>
      <c r="H169" s="7">
        <v>1.8220000000000001</v>
      </c>
      <c r="I169" s="7">
        <v>2.1520000000000001</v>
      </c>
      <c r="J169" s="7">
        <v>1.7490000000000001</v>
      </c>
      <c r="K169" s="7">
        <v>2.7109999999999999</v>
      </c>
      <c r="L169" s="7">
        <v>0</v>
      </c>
      <c r="M169" s="7">
        <v>2.8159999999999998</v>
      </c>
      <c r="N169" s="7">
        <v>0.24399999999999999</v>
      </c>
      <c r="O169" s="7">
        <v>0</v>
      </c>
      <c r="P169" s="7">
        <v>5.12</v>
      </c>
      <c r="Q169" s="7">
        <v>1.071</v>
      </c>
      <c r="R169" s="7">
        <v>0</v>
      </c>
      <c r="S169" s="7">
        <v>9.8640000000000008</v>
      </c>
      <c r="T169" s="7">
        <v>6.9020000000000001</v>
      </c>
      <c r="U169" s="7">
        <v>7.2229999999999999</v>
      </c>
      <c r="V169" s="7">
        <v>0.42499999999999999</v>
      </c>
      <c r="W169" s="7">
        <v>3.6509999999999998</v>
      </c>
      <c r="X169" s="7">
        <v>4.5819999999999999</v>
      </c>
      <c r="Y169" s="7">
        <v>0.20200000000000001</v>
      </c>
      <c r="Z169" s="7">
        <v>0</v>
      </c>
      <c r="AA169" s="7">
        <v>9.9060000000000006</v>
      </c>
      <c r="AB169" s="7">
        <v>0.79700000000000004</v>
      </c>
      <c r="AC169" s="7">
        <v>1.0669999999999999</v>
      </c>
      <c r="AD169" s="7">
        <v>0</v>
      </c>
      <c r="AE169" s="7">
        <v>17.677</v>
      </c>
      <c r="AF169" s="7">
        <v>24.594999999999999</v>
      </c>
      <c r="AG169" s="7">
        <v>0</v>
      </c>
      <c r="AH169" s="7">
        <v>21.132000000000001</v>
      </c>
      <c r="AI169" s="7">
        <v>4.1059999999999999</v>
      </c>
      <c r="AJ169" s="7">
        <v>0</v>
      </c>
      <c r="AK169" s="7">
        <v>4.0279999999999996</v>
      </c>
      <c r="AL169" s="7">
        <v>60.546999999999997</v>
      </c>
      <c r="AM169" s="7">
        <v>79.28</v>
      </c>
      <c r="AN169" s="7">
        <v>1.3089999999999999</v>
      </c>
      <c r="AO169" s="7">
        <v>33.92</v>
      </c>
      <c r="AP169" s="7">
        <v>8.18</v>
      </c>
      <c r="AQ169" s="7">
        <v>18.446999999999999</v>
      </c>
    </row>
    <row r="170" spans="1:43" x14ac:dyDescent="0.25">
      <c r="A170" t="s">
        <v>151</v>
      </c>
      <c r="B170" t="s">
        <v>829</v>
      </c>
      <c r="C170" s="23" t="s">
        <v>298</v>
      </c>
      <c r="D170" s="22" t="s">
        <v>286</v>
      </c>
      <c r="E170" s="21">
        <v>2018</v>
      </c>
      <c r="F170" s="7">
        <v>158.54333896547001</v>
      </c>
      <c r="G170" s="7">
        <v>6.62</v>
      </c>
      <c r="H170" s="7">
        <v>1.7470000000000001</v>
      </c>
      <c r="I170" s="7">
        <v>1.954</v>
      </c>
      <c r="J170" s="7">
        <v>0.71399999999999997</v>
      </c>
      <c r="K170" s="7">
        <v>1.74</v>
      </c>
      <c r="L170" s="7">
        <v>0</v>
      </c>
      <c r="M170" s="7">
        <v>1.802</v>
      </c>
      <c r="N170" s="7">
        <v>0.253</v>
      </c>
      <c r="O170" s="7">
        <v>0</v>
      </c>
      <c r="P170" s="7">
        <v>3.51</v>
      </c>
      <c r="Q170" s="7">
        <v>0.71699999999999997</v>
      </c>
      <c r="R170" s="7">
        <v>0.155</v>
      </c>
      <c r="S170" s="7">
        <v>6.0369999999999999</v>
      </c>
      <c r="T170" s="7">
        <v>3.5489999999999999</v>
      </c>
      <c r="U170" s="7">
        <v>4.1790000000000003</v>
      </c>
      <c r="V170" s="7">
        <v>0.25700000000000001</v>
      </c>
      <c r="W170" s="7">
        <v>2.0390000000000001</v>
      </c>
      <c r="X170" s="7">
        <v>2.5139999999999998</v>
      </c>
      <c r="Y170" s="7">
        <v>0.13700000000000001</v>
      </c>
      <c r="Z170" s="7">
        <v>0</v>
      </c>
      <c r="AA170" s="7">
        <v>4.226</v>
      </c>
      <c r="AB170" s="7">
        <v>0.56499999999999995</v>
      </c>
      <c r="AC170" s="7">
        <v>0.39</v>
      </c>
      <c r="AD170" s="7">
        <v>0.20599999999999999</v>
      </c>
      <c r="AE170" s="7">
        <v>9.5429999999999993</v>
      </c>
      <c r="AF170" s="7">
        <v>13.436</v>
      </c>
      <c r="AG170" s="7">
        <v>0</v>
      </c>
      <c r="AH170" s="7">
        <v>9.0289999999999999</v>
      </c>
      <c r="AI170" s="7">
        <v>3.5619999999999998</v>
      </c>
      <c r="AJ170" s="7">
        <v>0</v>
      </c>
      <c r="AK170" s="7">
        <v>0.65400000000000003</v>
      </c>
      <c r="AL170" s="7">
        <v>37.923999999999999</v>
      </c>
      <c r="AM170" s="7">
        <v>40.957000000000001</v>
      </c>
      <c r="AN170" s="7">
        <v>1.08</v>
      </c>
      <c r="AO170" s="7">
        <v>19.584</v>
      </c>
      <c r="AP170" s="7">
        <v>5.5650000000000004</v>
      </c>
      <c r="AQ170" s="7">
        <v>12.775</v>
      </c>
    </row>
    <row r="171" spans="1:43" x14ac:dyDescent="0.25">
      <c r="A171" t="s">
        <v>152</v>
      </c>
      <c r="B171" t="s">
        <v>829</v>
      </c>
      <c r="C171" s="23" t="s">
        <v>298</v>
      </c>
      <c r="D171" s="22" t="s">
        <v>286</v>
      </c>
      <c r="E171" s="21">
        <v>2018</v>
      </c>
      <c r="F171" s="7">
        <v>92.125463540722095</v>
      </c>
      <c r="G171" s="7">
        <v>4.4470000000000001</v>
      </c>
      <c r="H171" s="7">
        <v>1.694</v>
      </c>
      <c r="I171" s="7">
        <v>0.93799999999999994</v>
      </c>
      <c r="J171" s="7">
        <v>0.35799999999999998</v>
      </c>
      <c r="K171" s="7">
        <v>1.1100000000000001</v>
      </c>
      <c r="L171" s="7">
        <v>0</v>
      </c>
      <c r="M171" s="7">
        <v>1.155</v>
      </c>
      <c r="N171" s="7">
        <v>0.23100000000000001</v>
      </c>
      <c r="O171" s="7">
        <v>0</v>
      </c>
      <c r="P171" s="7">
        <v>2.3239999999999998</v>
      </c>
      <c r="Q171" s="7">
        <v>0.28999999999999998</v>
      </c>
      <c r="R171" s="7">
        <v>0</v>
      </c>
      <c r="S171" s="7">
        <v>3.6890000000000001</v>
      </c>
      <c r="T171" s="7">
        <v>2.2429999999999999</v>
      </c>
      <c r="U171" s="7">
        <v>2.625</v>
      </c>
      <c r="V171" s="7">
        <v>0.16200000000000001</v>
      </c>
      <c r="W171" s="7">
        <v>1.421</v>
      </c>
      <c r="X171" s="7">
        <v>1.6259999999999999</v>
      </c>
      <c r="Y171" s="7">
        <v>8.4000000000000005E-2</v>
      </c>
      <c r="Z171" s="7">
        <v>0</v>
      </c>
      <c r="AA171" s="7">
        <v>3.0990000000000002</v>
      </c>
      <c r="AB171" s="7">
        <v>0.38300000000000001</v>
      </c>
      <c r="AC171" s="7">
        <v>0.25700000000000001</v>
      </c>
      <c r="AD171" s="7">
        <v>0.107</v>
      </c>
      <c r="AE171" s="7">
        <v>4.0380000000000003</v>
      </c>
      <c r="AF171" s="7">
        <v>8.1910000000000007</v>
      </c>
      <c r="AG171" s="7">
        <v>0</v>
      </c>
      <c r="AH171" s="7">
        <v>4.7830000000000004</v>
      </c>
      <c r="AI171" s="7">
        <v>0</v>
      </c>
      <c r="AJ171" s="7">
        <v>1.4450000000000001</v>
      </c>
      <c r="AK171" s="7">
        <v>0</v>
      </c>
      <c r="AL171" s="7">
        <v>24.396999999999998</v>
      </c>
      <c r="AM171" s="7">
        <v>22.303000000000001</v>
      </c>
      <c r="AN171" s="7">
        <v>0.91400000000000003</v>
      </c>
      <c r="AO171" s="7">
        <v>12.14</v>
      </c>
      <c r="AP171" s="7">
        <v>3.71</v>
      </c>
      <c r="AQ171" s="7">
        <v>8.5470000000000006</v>
      </c>
    </row>
    <row r="172" spans="1:43" x14ac:dyDescent="0.25">
      <c r="A172" t="s">
        <v>153</v>
      </c>
      <c r="B172" t="s">
        <v>829</v>
      </c>
      <c r="C172" s="23" t="s">
        <v>298</v>
      </c>
      <c r="D172" s="22" t="s">
        <v>286</v>
      </c>
      <c r="E172" s="21">
        <v>2018</v>
      </c>
      <c r="F172" s="7">
        <v>111.823897849883</v>
      </c>
      <c r="G172" s="7">
        <v>4.4329999999999998</v>
      </c>
      <c r="H172" s="7">
        <v>1.363</v>
      </c>
      <c r="I172" s="7">
        <v>1.0509999999999999</v>
      </c>
      <c r="J172" s="7">
        <v>0.39500000000000002</v>
      </c>
      <c r="K172" s="7">
        <v>1.2130000000000001</v>
      </c>
      <c r="L172" s="7">
        <v>0</v>
      </c>
      <c r="M172" s="7">
        <v>1.327</v>
      </c>
      <c r="N172" s="7">
        <v>0.24199999999999999</v>
      </c>
      <c r="O172" s="7">
        <v>0</v>
      </c>
      <c r="P172" s="7">
        <v>1.819</v>
      </c>
      <c r="Q172" s="7">
        <v>0.41</v>
      </c>
      <c r="R172" s="7">
        <v>0</v>
      </c>
      <c r="S172" s="7">
        <v>3.86</v>
      </c>
      <c r="T172" s="7">
        <v>3.2519999999999998</v>
      </c>
      <c r="U172" s="7">
        <v>3.1629999999999998</v>
      </c>
      <c r="V172" s="7">
        <v>0.17100000000000001</v>
      </c>
      <c r="W172" s="7">
        <v>1.3839999999999999</v>
      </c>
      <c r="X172" s="7">
        <v>1.873</v>
      </c>
      <c r="Y172" s="7">
        <v>8.6999999999999994E-2</v>
      </c>
      <c r="Z172" s="7">
        <v>0</v>
      </c>
      <c r="AA172" s="7">
        <v>3.093</v>
      </c>
      <c r="AB172" s="7">
        <v>0.39</v>
      </c>
      <c r="AC172" s="7">
        <v>0.34200000000000003</v>
      </c>
      <c r="AD172" s="7">
        <v>0.128</v>
      </c>
      <c r="AE172" s="7">
        <v>7.1689999999999996</v>
      </c>
      <c r="AF172" s="7">
        <v>10.493</v>
      </c>
      <c r="AG172" s="7">
        <v>0</v>
      </c>
      <c r="AH172" s="7">
        <v>6.9050000000000002</v>
      </c>
      <c r="AI172" s="7">
        <v>2.944</v>
      </c>
      <c r="AJ172" s="7">
        <v>0</v>
      </c>
      <c r="AK172" s="7">
        <v>1.024</v>
      </c>
      <c r="AL172" s="7">
        <v>26.042999999999999</v>
      </c>
      <c r="AM172" s="7">
        <v>31.463999999999999</v>
      </c>
      <c r="AN172" s="7">
        <v>1.208</v>
      </c>
      <c r="AO172" s="7">
        <v>14.2</v>
      </c>
      <c r="AP172" s="7">
        <v>3.3879999999999999</v>
      </c>
      <c r="AQ172" s="7">
        <v>8.4550000000000001</v>
      </c>
    </row>
    <row r="173" spans="1:43" x14ac:dyDescent="0.25">
      <c r="A173" t="s">
        <v>154</v>
      </c>
      <c r="B173" t="s">
        <v>829</v>
      </c>
      <c r="C173" s="23" t="s">
        <v>298</v>
      </c>
      <c r="D173" s="22" t="s">
        <v>286</v>
      </c>
      <c r="E173" s="21">
        <v>2018</v>
      </c>
      <c r="F173" s="7">
        <v>121.609883509808</v>
      </c>
      <c r="G173" s="7">
        <v>5.0579999999999998</v>
      </c>
      <c r="H173" s="7">
        <v>1.5820000000000001</v>
      </c>
      <c r="I173" s="7">
        <v>1.1419999999999999</v>
      </c>
      <c r="J173" s="7">
        <v>0.49299999999999999</v>
      </c>
      <c r="K173" s="7">
        <v>1.506</v>
      </c>
      <c r="L173" s="7">
        <v>0</v>
      </c>
      <c r="M173" s="7">
        <v>1.4870000000000001</v>
      </c>
      <c r="N173" s="7">
        <v>0.27500000000000002</v>
      </c>
      <c r="O173" s="7">
        <v>0</v>
      </c>
      <c r="P173" s="7">
        <v>2.6419999999999999</v>
      </c>
      <c r="Q173" s="7">
        <v>0.47699999999999998</v>
      </c>
      <c r="R173" s="7">
        <v>0</v>
      </c>
      <c r="S173" s="7">
        <v>4.6210000000000004</v>
      </c>
      <c r="T173" s="7">
        <v>3.45</v>
      </c>
      <c r="U173" s="7">
        <v>3.44</v>
      </c>
      <c r="V173" s="7">
        <v>0.16900000000000001</v>
      </c>
      <c r="W173" s="7">
        <v>1.6060000000000001</v>
      </c>
      <c r="X173" s="7">
        <v>2.044</v>
      </c>
      <c r="Y173" s="7">
        <v>0.12</v>
      </c>
      <c r="Z173" s="7">
        <v>0</v>
      </c>
      <c r="AA173" s="7">
        <v>3.8820000000000001</v>
      </c>
      <c r="AB173" s="7">
        <v>0.43099999999999999</v>
      </c>
      <c r="AC173" s="7">
        <v>0.41699999999999998</v>
      </c>
      <c r="AD173" s="7">
        <v>0.157</v>
      </c>
      <c r="AE173" s="7">
        <v>8.2390000000000008</v>
      </c>
      <c r="AF173" s="7">
        <v>11.771000000000001</v>
      </c>
      <c r="AG173" s="7">
        <v>0</v>
      </c>
      <c r="AH173" s="7">
        <v>7.9320000000000004</v>
      </c>
      <c r="AI173" s="7">
        <v>3.069</v>
      </c>
      <c r="AJ173" s="7">
        <v>0</v>
      </c>
      <c r="AK173" s="7">
        <v>1.7070000000000001</v>
      </c>
      <c r="AL173" s="7">
        <v>30.111999999999998</v>
      </c>
      <c r="AM173" s="7">
        <v>35.898000000000003</v>
      </c>
      <c r="AN173" s="7">
        <v>1.1919999999999999</v>
      </c>
      <c r="AO173" s="7">
        <v>15.927</v>
      </c>
      <c r="AP173" s="7">
        <v>4.4039999999999999</v>
      </c>
      <c r="AQ173" s="7">
        <v>9.7810000000000006</v>
      </c>
    </row>
    <row r="174" spans="1:43" x14ac:dyDescent="0.25">
      <c r="A174" t="s">
        <v>155</v>
      </c>
      <c r="B174" t="s">
        <v>842</v>
      </c>
      <c r="C174" s="23" t="s">
        <v>283</v>
      </c>
      <c r="D174" s="22" t="s">
        <v>286</v>
      </c>
      <c r="E174" s="21">
        <v>2018</v>
      </c>
      <c r="F174" s="7">
        <v>386.946864516169</v>
      </c>
      <c r="G174" s="7">
        <v>17.125</v>
      </c>
      <c r="H174" s="7">
        <v>3.6389999999999998</v>
      </c>
      <c r="I174" s="7">
        <v>3.2370000000000001</v>
      </c>
      <c r="J174" s="7">
        <v>3.0019999999999998</v>
      </c>
      <c r="K174" s="7">
        <v>4.9059999999999997</v>
      </c>
      <c r="L174" s="7">
        <v>0.46100000000000002</v>
      </c>
      <c r="M174" s="7">
        <v>4.4909999999999997</v>
      </c>
      <c r="N174" s="7">
        <v>0</v>
      </c>
      <c r="O174" s="7">
        <v>0</v>
      </c>
      <c r="P174" s="7">
        <v>9.0589999999999993</v>
      </c>
      <c r="Q174" s="7">
        <v>1.9750000000000001</v>
      </c>
      <c r="R174" s="7">
        <v>0.124</v>
      </c>
      <c r="S174" s="7">
        <v>17.257999999999999</v>
      </c>
      <c r="T174" s="7">
        <v>10.316000000000001</v>
      </c>
      <c r="U174" s="7">
        <v>10.141999999999999</v>
      </c>
      <c r="V174" s="7">
        <v>0.74199999999999999</v>
      </c>
      <c r="W174" s="7">
        <v>5.6040000000000001</v>
      </c>
      <c r="X174" s="7">
        <v>7.327</v>
      </c>
      <c r="Y174" s="7">
        <v>0.56599999999999995</v>
      </c>
      <c r="Z174" s="7">
        <v>0</v>
      </c>
      <c r="AA174" s="7">
        <v>11.583</v>
      </c>
      <c r="AB174" s="7">
        <v>0</v>
      </c>
      <c r="AC174" s="7">
        <v>2.2850000000000001</v>
      </c>
      <c r="AD174" s="7">
        <v>0</v>
      </c>
      <c r="AE174" s="7">
        <v>16.975000000000001</v>
      </c>
      <c r="AF174" s="7">
        <v>33.771999999999998</v>
      </c>
      <c r="AG174" s="7">
        <v>0</v>
      </c>
      <c r="AH174" s="7">
        <v>28.128</v>
      </c>
      <c r="AI174" s="7">
        <v>0</v>
      </c>
      <c r="AJ174" s="7">
        <v>6.5529999999999999</v>
      </c>
      <c r="AK174" s="7">
        <v>4.0229999999999997</v>
      </c>
      <c r="AL174" s="7">
        <v>99.974000000000004</v>
      </c>
      <c r="AM174" s="7">
        <v>99.296000000000006</v>
      </c>
      <c r="AN174" s="7">
        <v>0.99299999999999999</v>
      </c>
      <c r="AO174" s="7">
        <v>54.054000000000002</v>
      </c>
      <c r="AP174" s="7">
        <v>13.55</v>
      </c>
      <c r="AQ174" s="7">
        <v>32.369999999999997</v>
      </c>
    </row>
    <row r="175" spans="1:43" x14ac:dyDescent="0.25">
      <c r="A175" t="s">
        <v>156</v>
      </c>
      <c r="B175" t="s">
        <v>842</v>
      </c>
      <c r="C175" s="23" t="s">
        <v>283</v>
      </c>
      <c r="D175" s="22" t="s">
        <v>286</v>
      </c>
      <c r="E175" s="21">
        <v>2018</v>
      </c>
      <c r="F175" s="7">
        <v>155.321869400759</v>
      </c>
      <c r="G175" s="7">
        <v>8.4849999999999994</v>
      </c>
      <c r="H175" s="7">
        <v>2.9249999999999998</v>
      </c>
      <c r="I175" s="7">
        <v>1.4670000000000001</v>
      </c>
      <c r="J175" s="7">
        <v>0.92</v>
      </c>
      <c r="K175" s="7">
        <v>2.7629999999999999</v>
      </c>
      <c r="L175" s="7">
        <v>0</v>
      </c>
      <c r="M175" s="7">
        <v>2.0099999999999998</v>
      </c>
      <c r="N175" s="7">
        <v>0</v>
      </c>
      <c r="O175" s="7">
        <v>0</v>
      </c>
      <c r="P175" s="7">
        <v>4.7930000000000001</v>
      </c>
      <c r="Q175" s="7">
        <v>0.68700000000000006</v>
      </c>
      <c r="R175" s="7">
        <v>3.7999999999999999E-2</v>
      </c>
      <c r="S175" s="7">
        <v>7.17</v>
      </c>
      <c r="T175" s="7">
        <v>4.0549999999999997</v>
      </c>
      <c r="U175" s="7">
        <v>4.5149999999999997</v>
      </c>
      <c r="V175" s="7">
        <v>0.28799999999999998</v>
      </c>
      <c r="W175" s="7">
        <v>2.5169999999999999</v>
      </c>
      <c r="X175" s="7">
        <v>3.0230000000000001</v>
      </c>
      <c r="Y175" s="7">
        <v>0.23899999999999999</v>
      </c>
      <c r="Z175" s="7">
        <v>0</v>
      </c>
      <c r="AA175" s="7">
        <v>6.4420000000000002</v>
      </c>
      <c r="AB175" s="7">
        <v>0.51100000000000001</v>
      </c>
      <c r="AC175" s="7">
        <v>0.54300000000000004</v>
      </c>
      <c r="AD175" s="7">
        <v>0</v>
      </c>
      <c r="AE175" s="7">
        <v>6.0069999999999997</v>
      </c>
      <c r="AF175" s="7">
        <v>13.25</v>
      </c>
      <c r="AG175" s="7">
        <v>0</v>
      </c>
      <c r="AH175" s="7">
        <v>10.25</v>
      </c>
      <c r="AI175" s="7">
        <v>0</v>
      </c>
      <c r="AJ175" s="7">
        <v>2.254</v>
      </c>
      <c r="AK175" s="7">
        <v>4.7039999999999997</v>
      </c>
      <c r="AL175" s="7">
        <v>45.895000000000003</v>
      </c>
      <c r="AM175" s="7">
        <v>39.256999999999998</v>
      </c>
      <c r="AN175" s="7">
        <v>0.85499999999999998</v>
      </c>
      <c r="AO175" s="7">
        <v>22.532</v>
      </c>
      <c r="AP175" s="7">
        <v>6.8029999999999999</v>
      </c>
      <c r="AQ175" s="7">
        <v>16.559999999999999</v>
      </c>
    </row>
    <row r="176" spans="1:43" x14ac:dyDescent="0.25">
      <c r="A176" t="s">
        <v>157</v>
      </c>
      <c r="B176" t="s">
        <v>842</v>
      </c>
      <c r="C176" s="23" t="s">
        <v>283</v>
      </c>
      <c r="D176" s="22" t="s">
        <v>286</v>
      </c>
      <c r="E176" s="21">
        <v>2018</v>
      </c>
      <c r="F176" s="7">
        <v>260.728598038006</v>
      </c>
      <c r="G176" s="7">
        <v>12.013999999999999</v>
      </c>
      <c r="H176" s="7">
        <v>2.9409999999999998</v>
      </c>
      <c r="I176" s="7">
        <v>2.145</v>
      </c>
      <c r="J176" s="7">
        <v>1.6539999999999999</v>
      </c>
      <c r="K176" s="7">
        <v>4.1769999999999996</v>
      </c>
      <c r="L176" s="7">
        <v>0.34499999999999997</v>
      </c>
      <c r="M176" s="7">
        <v>3.0470000000000002</v>
      </c>
      <c r="N176" s="7">
        <v>0</v>
      </c>
      <c r="O176" s="7">
        <v>0</v>
      </c>
      <c r="P176" s="7">
        <v>6.4930000000000003</v>
      </c>
      <c r="Q176" s="7">
        <v>1.3140000000000001</v>
      </c>
      <c r="R176" s="7">
        <v>0.155</v>
      </c>
      <c r="S176" s="7">
        <v>11.525</v>
      </c>
      <c r="T176" s="7">
        <v>6.6349999999999998</v>
      </c>
      <c r="U176" s="7">
        <v>6.3250000000000002</v>
      </c>
      <c r="V176" s="7">
        <v>0.44</v>
      </c>
      <c r="W176" s="7">
        <v>3.8490000000000002</v>
      </c>
      <c r="X176" s="7">
        <v>4.6849999999999996</v>
      </c>
      <c r="Y176" s="7">
        <v>0.40200000000000002</v>
      </c>
      <c r="Z176" s="7">
        <v>0</v>
      </c>
      <c r="AA176" s="7">
        <v>9.2530000000000001</v>
      </c>
      <c r="AB176" s="7">
        <v>0.56599999999999995</v>
      </c>
      <c r="AC176" s="7">
        <v>0.95199999999999996</v>
      </c>
      <c r="AD176" s="7">
        <v>0.32</v>
      </c>
      <c r="AE176" s="7">
        <v>9.234</v>
      </c>
      <c r="AF176" s="7">
        <v>20.777999999999999</v>
      </c>
      <c r="AG176" s="7">
        <v>0</v>
      </c>
      <c r="AH176" s="7">
        <v>18.007000000000001</v>
      </c>
      <c r="AI176" s="7">
        <v>0</v>
      </c>
      <c r="AJ176" s="7">
        <v>4.4269999999999996</v>
      </c>
      <c r="AK176" s="7">
        <v>2.694</v>
      </c>
      <c r="AL176" s="7">
        <v>68.146000000000001</v>
      </c>
      <c r="AM176" s="7">
        <v>63.536999999999999</v>
      </c>
      <c r="AN176" s="7">
        <v>0.93200000000000005</v>
      </c>
      <c r="AO176" s="7">
        <v>35.33</v>
      </c>
      <c r="AP176" s="7">
        <v>9.5399999999999991</v>
      </c>
      <c r="AQ176" s="7">
        <v>23.276</v>
      </c>
    </row>
    <row r="177" spans="1:43" x14ac:dyDescent="0.25">
      <c r="A177" t="s">
        <v>158</v>
      </c>
      <c r="B177" t="s">
        <v>842</v>
      </c>
      <c r="C177" s="23" t="s">
        <v>283</v>
      </c>
      <c r="D177" s="22" t="s">
        <v>286</v>
      </c>
      <c r="E177" s="21">
        <v>2018</v>
      </c>
      <c r="F177" s="7">
        <v>279.77974529420698</v>
      </c>
      <c r="G177" s="7">
        <v>12.707000000000001</v>
      </c>
      <c r="H177" s="7">
        <v>3.407</v>
      </c>
      <c r="I177" s="7">
        <v>2.4159999999999999</v>
      </c>
      <c r="J177" s="7">
        <v>1.9219999999999999</v>
      </c>
      <c r="K177" s="7">
        <v>4.492</v>
      </c>
      <c r="L177" s="7">
        <v>0.48199999999999998</v>
      </c>
      <c r="M177" s="7">
        <v>3.35</v>
      </c>
      <c r="N177" s="7">
        <v>0</v>
      </c>
      <c r="O177" s="7">
        <v>0</v>
      </c>
      <c r="P177" s="7">
        <v>6.7519999999999998</v>
      </c>
      <c r="Q177" s="7">
        <v>1.2350000000000001</v>
      </c>
      <c r="R177" s="7">
        <v>7.1999999999999995E-2</v>
      </c>
      <c r="S177" s="7">
        <v>11.465</v>
      </c>
      <c r="T177" s="7">
        <v>6.8360000000000003</v>
      </c>
      <c r="U177" s="7">
        <v>6.8520000000000003</v>
      </c>
      <c r="V177" s="7">
        <v>0.50700000000000001</v>
      </c>
      <c r="W177" s="7">
        <v>3.9449999999999998</v>
      </c>
      <c r="X177" s="7">
        <v>5.1260000000000003</v>
      </c>
      <c r="Y177" s="7">
        <v>0.44600000000000001</v>
      </c>
      <c r="Z177" s="7">
        <v>0</v>
      </c>
      <c r="AA177" s="7">
        <v>14.789</v>
      </c>
      <c r="AB177" s="7">
        <v>1.0189999999999999</v>
      </c>
      <c r="AC177" s="7">
        <v>0.89200000000000002</v>
      </c>
      <c r="AD177" s="7">
        <v>0</v>
      </c>
      <c r="AE177" s="7">
        <v>12.02</v>
      </c>
      <c r="AF177" s="7">
        <v>24.968</v>
      </c>
      <c r="AG177" s="7">
        <v>0</v>
      </c>
      <c r="AH177" s="7">
        <v>20.32</v>
      </c>
      <c r="AI177" s="7">
        <v>0</v>
      </c>
      <c r="AJ177" s="7">
        <v>3.9340000000000002</v>
      </c>
      <c r="AK177" s="7">
        <v>3.6709999999999998</v>
      </c>
      <c r="AL177" s="7">
        <v>72.012</v>
      </c>
      <c r="AM177" s="7">
        <v>77.941999999999993</v>
      </c>
      <c r="AN177" s="7">
        <v>1.0820000000000001</v>
      </c>
      <c r="AO177" s="7">
        <v>36.484000000000002</v>
      </c>
      <c r="AP177" s="7">
        <v>10.102</v>
      </c>
      <c r="AQ177" s="7">
        <v>25.425999999999998</v>
      </c>
    </row>
    <row r="178" spans="1:43" x14ac:dyDescent="0.25">
      <c r="A178" t="s">
        <v>160</v>
      </c>
      <c r="B178" s="1" t="s">
        <v>11</v>
      </c>
      <c r="C178" s="23" t="s">
        <v>283</v>
      </c>
      <c r="D178" s="22" t="s">
        <v>286</v>
      </c>
      <c r="E178" s="21">
        <v>2018</v>
      </c>
      <c r="F178" s="7">
        <v>146.399622058506</v>
      </c>
      <c r="G178" s="7">
        <v>5.3819999999999997</v>
      </c>
      <c r="H178" s="7">
        <v>1.028</v>
      </c>
      <c r="I178" s="7">
        <v>1.2749999999999999</v>
      </c>
      <c r="J178" s="7">
        <v>0.871</v>
      </c>
      <c r="K178" s="7">
        <v>1.6910000000000001</v>
      </c>
      <c r="L178" s="7">
        <v>0</v>
      </c>
      <c r="M178" s="7">
        <v>1.214</v>
      </c>
      <c r="N178" s="7">
        <v>0.38800000000000001</v>
      </c>
      <c r="O178" s="7">
        <v>0</v>
      </c>
      <c r="P178" s="7">
        <v>3.0870000000000002</v>
      </c>
      <c r="Q178" s="7">
        <v>0.79900000000000004</v>
      </c>
      <c r="R178" s="7">
        <v>0</v>
      </c>
      <c r="S178" s="7">
        <v>5.9660000000000002</v>
      </c>
      <c r="T178" s="7">
        <v>4.3490000000000002</v>
      </c>
      <c r="U178" s="7">
        <v>4.4139999999999997</v>
      </c>
      <c r="V178" s="7">
        <v>0.255</v>
      </c>
      <c r="W178" s="7">
        <v>2.0710000000000002</v>
      </c>
      <c r="X178" s="7">
        <v>2.823</v>
      </c>
      <c r="Y178" s="7">
        <v>0.191</v>
      </c>
      <c r="Z178" s="7">
        <v>0</v>
      </c>
      <c r="AA178" s="7">
        <v>5.0389999999999997</v>
      </c>
      <c r="AB178" s="7">
        <v>0.53400000000000003</v>
      </c>
      <c r="AC178" s="7">
        <v>0.47199999999999998</v>
      </c>
      <c r="AD178" s="7">
        <v>0.21</v>
      </c>
      <c r="AE178" s="7">
        <v>9.2080000000000002</v>
      </c>
      <c r="AF178" s="7">
        <v>12.718</v>
      </c>
      <c r="AG178" s="7">
        <v>0</v>
      </c>
      <c r="AH178" s="7">
        <v>9.8019999999999996</v>
      </c>
      <c r="AI178" s="7">
        <v>3.798</v>
      </c>
      <c r="AJ178" s="7">
        <v>0</v>
      </c>
      <c r="AK178" s="7">
        <v>2.2029999999999998</v>
      </c>
      <c r="AL178" s="7">
        <v>35.804000000000002</v>
      </c>
      <c r="AM178" s="7">
        <v>41.780999999999999</v>
      </c>
      <c r="AN178" s="7">
        <v>1.167</v>
      </c>
      <c r="AO178" s="7">
        <v>20.867999999999999</v>
      </c>
      <c r="AP178" s="7">
        <v>4.6890000000000001</v>
      </c>
      <c r="AQ178" s="7">
        <v>10.247</v>
      </c>
    </row>
    <row r="179" spans="1:43" x14ac:dyDescent="0.25">
      <c r="A179" t="s">
        <v>161</v>
      </c>
      <c r="B179" s="1" t="s">
        <v>11</v>
      </c>
      <c r="C179" s="23" t="s">
        <v>283</v>
      </c>
      <c r="D179" s="22" t="s">
        <v>286</v>
      </c>
      <c r="E179" s="21">
        <v>2018</v>
      </c>
      <c r="F179" s="7">
        <v>195.792589620716</v>
      </c>
      <c r="G179" s="7">
        <v>7.1459999999999999</v>
      </c>
      <c r="H179" s="7">
        <v>1.645</v>
      </c>
      <c r="I179" s="7">
        <v>1.8460000000000001</v>
      </c>
      <c r="J179" s="7">
        <v>1.23</v>
      </c>
      <c r="K179" s="7">
        <v>2.1949999999999998</v>
      </c>
      <c r="L179" s="7">
        <v>0.67900000000000005</v>
      </c>
      <c r="M179" s="7">
        <v>2.0990000000000002</v>
      </c>
      <c r="N179" s="7">
        <v>0</v>
      </c>
      <c r="O179" s="7">
        <v>0</v>
      </c>
      <c r="P179" s="7">
        <v>4.63</v>
      </c>
      <c r="Q179" s="7">
        <v>0.82</v>
      </c>
      <c r="R179" s="7">
        <v>9.8000000000000004E-2</v>
      </c>
      <c r="S179" s="7">
        <v>7.7190000000000003</v>
      </c>
      <c r="T179" s="7">
        <v>4.6470000000000002</v>
      </c>
      <c r="U179" s="7">
        <v>5.4249999999999998</v>
      </c>
      <c r="V179" s="7">
        <v>0.51300000000000001</v>
      </c>
      <c r="W179" s="7">
        <v>2.8109999999999999</v>
      </c>
      <c r="X179" s="7">
        <v>3.3580000000000001</v>
      </c>
      <c r="Y179" s="7">
        <v>0.628</v>
      </c>
      <c r="Z179" s="7">
        <v>0</v>
      </c>
      <c r="AA179" s="7">
        <v>6.6219999999999999</v>
      </c>
      <c r="AB179" s="7">
        <v>1.17</v>
      </c>
      <c r="AC179" s="7">
        <v>0.77100000000000002</v>
      </c>
      <c r="AD179" s="7">
        <v>0.46300000000000002</v>
      </c>
      <c r="AE179" s="7">
        <v>7.6349999999999998</v>
      </c>
      <c r="AF179" s="7">
        <v>13.951000000000001</v>
      </c>
      <c r="AG179" s="7">
        <v>0</v>
      </c>
      <c r="AH179" s="7">
        <v>11.753</v>
      </c>
      <c r="AI179" s="7">
        <v>5.2629999999999999</v>
      </c>
      <c r="AJ179" s="7">
        <v>0</v>
      </c>
      <c r="AK179" s="7">
        <v>3.052</v>
      </c>
      <c r="AL179" s="7">
        <v>47.488999999999997</v>
      </c>
      <c r="AM179" s="7">
        <v>47.628</v>
      </c>
      <c r="AN179" s="7">
        <v>1.0029999999999999</v>
      </c>
      <c r="AO179" s="7">
        <v>26.018999999999998</v>
      </c>
      <c r="AP179" s="7">
        <v>6.7290000000000001</v>
      </c>
      <c r="AQ179" s="7">
        <v>14.741</v>
      </c>
    </row>
    <row r="180" spans="1:43" x14ac:dyDescent="0.25">
      <c r="A180" t="s">
        <v>162</v>
      </c>
      <c r="B180" s="1" t="s">
        <v>11</v>
      </c>
      <c r="C180" s="23" t="s">
        <v>283</v>
      </c>
      <c r="D180" s="22" t="s">
        <v>286</v>
      </c>
      <c r="E180" s="21">
        <v>2018</v>
      </c>
      <c r="F180" s="7">
        <v>106.72690284219399</v>
      </c>
      <c r="G180" s="7">
        <v>4.7949999999999999</v>
      </c>
      <c r="H180" s="7">
        <v>0.98399999999999999</v>
      </c>
      <c r="I180" s="7">
        <v>1.0820000000000001</v>
      </c>
      <c r="J180" s="7">
        <v>0.61399999999999999</v>
      </c>
      <c r="K180" s="7">
        <v>1.2889999999999999</v>
      </c>
      <c r="L180" s="7">
        <v>0</v>
      </c>
      <c r="M180" s="7">
        <v>1.1599999999999999</v>
      </c>
      <c r="N180" s="7">
        <v>0.29699999999999999</v>
      </c>
      <c r="O180" s="7">
        <v>0</v>
      </c>
      <c r="P180" s="7">
        <v>2.278</v>
      </c>
      <c r="Q180" s="7">
        <v>0.432</v>
      </c>
      <c r="R180" s="7">
        <v>0</v>
      </c>
      <c r="S180" s="7">
        <v>4.7050000000000001</v>
      </c>
      <c r="T180" s="7">
        <v>2.9169999999999998</v>
      </c>
      <c r="U180" s="7">
        <v>3.605</v>
      </c>
      <c r="V180" s="7">
        <v>0.16400000000000001</v>
      </c>
      <c r="W180" s="7">
        <v>1.6419999999999999</v>
      </c>
      <c r="X180" s="7">
        <v>1.964</v>
      </c>
      <c r="Y180" s="7">
        <v>0.124</v>
      </c>
      <c r="Z180" s="7">
        <v>0</v>
      </c>
      <c r="AA180" s="7">
        <v>3.476</v>
      </c>
      <c r="AB180" s="7">
        <v>0.307</v>
      </c>
      <c r="AC180" s="7">
        <v>0.47499999999999998</v>
      </c>
      <c r="AD180" s="7">
        <v>0.121</v>
      </c>
      <c r="AE180" s="7">
        <v>4.5890000000000004</v>
      </c>
      <c r="AF180" s="7">
        <v>10.028</v>
      </c>
      <c r="AG180" s="7">
        <v>0</v>
      </c>
      <c r="AH180" s="7">
        <v>9.3260000000000005</v>
      </c>
      <c r="AI180" s="7">
        <v>2.9750000000000001</v>
      </c>
      <c r="AJ180" s="7">
        <v>0</v>
      </c>
      <c r="AK180" s="7">
        <v>0.86</v>
      </c>
      <c r="AL180" s="7">
        <v>28.052</v>
      </c>
      <c r="AM180" s="7">
        <v>31.297000000000001</v>
      </c>
      <c r="AN180" s="7">
        <v>1.1160000000000001</v>
      </c>
      <c r="AO180" s="7">
        <v>15.553000000000001</v>
      </c>
      <c r="AP180" s="7">
        <v>3.7349999999999999</v>
      </c>
      <c r="AQ180" s="7">
        <v>8.7639999999999993</v>
      </c>
    </row>
    <row r="181" spans="1:43" x14ac:dyDescent="0.25">
      <c r="A181" t="s">
        <v>163</v>
      </c>
      <c r="B181" s="1" t="s">
        <v>11</v>
      </c>
      <c r="C181" s="23" t="s">
        <v>283</v>
      </c>
      <c r="D181" s="22" t="s">
        <v>286</v>
      </c>
      <c r="E181" s="21">
        <v>2018</v>
      </c>
      <c r="F181" s="7">
        <v>113.944712033652</v>
      </c>
      <c r="G181" s="7">
        <v>5.5679999999999996</v>
      </c>
      <c r="H181" s="7">
        <v>1.222</v>
      </c>
      <c r="I181" s="7">
        <v>0.872</v>
      </c>
      <c r="J181" s="7">
        <v>0.61599999999999999</v>
      </c>
      <c r="K181" s="7">
        <v>1.2010000000000001</v>
      </c>
      <c r="L181" s="7">
        <v>0</v>
      </c>
      <c r="M181" s="7">
        <v>1.1599999999999999</v>
      </c>
      <c r="N181" s="7">
        <v>0.29099999999999998</v>
      </c>
      <c r="O181" s="7">
        <v>0</v>
      </c>
      <c r="P181" s="7">
        <v>3.121</v>
      </c>
      <c r="Q181" s="7">
        <v>0.42499999999999999</v>
      </c>
      <c r="R181" s="7">
        <v>0</v>
      </c>
      <c r="S181" s="7">
        <v>5.1710000000000003</v>
      </c>
      <c r="T181" s="7">
        <v>2.6739999999999999</v>
      </c>
      <c r="U181" s="7">
        <v>2.96</v>
      </c>
      <c r="V181" s="7">
        <v>0.18099999999999999</v>
      </c>
      <c r="W181" s="7">
        <v>1.8049999999999999</v>
      </c>
      <c r="X181" s="7">
        <v>1.901</v>
      </c>
      <c r="Y181" s="7">
        <v>0.114</v>
      </c>
      <c r="Z181" s="7">
        <v>0</v>
      </c>
      <c r="AA181" s="7">
        <v>5.38</v>
      </c>
      <c r="AB181" s="7">
        <v>0.41399999999999998</v>
      </c>
      <c r="AC181" s="7">
        <v>0.378</v>
      </c>
      <c r="AD181" s="7">
        <v>0.13100000000000001</v>
      </c>
      <c r="AE181" s="7">
        <v>5.431</v>
      </c>
      <c r="AF181" s="7">
        <v>9.593</v>
      </c>
      <c r="AG181" s="7">
        <v>0</v>
      </c>
      <c r="AH181" s="7">
        <v>9.0120000000000005</v>
      </c>
      <c r="AI181" s="7">
        <v>3.4460000000000002</v>
      </c>
      <c r="AJ181" s="7">
        <v>0</v>
      </c>
      <c r="AK181" s="7">
        <v>1.5780000000000001</v>
      </c>
      <c r="AL181" s="7">
        <v>29.282</v>
      </c>
      <c r="AM181" s="7">
        <v>33.784999999999997</v>
      </c>
      <c r="AN181" s="7">
        <v>1.1539999999999999</v>
      </c>
      <c r="AO181" s="7">
        <v>15.231</v>
      </c>
      <c r="AP181" s="7">
        <v>4.5720000000000001</v>
      </c>
      <c r="AQ181" s="7">
        <v>9.4789999999999992</v>
      </c>
    </row>
    <row r="182" spans="1:43" x14ac:dyDescent="0.25">
      <c r="A182" t="s">
        <v>164</v>
      </c>
      <c r="B182" s="1" t="s">
        <v>12</v>
      </c>
      <c r="C182" s="23" t="s">
        <v>283</v>
      </c>
      <c r="D182" s="22" t="s">
        <v>283</v>
      </c>
      <c r="E182" s="21">
        <v>2018</v>
      </c>
      <c r="F182" s="7">
        <v>47.486599525596397</v>
      </c>
      <c r="G182" s="7">
        <v>1.867</v>
      </c>
      <c r="H182" s="7">
        <v>0.48899999999999999</v>
      </c>
      <c r="I182" s="7">
        <v>0.73499999999999999</v>
      </c>
      <c r="J182" s="7">
        <v>0.14399999999999999</v>
      </c>
      <c r="K182" s="7">
        <v>0.55500000000000005</v>
      </c>
      <c r="L182" s="7">
        <v>0</v>
      </c>
      <c r="M182" s="7">
        <v>0.55600000000000005</v>
      </c>
      <c r="N182" s="7">
        <v>0.11600000000000001</v>
      </c>
      <c r="O182" s="7">
        <v>0</v>
      </c>
      <c r="P182" s="7">
        <v>1.056</v>
      </c>
      <c r="Q182" s="7">
        <v>0.184</v>
      </c>
      <c r="R182" s="7">
        <v>0</v>
      </c>
      <c r="S182" s="7">
        <v>1.766</v>
      </c>
      <c r="T182" s="7">
        <v>1.206</v>
      </c>
      <c r="U182" s="7">
        <v>1.3979999999999999</v>
      </c>
      <c r="V182" s="7">
        <v>6.2E-2</v>
      </c>
      <c r="W182" s="7">
        <v>0.64800000000000002</v>
      </c>
      <c r="X182" s="7">
        <v>0.76</v>
      </c>
      <c r="Y182" s="7">
        <v>5.2999999999999999E-2</v>
      </c>
      <c r="Z182" s="7">
        <v>0</v>
      </c>
      <c r="AA182" s="7">
        <v>1.0489999999999999</v>
      </c>
      <c r="AB182" s="7">
        <v>0.35099999999999998</v>
      </c>
      <c r="AC182" s="7">
        <v>0.10199999999999999</v>
      </c>
      <c r="AD182" s="7">
        <v>0</v>
      </c>
      <c r="AE182" s="7">
        <v>1.827</v>
      </c>
      <c r="AF182" s="7">
        <v>4.5149999999999997</v>
      </c>
      <c r="AG182" s="7">
        <v>0</v>
      </c>
      <c r="AH182" s="7">
        <v>3.2629999999999999</v>
      </c>
      <c r="AI182" s="7">
        <v>1.92</v>
      </c>
      <c r="AJ182" s="7">
        <v>0</v>
      </c>
      <c r="AK182" s="7">
        <v>0.93500000000000005</v>
      </c>
      <c r="AL182" s="7">
        <v>11.595000000000001</v>
      </c>
      <c r="AM182" s="7">
        <v>13.026999999999999</v>
      </c>
      <c r="AN182" s="7">
        <v>1.1240000000000001</v>
      </c>
      <c r="AO182" s="7">
        <v>6.077</v>
      </c>
      <c r="AP182" s="7">
        <v>1.728</v>
      </c>
      <c r="AQ182" s="7">
        <v>3.79</v>
      </c>
    </row>
    <row r="183" spans="1:43" x14ac:dyDescent="0.25">
      <c r="A183" t="s">
        <v>165</v>
      </c>
      <c r="B183" s="1" t="s">
        <v>12</v>
      </c>
      <c r="C183" s="23" t="s">
        <v>283</v>
      </c>
      <c r="D183" s="22" t="s">
        <v>283</v>
      </c>
      <c r="E183" s="21">
        <v>2018</v>
      </c>
      <c r="F183" s="7">
        <v>39.065887520282303</v>
      </c>
      <c r="G183" s="7">
        <v>1.794</v>
      </c>
      <c r="H183" s="7">
        <v>0.73499999999999999</v>
      </c>
      <c r="I183" s="7">
        <v>0.53900000000000003</v>
      </c>
      <c r="J183" s="7">
        <v>0.10299999999999999</v>
      </c>
      <c r="K183" s="7">
        <v>0.46100000000000002</v>
      </c>
      <c r="L183" s="7">
        <v>0</v>
      </c>
      <c r="M183" s="7">
        <v>0.71899999999999997</v>
      </c>
      <c r="N183" s="7">
        <v>6.6000000000000003E-2</v>
      </c>
      <c r="O183" s="7">
        <v>0</v>
      </c>
      <c r="P183" s="7">
        <v>1.073</v>
      </c>
      <c r="Q183" s="7">
        <v>0.16500000000000001</v>
      </c>
      <c r="R183" s="7">
        <v>0</v>
      </c>
      <c r="S183" s="7">
        <v>1.641</v>
      </c>
      <c r="T183" s="7">
        <v>1.1060000000000001</v>
      </c>
      <c r="U183" s="7">
        <v>1.4430000000000001</v>
      </c>
      <c r="V183" s="7">
        <v>0.06</v>
      </c>
      <c r="W183" s="7">
        <v>0.65900000000000003</v>
      </c>
      <c r="X183" s="7">
        <v>0.79200000000000004</v>
      </c>
      <c r="Y183" s="7">
        <v>4.1000000000000002E-2</v>
      </c>
      <c r="Z183" s="7">
        <v>0</v>
      </c>
      <c r="AA183" s="7">
        <v>0.71799999999999997</v>
      </c>
      <c r="AB183" s="7">
        <v>0.25600000000000001</v>
      </c>
      <c r="AC183" s="7">
        <v>8.4000000000000005E-2</v>
      </c>
      <c r="AD183" s="7">
        <v>0</v>
      </c>
      <c r="AE183" s="7">
        <v>1.24</v>
      </c>
      <c r="AF183" s="7">
        <v>2.7010000000000001</v>
      </c>
      <c r="AG183" s="7">
        <v>0</v>
      </c>
      <c r="AH183" s="7">
        <v>1.488</v>
      </c>
      <c r="AI183" s="7">
        <v>0.60099999999999998</v>
      </c>
      <c r="AJ183" s="7">
        <v>0</v>
      </c>
      <c r="AK183" s="7">
        <v>0.254</v>
      </c>
      <c r="AL183" s="7">
        <v>11.397</v>
      </c>
      <c r="AM183" s="7">
        <v>7.0880000000000001</v>
      </c>
      <c r="AN183" s="7">
        <v>0.622</v>
      </c>
      <c r="AO183" s="7">
        <v>5.907</v>
      </c>
      <c r="AP183" s="7">
        <v>1.8580000000000001</v>
      </c>
      <c r="AQ183" s="7">
        <v>3.6320000000000001</v>
      </c>
    </row>
    <row r="184" spans="1:43" x14ac:dyDescent="0.25">
      <c r="A184" t="s">
        <v>166</v>
      </c>
      <c r="B184" s="1" t="s">
        <v>12</v>
      </c>
      <c r="C184" s="23" t="s">
        <v>283</v>
      </c>
      <c r="D184" s="22" t="s">
        <v>283</v>
      </c>
      <c r="E184" s="21">
        <v>2018</v>
      </c>
      <c r="F184" s="7">
        <v>46.058778170154298</v>
      </c>
      <c r="G184" s="7">
        <v>1.6220000000000001</v>
      </c>
      <c r="H184" s="7">
        <v>0.38700000000000001</v>
      </c>
      <c r="I184" s="7">
        <v>0.68300000000000005</v>
      </c>
      <c r="J184" s="7">
        <v>0.152</v>
      </c>
      <c r="K184" s="7">
        <v>0.53900000000000003</v>
      </c>
      <c r="L184" s="7">
        <v>0</v>
      </c>
      <c r="M184" s="7">
        <v>0.50600000000000001</v>
      </c>
      <c r="N184" s="7">
        <v>0.114</v>
      </c>
      <c r="O184" s="7">
        <v>0</v>
      </c>
      <c r="P184" s="7">
        <v>0.749</v>
      </c>
      <c r="Q184" s="7">
        <v>0.159</v>
      </c>
      <c r="R184" s="7">
        <v>0</v>
      </c>
      <c r="S184" s="7">
        <v>1.619</v>
      </c>
      <c r="T184" s="7">
        <v>1.0229999999999999</v>
      </c>
      <c r="U184" s="7">
        <v>1.339</v>
      </c>
      <c r="V184" s="7">
        <v>6.2E-2</v>
      </c>
      <c r="W184" s="7">
        <v>0.55700000000000005</v>
      </c>
      <c r="X184" s="7">
        <v>0.72199999999999998</v>
      </c>
      <c r="Y184" s="7">
        <v>4.1000000000000002E-2</v>
      </c>
      <c r="Z184" s="7">
        <v>0</v>
      </c>
      <c r="AA184" s="7">
        <v>1.0489999999999999</v>
      </c>
      <c r="AB184" s="7">
        <v>0.251</v>
      </c>
      <c r="AC184" s="7">
        <v>0.13300000000000001</v>
      </c>
      <c r="AD184" s="7">
        <v>0</v>
      </c>
      <c r="AE184" s="7">
        <v>2.2589999999999999</v>
      </c>
      <c r="AF184" s="7">
        <v>4.4950000000000001</v>
      </c>
      <c r="AG184" s="7">
        <v>0</v>
      </c>
      <c r="AH184" s="7">
        <v>3.9580000000000002</v>
      </c>
      <c r="AI184" s="7">
        <v>1.615</v>
      </c>
      <c r="AJ184" s="7">
        <v>0</v>
      </c>
      <c r="AK184" s="7">
        <v>0.49399999999999999</v>
      </c>
      <c r="AL184" s="7">
        <v>10.273999999999999</v>
      </c>
      <c r="AM184" s="7">
        <v>13.76</v>
      </c>
      <c r="AN184" s="7">
        <v>1.339</v>
      </c>
      <c r="AO184" s="7">
        <v>5.5220000000000002</v>
      </c>
      <c r="AP184" s="7">
        <v>1.369</v>
      </c>
      <c r="AQ184" s="7">
        <v>3.383</v>
      </c>
    </row>
    <row r="185" spans="1:43" x14ac:dyDescent="0.25">
      <c r="A185" t="s">
        <v>167</v>
      </c>
      <c r="B185" s="1" t="s">
        <v>12</v>
      </c>
      <c r="C185" s="23" t="s">
        <v>283</v>
      </c>
      <c r="D185" s="22" t="s">
        <v>283</v>
      </c>
      <c r="E185" s="21">
        <v>2018</v>
      </c>
      <c r="F185" s="7">
        <v>34.108510342991202</v>
      </c>
      <c r="G185" s="7">
        <v>1.506</v>
      </c>
      <c r="H185" s="7">
        <v>0.443</v>
      </c>
      <c r="I185" s="7">
        <v>0.64300000000000002</v>
      </c>
      <c r="J185" s="7">
        <v>0.13100000000000001</v>
      </c>
      <c r="K185" s="7">
        <v>0.42799999999999999</v>
      </c>
      <c r="L185" s="7">
        <v>0</v>
      </c>
      <c r="M185" s="7">
        <v>0.41099999999999998</v>
      </c>
      <c r="N185" s="7">
        <v>0.123</v>
      </c>
      <c r="O185" s="7">
        <v>0</v>
      </c>
      <c r="P185" s="7">
        <v>0.66200000000000003</v>
      </c>
      <c r="Q185" s="7">
        <v>9.5000000000000001E-2</v>
      </c>
      <c r="R185" s="7">
        <v>0</v>
      </c>
      <c r="S185" s="7">
        <v>1.2589999999999999</v>
      </c>
      <c r="T185" s="7">
        <v>0.76100000000000001</v>
      </c>
      <c r="U185" s="7">
        <v>1.01</v>
      </c>
      <c r="V185" s="7">
        <v>4.5999999999999999E-2</v>
      </c>
      <c r="W185" s="7">
        <v>0.49099999999999999</v>
      </c>
      <c r="X185" s="7">
        <v>0.58399999999999996</v>
      </c>
      <c r="Y185" s="7">
        <v>3.1E-2</v>
      </c>
      <c r="Z185" s="7">
        <v>0</v>
      </c>
      <c r="AA185" s="7">
        <v>1.5640000000000001</v>
      </c>
      <c r="AB185" s="7">
        <v>0.23499999999999999</v>
      </c>
      <c r="AC185" s="7">
        <v>7.2999999999999995E-2</v>
      </c>
      <c r="AD185" s="7">
        <v>0</v>
      </c>
      <c r="AE185" s="7">
        <v>1.677</v>
      </c>
      <c r="AF185" s="7">
        <v>3.996</v>
      </c>
      <c r="AG185" s="7">
        <v>0</v>
      </c>
      <c r="AH185" s="7">
        <v>2.5419999999999998</v>
      </c>
      <c r="AI185" s="7">
        <v>0</v>
      </c>
      <c r="AJ185" s="7">
        <v>0</v>
      </c>
      <c r="AK185" s="7">
        <v>0.44</v>
      </c>
      <c r="AL185" s="7">
        <v>8.6240000000000006</v>
      </c>
      <c r="AM185" s="7">
        <v>10.087</v>
      </c>
      <c r="AN185" s="7">
        <v>1.17</v>
      </c>
      <c r="AO185" s="7">
        <v>4.2770000000000001</v>
      </c>
      <c r="AP185" s="7">
        <v>1.196</v>
      </c>
      <c r="AQ185" s="7">
        <v>3.1509999999999998</v>
      </c>
    </row>
    <row r="186" spans="1:43" x14ac:dyDescent="0.25">
      <c r="A186" t="s">
        <v>168</v>
      </c>
      <c r="B186" s="1" t="s">
        <v>13</v>
      </c>
      <c r="C186" s="23" t="s">
        <v>298</v>
      </c>
      <c r="D186" s="22" t="s">
        <v>286</v>
      </c>
      <c r="E186" s="21">
        <v>2018</v>
      </c>
      <c r="F186" s="7">
        <v>121.023960153381</v>
      </c>
      <c r="G186" s="7">
        <v>5.7960000000000003</v>
      </c>
      <c r="H186" s="7">
        <v>1.4419999999999999</v>
      </c>
      <c r="I186" s="7">
        <v>1.5329999999999999</v>
      </c>
      <c r="J186" s="7">
        <v>0.65600000000000003</v>
      </c>
      <c r="K186" s="7">
        <v>1.9350000000000001</v>
      </c>
      <c r="L186" s="7">
        <v>0</v>
      </c>
      <c r="M186" s="7">
        <v>1.478</v>
      </c>
      <c r="N186" s="7">
        <v>0.14899999999999999</v>
      </c>
      <c r="O186" s="7">
        <v>0</v>
      </c>
      <c r="P186" s="7">
        <v>3.0209999999999999</v>
      </c>
      <c r="Q186" s="7">
        <v>0.627</v>
      </c>
      <c r="R186" s="7">
        <v>0</v>
      </c>
      <c r="S186" s="7">
        <v>5.7770000000000001</v>
      </c>
      <c r="T186" s="7">
        <v>3.9830000000000001</v>
      </c>
      <c r="U186" s="7">
        <v>4.4059999999999997</v>
      </c>
      <c r="V186" s="7">
        <v>0.214</v>
      </c>
      <c r="W186" s="7">
        <v>1.9630000000000001</v>
      </c>
      <c r="X186" s="7">
        <v>2.4940000000000002</v>
      </c>
      <c r="Y186" s="7">
        <v>0.107</v>
      </c>
      <c r="Z186" s="7">
        <v>0</v>
      </c>
      <c r="AA186" s="7">
        <v>3.8029999999999999</v>
      </c>
      <c r="AB186" s="7">
        <v>0.31</v>
      </c>
      <c r="AC186" s="7">
        <v>0.53100000000000003</v>
      </c>
      <c r="AD186" s="7">
        <v>0</v>
      </c>
      <c r="AE186" s="7">
        <v>5.1280000000000001</v>
      </c>
      <c r="AF186" s="7">
        <v>10.683</v>
      </c>
      <c r="AG186" s="7">
        <v>0</v>
      </c>
      <c r="AH186" s="7">
        <v>8.64</v>
      </c>
      <c r="AI186" s="7">
        <v>3.47</v>
      </c>
      <c r="AJ186" s="7">
        <v>0</v>
      </c>
      <c r="AK186" s="7">
        <v>0.77600000000000002</v>
      </c>
      <c r="AL186" s="7">
        <v>35.581000000000003</v>
      </c>
      <c r="AM186" s="7">
        <v>32.564999999999998</v>
      </c>
      <c r="AN186" s="7">
        <v>0.91500000000000004</v>
      </c>
      <c r="AO186" s="7">
        <v>19.571000000000002</v>
      </c>
      <c r="AP186" s="7">
        <v>4.6479999999999997</v>
      </c>
      <c r="AQ186" s="7">
        <v>11.362</v>
      </c>
    </row>
    <row r="187" spans="1:43" x14ac:dyDescent="0.25">
      <c r="A187" t="s">
        <v>169</v>
      </c>
      <c r="B187" s="1" t="s">
        <v>13</v>
      </c>
      <c r="C187" s="23" t="s">
        <v>298</v>
      </c>
      <c r="D187" s="22" t="s">
        <v>286</v>
      </c>
      <c r="E187" s="21">
        <v>2018</v>
      </c>
      <c r="F187" s="7">
        <v>253.36409261779701</v>
      </c>
      <c r="G187" s="7">
        <v>7.9710000000000001</v>
      </c>
      <c r="H187" s="7">
        <v>1.456</v>
      </c>
      <c r="I187" s="7">
        <v>2.363</v>
      </c>
      <c r="J187" s="7">
        <v>1.9830000000000001</v>
      </c>
      <c r="K187" s="7">
        <v>3.1669999999999998</v>
      </c>
      <c r="L187" s="7">
        <v>0.20899999999999999</v>
      </c>
      <c r="M187" s="7">
        <v>2.7149999999999999</v>
      </c>
      <c r="N187" s="7">
        <v>0</v>
      </c>
      <c r="O187" s="7">
        <v>0</v>
      </c>
      <c r="P187" s="7">
        <v>4.9240000000000004</v>
      </c>
      <c r="Q187" s="7">
        <v>1.3049999999999999</v>
      </c>
      <c r="R187" s="7">
        <v>0.11899999999999999</v>
      </c>
      <c r="S187" s="7">
        <v>9.7690000000000001</v>
      </c>
      <c r="T187" s="7">
        <v>7.726</v>
      </c>
      <c r="U187" s="7">
        <v>7.5339999999999998</v>
      </c>
      <c r="V187" s="7">
        <v>0.41199999999999998</v>
      </c>
      <c r="W187" s="7">
        <v>3.266</v>
      </c>
      <c r="X187" s="7">
        <v>4.5949999999999998</v>
      </c>
      <c r="Y187" s="7">
        <v>0.252</v>
      </c>
      <c r="Z187" s="7">
        <v>0</v>
      </c>
      <c r="AA187" s="7">
        <v>8.6430000000000007</v>
      </c>
      <c r="AB187" s="7">
        <v>0.748</v>
      </c>
      <c r="AC187" s="7">
        <v>1.0649999999999999</v>
      </c>
      <c r="AD187" s="7">
        <v>0</v>
      </c>
      <c r="AE187" s="7">
        <v>20.029</v>
      </c>
      <c r="AF187" s="7">
        <v>20.516999999999999</v>
      </c>
      <c r="AG187" s="7">
        <v>0</v>
      </c>
      <c r="AH187" s="7">
        <v>18.155000000000001</v>
      </c>
      <c r="AI187" s="7">
        <v>0</v>
      </c>
      <c r="AJ187" s="7">
        <v>9.173</v>
      </c>
      <c r="AK187" s="7">
        <v>1.6020000000000001</v>
      </c>
      <c r="AL187" s="7">
        <v>59.765999999999998</v>
      </c>
      <c r="AM187" s="7">
        <v>78.33</v>
      </c>
      <c r="AN187" s="7">
        <v>1.3109999999999999</v>
      </c>
      <c r="AO187" s="7">
        <v>34.978000000000002</v>
      </c>
      <c r="AP187" s="7">
        <v>7.6390000000000002</v>
      </c>
      <c r="AQ187" s="7">
        <v>17.149000000000001</v>
      </c>
    </row>
    <row r="188" spans="1:43" x14ac:dyDescent="0.25">
      <c r="A188" t="s">
        <v>170</v>
      </c>
      <c r="B188" s="1" t="s">
        <v>13</v>
      </c>
      <c r="C188" s="23" t="s">
        <v>298</v>
      </c>
      <c r="D188" s="22" t="s">
        <v>286</v>
      </c>
      <c r="E188" s="21">
        <v>2018</v>
      </c>
      <c r="F188" s="7">
        <v>129.08628955872001</v>
      </c>
      <c r="G188" s="7">
        <v>5.6740000000000004</v>
      </c>
      <c r="H188" s="7">
        <v>1.3819999999999999</v>
      </c>
      <c r="I188" s="7">
        <v>1.4510000000000001</v>
      </c>
      <c r="J188" s="7">
        <v>0.85099999999999998</v>
      </c>
      <c r="K188" s="7">
        <v>1.873</v>
      </c>
      <c r="L188" s="7">
        <v>0</v>
      </c>
      <c r="M188" s="7">
        <v>1.458</v>
      </c>
      <c r="N188" s="7">
        <v>0.46800000000000003</v>
      </c>
      <c r="O188" s="7">
        <v>0</v>
      </c>
      <c r="P188" s="7">
        <v>3.532</v>
      </c>
      <c r="Q188" s="7">
        <v>0.63800000000000001</v>
      </c>
      <c r="R188" s="7">
        <v>3.9E-2</v>
      </c>
      <c r="S188" s="7">
        <v>5.734</v>
      </c>
      <c r="T188" s="7">
        <v>3.6349999999999998</v>
      </c>
      <c r="U188" s="7">
        <v>4.0659999999999998</v>
      </c>
      <c r="V188" s="7">
        <v>0.26100000000000001</v>
      </c>
      <c r="W188" s="7">
        <v>2.024</v>
      </c>
      <c r="X188" s="7">
        <v>2.4009999999999998</v>
      </c>
      <c r="Y188" s="7">
        <v>0.23100000000000001</v>
      </c>
      <c r="Z188" s="7">
        <v>0</v>
      </c>
      <c r="AA188" s="7">
        <v>3.9510000000000001</v>
      </c>
      <c r="AB188" s="7">
        <v>0.501</v>
      </c>
      <c r="AC188" s="7">
        <v>0.504</v>
      </c>
      <c r="AD188" s="7">
        <v>0</v>
      </c>
      <c r="AE188" s="7">
        <v>5.915</v>
      </c>
      <c r="AF188" s="7">
        <v>10.944000000000001</v>
      </c>
      <c r="AG188" s="7">
        <v>0</v>
      </c>
      <c r="AH188" s="7">
        <v>7.7759999999999998</v>
      </c>
      <c r="AI188" s="7">
        <v>3.3090000000000002</v>
      </c>
      <c r="AJ188" s="7">
        <v>0</v>
      </c>
      <c r="AK188" s="7">
        <v>2.4809999999999999</v>
      </c>
      <c r="AL188" s="7">
        <v>35.718000000000004</v>
      </c>
      <c r="AM188" s="7">
        <v>32.9</v>
      </c>
      <c r="AN188" s="7">
        <v>0.92100000000000004</v>
      </c>
      <c r="AO188" s="7">
        <v>19.029</v>
      </c>
      <c r="AP188" s="7">
        <v>5.4580000000000002</v>
      </c>
      <c r="AQ188" s="7">
        <v>11.231</v>
      </c>
    </row>
    <row r="189" spans="1:43" x14ac:dyDescent="0.25">
      <c r="A189" t="s">
        <v>171</v>
      </c>
      <c r="B189" s="1" t="s">
        <v>13</v>
      </c>
      <c r="C189" s="23" t="s">
        <v>298</v>
      </c>
      <c r="D189" s="22" t="s">
        <v>286</v>
      </c>
      <c r="E189" s="21">
        <v>2018</v>
      </c>
      <c r="F189" s="7">
        <v>188.59482969600501</v>
      </c>
      <c r="G189" s="7">
        <v>7.1790000000000003</v>
      </c>
      <c r="H189" s="7">
        <v>1.464</v>
      </c>
      <c r="I189" s="7">
        <v>2.2229999999999999</v>
      </c>
      <c r="J189" s="7">
        <v>1.1659999999999999</v>
      </c>
      <c r="K189" s="7">
        <v>2.8140000000000001</v>
      </c>
      <c r="L189" s="7">
        <v>0</v>
      </c>
      <c r="M189" s="7">
        <v>2.1309999999999998</v>
      </c>
      <c r="N189" s="7">
        <v>0</v>
      </c>
      <c r="O189" s="7">
        <v>0</v>
      </c>
      <c r="P189" s="7">
        <v>4.76</v>
      </c>
      <c r="Q189" s="7">
        <v>1.141</v>
      </c>
      <c r="R189" s="7">
        <v>8.3000000000000004E-2</v>
      </c>
      <c r="S189" s="7">
        <v>8.798</v>
      </c>
      <c r="T189" s="7">
        <v>5.7249999999999996</v>
      </c>
      <c r="U189" s="7">
        <v>6.492</v>
      </c>
      <c r="V189" s="7">
        <v>0.313</v>
      </c>
      <c r="W189" s="7">
        <v>2.754</v>
      </c>
      <c r="X189" s="7">
        <v>3.577</v>
      </c>
      <c r="Y189" s="7">
        <v>0.22900000000000001</v>
      </c>
      <c r="Z189" s="7">
        <v>0</v>
      </c>
      <c r="AA189" s="7">
        <v>6.0529999999999999</v>
      </c>
      <c r="AB189" s="7">
        <v>0.46200000000000002</v>
      </c>
      <c r="AC189" s="7">
        <v>0.82699999999999996</v>
      </c>
      <c r="AD189" s="7">
        <v>0</v>
      </c>
      <c r="AE189" s="7">
        <v>8.6340000000000003</v>
      </c>
      <c r="AF189" s="7">
        <v>15.254</v>
      </c>
      <c r="AG189" s="7">
        <v>0</v>
      </c>
      <c r="AH189" s="7">
        <v>11.782</v>
      </c>
      <c r="AI189" s="7">
        <v>0</v>
      </c>
      <c r="AJ189" s="7">
        <v>6.1470000000000002</v>
      </c>
      <c r="AK189" s="7">
        <v>1.0860000000000001</v>
      </c>
      <c r="AL189" s="7">
        <v>50.848999999999997</v>
      </c>
      <c r="AM189" s="7">
        <v>49.158999999999999</v>
      </c>
      <c r="AN189" s="7">
        <v>0.96699999999999997</v>
      </c>
      <c r="AO189" s="7">
        <v>29.111999999999998</v>
      </c>
      <c r="AP189" s="7">
        <v>6.891</v>
      </c>
      <c r="AQ189" s="7">
        <v>14.846</v>
      </c>
    </row>
    <row r="190" spans="1:43" x14ac:dyDescent="0.25">
      <c r="A190" t="s">
        <v>172</v>
      </c>
      <c r="B190" s="1" t="s">
        <v>0</v>
      </c>
      <c r="C190" s="23" t="s">
        <v>298</v>
      </c>
      <c r="D190" s="22" t="s">
        <v>283</v>
      </c>
      <c r="E190" s="21">
        <v>2018</v>
      </c>
      <c r="F190" s="7">
        <v>129.952422563536</v>
      </c>
      <c r="G190" s="7">
        <v>4.6260000000000003</v>
      </c>
      <c r="H190" s="7">
        <v>1.0129999999999999</v>
      </c>
      <c r="I190" s="7">
        <v>1.361</v>
      </c>
      <c r="J190" s="7">
        <v>0.56999999999999995</v>
      </c>
      <c r="K190" s="7">
        <v>1.5369999999999999</v>
      </c>
      <c r="L190" s="7">
        <v>0</v>
      </c>
      <c r="M190" s="7">
        <v>1.5289999999999999</v>
      </c>
      <c r="N190" s="7">
        <v>0.31900000000000001</v>
      </c>
      <c r="O190" s="7">
        <v>0</v>
      </c>
      <c r="P190" s="7">
        <v>2.427</v>
      </c>
      <c r="Q190" s="7">
        <v>0.61299999999999999</v>
      </c>
      <c r="R190" s="7">
        <v>0</v>
      </c>
      <c r="S190" s="7">
        <v>5.4880000000000004</v>
      </c>
      <c r="T190" s="7">
        <v>3.222</v>
      </c>
      <c r="U190" s="7">
        <v>3.8149999999999999</v>
      </c>
      <c r="V190" s="7">
        <v>0.19600000000000001</v>
      </c>
      <c r="W190" s="7">
        <v>1.6859999999999999</v>
      </c>
      <c r="X190" s="7">
        <v>2.1640000000000001</v>
      </c>
      <c r="Y190" s="7">
        <v>0.10199999999999999</v>
      </c>
      <c r="Z190" s="7">
        <v>0</v>
      </c>
      <c r="AA190" s="7">
        <v>3.0310000000000001</v>
      </c>
      <c r="AB190" s="7">
        <v>0.41299999999999998</v>
      </c>
      <c r="AC190" s="7">
        <v>0.32</v>
      </c>
      <c r="AD190" s="7">
        <v>0.251</v>
      </c>
      <c r="AE190" s="7">
        <v>12.881</v>
      </c>
      <c r="AF190" s="7">
        <v>15.77</v>
      </c>
      <c r="AG190" s="7">
        <v>0</v>
      </c>
      <c r="AH190" s="7">
        <v>7.0229999999999997</v>
      </c>
      <c r="AI190" s="7">
        <v>2.069</v>
      </c>
      <c r="AJ190" s="7">
        <v>0</v>
      </c>
      <c r="AK190" s="7">
        <v>0.84399999999999997</v>
      </c>
      <c r="AL190" s="7">
        <v>30.667999999999999</v>
      </c>
      <c r="AM190" s="7">
        <v>41.758000000000003</v>
      </c>
      <c r="AN190" s="7">
        <v>1.3620000000000001</v>
      </c>
      <c r="AO190" s="7">
        <v>17.286000000000001</v>
      </c>
      <c r="AP190" s="7">
        <v>4.2750000000000004</v>
      </c>
      <c r="AQ190" s="7">
        <v>9.1069999999999993</v>
      </c>
    </row>
    <row r="191" spans="1:43" x14ac:dyDescent="0.25">
      <c r="A191" t="s">
        <v>173</v>
      </c>
      <c r="B191" s="1" t="s">
        <v>0</v>
      </c>
      <c r="C191" s="23" t="s">
        <v>298</v>
      </c>
      <c r="D191" s="22" t="s">
        <v>283</v>
      </c>
      <c r="E191" s="21">
        <v>2018</v>
      </c>
      <c r="F191" s="7">
        <v>148.24587322972201</v>
      </c>
      <c r="G191" s="7">
        <v>5.1159999999999997</v>
      </c>
      <c r="H191" s="7">
        <v>1.069</v>
      </c>
      <c r="I191" s="7">
        <v>1.4950000000000001</v>
      </c>
      <c r="J191" s="7">
        <v>0.52900000000000003</v>
      </c>
      <c r="K191" s="7">
        <v>1.6879999999999999</v>
      </c>
      <c r="L191" s="7">
        <v>0</v>
      </c>
      <c r="M191" s="7">
        <v>1.738</v>
      </c>
      <c r="N191" s="7">
        <v>0.248</v>
      </c>
      <c r="O191" s="7">
        <v>0</v>
      </c>
      <c r="P191" s="7">
        <v>2.7229999999999999</v>
      </c>
      <c r="Q191" s="7">
        <v>0.65200000000000002</v>
      </c>
      <c r="R191" s="7">
        <v>5.3999999999999999E-2</v>
      </c>
      <c r="S191" s="7">
        <v>6.2720000000000002</v>
      </c>
      <c r="T191" s="7">
        <v>3.4809999999999999</v>
      </c>
      <c r="U191" s="7">
        <v>4.1849999999999996</v>
      </c>
      <c r="V191" s="7">
        <v>0.22800000000000001</v>
      </c>
      <c r="W191" s="7">
        <v>1.8939999999999999</v>
      </c>
      <c r="X191" s="7">
        <v>2.3119999999999998</v>
      </c>
      <c r="Y191" s="7">
        <v>8.1000000000000003E-2</v>
      </c>
      <c r="Z191" s="7">
        <v>0</v>
      </c>
      <c r="AA191" s="7">
        <v>3.129</v>
      </c>
      <c r="AB191" s="7">
        <v>0.4</v>
      </c>
      <c r="AC191" s="7">
        <v>0.34799999999999998</v>
      </c>
      <c r="AD191" s="7">
        <v>0</v>
      </c>
      <c r="AE191" s="7">
        <v>15.715999999999999</v>
      </c>
      <c r="AF191" s="7">
        <v>20.661000000000001</v>
      </c>
      <c r="AG191" s="7">
        <v>0</v>
      </c>
      <c r="AH191" s="7">
        <v>7.3730000000000002</v>
      </c>
      <c r="AI191" s="7">
        <v>2.1509999999999998</v>
      </c>
      <c r="AJ191" s="7">
        <v>0</v>
      </c>
      <c r="AK191" s="7">
        <v>1.214</v>
      </c>
      <c r="AL191" s="7">
        <v>33.765000000000001</v>
      </c>
      <c r="AM191" s="7">
        <v>49.777999999999999</v>
      </c>
      <c r="AN191" s="7">
        <v>1.474</v>
      </c>
      <c r="AO191" s="7">
        <v>19.158999999999999</v>
      </c>
      <c r="AP191" s="7">
        <v>4.7089999999999996</v>
      </c>
      <c r="AQ191" s="7">
        <v>9.8970000000000002</v>
      </c>
    </row>
    <row r="192" spans="1:43" x14ac:dyDescent="0.25">
      <c r="A192" t="s">
        <v>174</v>
      </c>
      <c r="B192" s="1" t="s">
        <v>0</v>
      </c>
      <c r="C192" s="23" t="s">
        <v>298</v>
      </c>
      <c r="D192" s="22" t="s">
        <v>283</v>
      </c>
      <c r="E192" s="21">
        <v>2018</v>
      </c>
      <c r="F192" s="7">
        <v>122.551667814678</v>
      </c>
      <c r="G192" s="7">
        <v>4.4619999999999997</v>
      </c>
      <c r="H192" s="7">
        <v>1.208</v>
      </c>
      <c r="I192" s="7">
        <v>1.262</v>
      </c>
      <c r="J192" s="7">
        <v>0.46300000000000002</v>
      </c>
      <c r="K192" s="7">
        <v>1.8080000000000001</v>
      </c>
      <c r="L192" s="7">
        <v>0</v>
      </c>
      <c r="M192" s="7">
        <v>1.4650000000000001</v>
      </c>
      <c r="N192" s="7">
        <v>0.29799999999999999</v>
      </c>
      <c r="O192" s="7">
        <v>0</v>
      </c>
      <c r="P192" s="7">
        <v>2.407</v>
      </c>
      <c r="Q192" s="7">
        <v>0.435</v>
      </c>
      <c r="R192" s="7">
        <v>0</v>
      </c>
      <c r="S192" s="7">
        <v>4.8620000000000001</v>
      </c>
      <c r="T192" s="7">
        <v>2.73</v>
      </c>
      <c r="U192" s="7">
        <v>3.6179999999999999</v>
      </c>
      <c r="V192" s="7">
        <v>0.18099999999999999</v>
      </c>
      <c r="W192" s="7">
        <v>1.57</v>
      </c>
      <c r="X192" s="7">
        <v>2.0390000000000001</v>
      </c>
      <c r="Y192" s="7">
        <v>9.5000000000000001E-2</v>
      </c>
      <c r="Z192" s="7">
        <v>0</v>
      </c>
      <c r="AA192" s="7">
        <v>2.9540000000000002</v>
      </c>
      <c r="AB192" s="7">
        <v>0.39400000000000002</v>
      </c>
      <c r="AC192" s="7">
        <v>0.27100000000000002</v>
      </c>
      <c r="AD192" s="7">
        <v>0</v>
      </c>
      <c r="AE192" s="7">
        <v>10.939</v>
      </c>
      <c r="AF192" s="7">
        <v>16.856000000000002</v>
      </c>
      <c r="AG192" s="7">
        <v>0</v>
      </c>
      <c r="AH192" s="7">
        <v>6.13</v>
      </c>
      <c r="AI192" s="7">
        <v>1.7490000000000001</v>
      </c>
      <c r="AJ192" s="7">
        <v>0</v>
      </c>
      <c r="AK192" s="7">
        <v>1.137</v>
      </c>
      <c r="AL192" s="7">
        <v>28.902999999999999</v>
      </c>
      <c r="AM192" s="7">
        <v>39.292999999999999</v>
      </c>
      <c r="AN192" s="7">
        <v>1.359</v>
      </c>
      <c r="AO192" s="7">
        <v>15.53</v>
      </c>
      <c r="AP192" s="7">
        <v>4.17</v>
      </c>
      <c r="AQ192" s="7">
        <v>9.2029999999999994</v>
      </c>
    </row>
    <row r="193" spans="1:43" x14ac:dyDescent="0.25">
      <c r="A193" t="s">
        <v>175</v>
      </c>
      <c r="B193" s="1" t="s">
        <v>0</v>
      </c>
      <c r="C193" s="23" t="s">
        <v>298</v>
      </c>
      <c r="D193" s="22" t="s">
        <v>283</v>
      </c>
      <c r="E193" s="21">
        <v>2018</v>
      </c>
      <c r="F193" s="7">
        <v>74.875404746095796</v>
      </c>
      <c r="G193" s="7">
        <v>3.1970000000000001</v>
      </c>
      <c r="H193" s="7">
        <v>0.88200000000000001</v>
      </c>
      <c r="I193" s="7">
        <v>0.93100000000000005</v>
      </c>
      <c r="J193" s="7">
        <v>0.27700000000000002</v>
      </c>
      <c r="K193" s="7">
        <v>1.006</v>
      </c>
      <c r="L193" s="7">
        <v>0</v>
      </c>
      <c r="M193" s="7">
        <v>0.9</v>
      </c>
      <c r="N193" s="7">
        <v>0.182</v>
      </c>
      <c r="O193" s="7">
        <v>0</v>
      </c>
      <c r="P193" s="7">
        <v>1.679</v>
      </c>
      <c r="Q193" s="7">
        <v>0.28199999999999997</v>
      </c>
      <c r="R193" s="7">
        <v>0</v>
      </c>
      <c r="S193" s="7">
        <v>3.1429999999999998</v>
      </c>
      <c r="T193" s="7">
        <v>1.7010000000000001</v>
      </c>
      <c r="U193" s="7">
        <v>2.3130000000000002</v>
      </c>
      <c r="V193" s="7">
        <v>0.105</v>
      </c>
      <c r="W193" s="7">
        <v>1.0740000000000001</v>
      </c>
      <c r="X193" s="7">
        <v>1.3049999999999999</v>
      </c>
      <c r="Y193" s="7">
        <v>7.1999999999999995E-2</v>
      </c>
      <c r="Z193" s="7">
        <v>0</v>
      </c>
      <c r="AA193" s="7">
        <v>1.843</v>
      </c>
      <c r="AB193" s="7">
        <v>0.28599999999999998</v>
      </c>
      <c r="AC193" s="7">
        <v>0.18099999999999999</v>
      </c>
      <c r="AD193" s="7">
        <v>0</v>
      </c>
      <c r="AE193" s="7">
        <v>4.9000000000000004</v>
      </c>
      <c r="AF193" s="7">
        <v>8.7720000000000002</v>
      </c>
      <c r="AG193" s="7">
        <v>0</v>
      </c>
      <c r="AH193" s="7">
        <v>4.117</v>
      </c>
      <c r="AI193" s="7">
        <v>1.3680000000000001</v>
      </c>
      <c r="AJ193" s="7">
        <v>0</v>
      </c>
      <c r="AK193" s="7">
        <v>0.96099999999999997</v>
      </c>
      <c r="AL193" s="7">
        <v>19.048999999999999</v>
      </c>
      <c r="AM193" s="7">
        <v>21.466999999999999</v>
      </c>
      <c r="AN193" s="7">
        <v>1.127</v>
      </c>
      <c r="AO193" s="7">
        <v>9.9949999999999992</v>
      </c>
      <c r="AP193" s="7">
        <v>2.7610000000000001</v>
      </c>
      <c r="AQ193" s="7">
        <v>6.2930000000000001</v>
      </c>
    </row>
    <row r="194" spans="1:43" x14ac:dyDescent="0.25">
      <c r="A194" t="s">
        <v>176</v>
      </c>
      <c r="B194" s="1" t="s">
        <v>1</v>
      </c>
      <c r="C194" s="23" t="s">
        <v>298</v>
      </c>
      <c r="D194" s="22" t="s">
        <v>283</v>
      </c>
      <c r="E194" s="21">
        <v>2018</v>
      </c>
      <c r="F194" s="7">
        <v>122.263826663179</v>
      </c>
      <c r="G194" s="7">
        <v>4.7279999999999998</v>
      </c>
      <c r="H194" s="7">
        <v>0.92600000000000005</v>
      </c>
      <c r="I194" s="7">
        <v>1.35</v>
      </c>
      <c r="J194" s="7">
        <v>0.47399999999999998</v>
      </c>
      <c r="K194" s="7">
        <v>1.6180000000000001</v>
      </c>
      <c r="L194" s="7">
        <v>0</v>
      </c>
      <c r="M194" s="7">
        <v>1.5509999999999999</v>
      </c>
      <c r="N194" s="7">
        <v>0</v>
      </c>
      <c r="O194" s="7">
        <v>0</v>
      </c>
      <c r="P194" s="7">
        <v>2.7349999999999999</v>
      </c>
      <c r="Q194" s="7">
        <v>0.57099999999999995</v>
      </c>
      <c r="R194" s="7">
        <v>3.6999999999999998E-2</v>
      </c>
      <c r="S194" s="7">
        <v>6.3570000000000002</v>
      </c>
      <c r="T194" s="7">
        <v>3.3860000000000001</v>
      </c>
      <c r="U194" s="7">
        <v>4.0460000000000003</v>
      </c>
      <c r="V194" s="7">
        <v>0.23400000000000001</v>
      </c>
      <c r="W194" s="7">
        <v>1.883</v>
      </c>
      <c r="X194" s="7">
        <v>2.1560000000000001</v>
      </c>
      <c r="Y194" s="7">
        <v>0.11899999999999999</v>
      </c>
      <c r="Z194" s="7">
        <v>0</v>
      </c>
      <c r="AA194" s="7">
        <v>3.3180000000000001</v>
      </c>
      <c r="AB194" s="7">
        <v>0.58699999999999997</v>
      </c>
      <c r="AC194" s="7">
        <v>0.33300000000000002</v>
      </c>
      <c r="AD194" s="7">
        <v>0.24199999999999999</v>
      </c>
      <c r="AE194" s="7">
        <v>7.923</v>
      </c>
      <c r="AF194" s="7">
        <v>10.558999999999999</v>
      </c>
      <c r="AG194" s="7">
        <v>0</v>
      </c>
      <c r="AH194" s="7">
        <v>5.9950000000000001</v>
      </c>
      <c r="AI194" s="7">
        <v>2.069</v>
      </c>
      <c r="AJ194" s="7">
        <v>0</v>
      </c>
      <c r="AK194" s="7">
        <v>0.92500000000000004</v>
      </c>
      <c r="AL194" s="7">
        <v>32.170999999999999</v>
      </c>
      <c r="AM194" s="7">
        <v>31.026</v>
      </c>
      <c r="AN194" s="7">
        <v>0.96399999999999997</v>
      </c>
      <c r="AO194" s="7">
        <v>18.789000000000001</v>
      </c>
      <c r="AP194" s="7">
        <v>4.2859999999999996</v>
      </c>
      <c r="AQ194" s="7">
        <v>9.0960000000000001</v>
      </c>
    </row>
    <row r="195" spans="1:43" x14ac:dyDescent="0.25">
      <c r="A195" t="s">
        <v>177</v>
      </c>
      <c r="B195" s="1" t="s">
        <v>1</v>
      </c>
      <c r="C195" s="23" t="s">
        <v>298</v>
      </c>
      <c r="D195" s="22" t="s">
        <v>283</v>
      </c>
      <c r="E195" s="21">
        <v>2018</v>
      </c>
      <c r="F195" s="7">
        <v>138.793836881544</v>
      </c>
      <c r="G195" s="7">
        <v>5.508</v>
      </c>
      <c r="H195" s="7">
        <v>1.3260000000000001</v>
      </c>
      <c r="I195" s="7">
        <v>1.7</v>
      </c>
      <c r="J195" s="7">
        <v>0.91500000000000004</v>
      </c>
      <c r="K195" s="7">
        <v>1.869</v>
      </c>
      <c r="L195" s="7">
        <v>0.27200000000000002</v>
      </c>
      <c r="M195" s="7">
        <v>1.633</v>
      </c>
      <c r="N195" s="7">
        <v>0</v>
      </c>
      <c r="O195" s="7">
        <v>0</v>
      </c>
      <c r="P195" s="7">
        <v>3.0569999999999999</v>
      </c>
      <c r="Q195" s="7">
        <v>0.63500000000000001</v>
      </c>
      <c r="R195" s="7">
        <v>4.2999999999999997E-2</v>
      </c>
      <c r="S195" s="7">
        <v>6.7190000000000003</v>
      </c>
      <c r="T195" s="7">
        <v>3.4039999999999999</v>
      </c>
      <c r="U195" s="7">
        <v>4.3159999999999998</v>
      </c>
      <c r="V195" s="7">
        <v>0.28699999999999998</v>
      </c>
      <c r="W195" s="7">
        <v>2.153</v>
      </c>
      <c r="X195" s="7">
        <v>2.4449999999999998</v>
      </c>
      <c r="Y195" s="7">
        <v>0.25700000000000001</v>
      </c>
      <c r="Z195" s="7">
        <v>0</v>
      </c>
      <c r="AA195" s="7">
        <v>3.38</v>
      </c>
      <c r="AB195" s="7">
        <v>0.66100000000000003</v>
      </c>
      <c r="AC195" s="7">
        <v>0.49399999999999999</v>
      </c>
      <c r="AD195" s="7">
        <v>0.443</v>
      </c>
      <c r="AE195" s="7">
        <v>10.41</v>
      </c>
      <c r="AF195" s="7">
        <v>11.28</v>
      </c>
      <c r="AG195" s="7">
        <v>0</v>
      </c>
      <c r="AH195" s="7">
        <v>6.4349999999999996</v>
      </c>
      <c r="AI195" s="7">
        <v>2.891</v>
      </c>
      <c r="AJ195" s="7">
        <v>0</v>
      </c>
      <c r="AK195" s="7">
        <v>1.1930000000000001</v>
      </c>
      <c r="AL195" s="7">
        <v>36.539000000000001</v>
      </c>
      <c r="AM195" s="7">
        <v>35.994</v>
      </c>
      <c r="AN195" s="7">
        <v>0.98499999999999999</v>
      </c>
      <c r="AO195" s="7">
        <v>20.259</v>
      </c>
      <c r="AP195" s="7">
        <v>4.6900000000000004</v>
      </c>
      <c r="AQ195" s="7">
        <v>11.59</v>
      </c>
    </row>
    <row r="196" spans="1:43" x14ac:dyDescent="0.25">
      <c r="A196" t="s">
        <v>178</v>
      </c>
      <c r="B196" s="1" t="s">
        <v>1</v>
      </c>
      <c r="C196" s="23" t="s">
        <v>298</v>
      </c>
      <c r="D196" s="22" t="s">
        <v>283</v>
      </c>
      <c r="E196" s="21">
        <v>2018</v>
      </c>
      <c r="F196" s="7">
        <v>187.89459327050599</v>
      </c>
      <c r="G196" s="7">
        <v>7.3540000000000001</v>
      </c>
      <c r="H196" s="7">
        <v>1.23</v>
      </c>
      <c r="I196" s="7">
        <v>1.702</v>
      </c>
      <c r="J196" s="7">
        <v>0.88100000000000001</v>
      </c>
      <c r="K196" s="7">
        <v>2.0550000000000002</v>
      </c>
      <c r="L196" s="7">
        <v>0</v>
      </c>
      <c r="M196" s="7">
        <v>2.1360000000000001</v>
      </c>
      <c r="N196" s="7">
        <v>0.42299999999999999</v>
      </c>
      <c r="O196" s="7">
        <v>0</v>
      </c>
      <c r="P196" s="7">
        <v>3.887</v>
      </c>
      <c r="Q196" s="7">
        <v>0.95199999999999996</v>
      </c>
      <c r="R196" s="7">
        <v>4.9000000000000002E-2</v>
      </c>
      <c r="S196" s="7">
        <v>9.6880000000000006</v>
      </c>
      <c r="T196" s="7">
        <v>5.0860000000000003</v>
      </c>
      <c r="U196" s="7">
        <v>5.8659999999999997</v>
      </c>
      <c r="V196" s="7">
        <v>0.31900000000000001</v>
      </c>
      <c r="W196" s="7">
        <v>2.78</v>
      </c>
      <c r="X196" s="7">
        <v>3.11</v>
      </c>
      <c r="Y196" s="7">
        <v>0.218</v>
      </c>
      <c r="Z196" s="7">
        <v>0</v>
      </c>
      <c r="AA196" s="7">
        <v>6.1040000000000001</v>
      </c>
      <c r="AB196" s="7">
        <v>0.56799999999999995</v>
      </c>
      <c r="AC196" s="7">
        <v>0.66</v>
      </c>
      <c r="AD196" s="7">
        <v>0</v>
      </c>
      <c r="AE196" s="7">
        <v>13.602</v>
      </c>
      <c r="AF196" s="7">
        <v>15.044</v>
      </c>
      <c r="AG196" s="7">
        <v>0</v>
      </c>
      <c r="AH196" s="7">
        <v>11.2</v>
      </c>
      <c r="AI196" s="7">
        <v>3.2069999999999999</v>
      </c>
      <c r="AJ196" s="7">
        <v>0</v>
      </c>
      <c r="AK196" s="7">
        <v>1.1339999999999999</v>
      </c>
      <c r="AL196" s="7">
        <v>47.735999999999997</v>
      </c>
      <c r="AM196" s="7">
        <v>50.384999999999998</v>
      </c>
      <c r="AN196" s="7">
        <v>1.0549999999999999</v>
      </c>
      <c r="AO196" s="7">
        <v>28.068000000000001</v>
      </c>
      <c r="AP196" s="7">
        <v>6.4459999999999997</v>
      </c>
      <c r="AQ196" s="7">
        <v>13.222</v>
      </c>
    </row>
    <row r="197" spans="1:43" x14ac:dyDescent="0.25">
      <c r="A197" t="s">
        <v>179</v>
      </c>
      <c r="B197" s="1" t="s">
        <v>1</v>
      </c>
      <c r="C197" s="23" t="s">
        <v>298</v>
      </c>
      <c r="D197" s="22" t="s">
        <v>283</v>
      </c>
      <c r="E197" s="21">
        <v>2018</v>
      </c>
      <c r="F197" s="7">
        <v>125.328385886771</v>
      </c>
      <c r="G197" s="7">
        <v>4.8979999999999997</v>
      </c>
      <c r="H197" s="7">
        <v>1.018</v>
      </c>
      <c r="I197" s="7">
        <v>1.2370000000000001</v>
      </c>
      <c r="J197" s="7">
        <v>0.58799999999999997</v>
      </c>
      <c r="K197" s="7">
        <v>1.44</v>
      </c>
      <c r="L197" s="7">
        <v>0</v>
      </c>
      <c r="M197" s="7">
        <v>1.35</v>
      </c>
      <c r="N197" s="7">
        <v>0.36299999999999999</v>
      </c>
      <c r="O197" s="7">
        <v>0</v>
      </c>
      <c r="P197" s="7">
        <v>2.8879999999999999</v>
      </c>
      <c r="Q197" s="7">
        <v>0.51200000000000001</v>
      </c>
      <c r="R197" s="7">
        <v>0</v>
      </c>
      <c r="S197" s="7">
        <v>5.9169999999999998</v>
      </c>
      <c r="T197" s="7">
        <v>2.9809999999999999</v>
      </c>
      <c r="U197" s="7">
        <v>3.629</v>
      </c>
      <c r="V197" s="7">
        <v>0.192</v>
      </c>
      <c r="W197" s="7">
        <v>1.8089999999999999</v>
      </c>
      <c r="X197" s="7">
        <v>2.0169999999999999</v>
      </c>
      <c r="Y197" s="7">
        <v>0.17599999999999999</v>
      </c>
      <c r="Z197" s="7">
        <v>0</v>
      </c>
      <c r="AA197" s="7">
        <v>3.2759999999999998</v>
      </c>
      <c r="AB197" s="7">
        <v>0.39600000000000002</v>
      </c>
      <c r="AC197" s="7">
        <v>0.379</v>
      </c>
      <c r="AD197" s="7">
        <v>0.248</v>
      </c>
      <c r="AE197" s="7">
        <v>11.571</v>
      </c>
      <c r="AF197" s="7">
        <v>10.593999999999999</v>
      </c>
      <c r="AG197" s="7">
        <v>0</v>
      </c>
      <c r="AH197" s="7">
        <v>6.6920000000000002</v>
      </c>
      <c r="AI197" s="7">
        <v>2.4550000000000001</v>
      </c>
      <c r="AJ197" s="7">
        <v>0</v>
      </c>
      <c r="AK197" s="7">
        <v>2.1869999999999998</v>
      </c>
      <c r="AL197" s="7">
        <v>31.015000000000001</v>
      </c>
      <c r="AM197" s="7">
        <v>35.610999999999997</v>
      </c>
      <c r="AN197" s="7">
        <v>1.1479999999999999</v>
      </c>
      <c r="AO197" s="7">
        <v>17.233000000000001</v>
      </c>
      <c r="AP197" s="7">
        <v>4.601</v>
      </c>
      <c r="AQ197" s="7">
        <v>9.1809999999999992</v>
      </c>
    </row>
    <row r="198" spans="1:43" x14ac:dyDescent="0.25">
      <c r="A198" t="s">
        <v>180</v>
      </c>
      <c r="B198" s="1" t="s">
        <v>2</v>
      </c>
      <c r="C198" s="23" t="s">
        <v>298</v>
      </c>
      <c r="D198" s="22" t="s">
        <v>283</v>
      </c>
      <c r="E198" s="21">
        <v>2018</v>
      </c>
      <c r="F198" s="7">
        <v>91.132199733758597</v>
      </c>
      <c r="G198" s="7">
        <v>3.9260000000000002</v>
      </c>
      <c r="H198" s="7">
        <v>1.9450000000000001</v>
      </c>
      <c r="I198" s="7">
        <v>1.0680000000000001</v>
      </c>
      <c r="J198" s="7">
        <v>0.33600000000000002</v>
      </c>
      <c r="K198" s="7">
        <v>1.2310000000000001</v>
      </c>
      <c r="L198" s="7">
        <v>0.214</v>
      </c>
      <c r="M198" s="7">
        <v>1.2150000000000001</v>
      </c>
      <c r="N198" s="7">
        <v>0</v>
      </c>
      <c r="O198" s="7">
        <v>0</v>
      </c>
      <c r="P198" s="7">
        <v>1.5429999999999999</v>
      </c>
      <c r="Q198" s="7">
        <v>0.40899999999999997</v>
      </c>
      <c r="R198" s="7">
        <v>2.7E-2</v>
      </c>
      <c r="S198" s="7">
        <v>4.3949999999999996</v>
      </c>
      <c r="T198" s="7">
        <v>2.1419999999999999</v>
      </c>
      <c r="U198" s="7">
        <v>3.2509999999999999</v>
      </c>
      <c r="V198" s="7">
        <v>0.18099999999999999</v>
      </c>
      <c r="W198" s="7">
        <v>1.6240000000000001</v>
      </c>
      <c r="X198" s="7">
        <v>1.728</v>
      </c>
      <c r="Y198" s="7">
        <v>0.12</v>
      </c>
      <c r="Z198" s="7">
        <v>0</v>
      </c>
      <c r="AA198" s="7">
        <v>3.7189999999999999</v>
      </c>
      <c r="AB198" s="7">
        <v>0.34699999999999998</v>
      </c>
      <c r="AC198" s="7">
        <v>0.23200000000000001</v>
      </c>
      <c r="AD198" s="7">
        <v>0</v>
      </c>
      <c r="AE198" s="7">
        <v>5.72</v>
      </c>
      <c r="AF198" s="7">
        <v>9.0530000000000008</v>
      </c>
      <c r="AG198" s="7">
        <v>0</v>
      </c>
      <c r="AH198" s="7">
        <v>3.66</v>
      </c>
      <c r="AI198" s="7">
        <v>1.5680000000000001</v>
      </c>
      <c r="AJ198" s="7">
        <v>0</v>
      </c>
      <c r="AK198" s="7">
        <v>0.82399999999999995</v>
      </c>
      <c r="AL198" s="7">
        <v>25.355</v>
      </c>
      <c r="AM198" s="7">
        <v>24.298999999999999</v>
      </c>
      <c r="AN198" s="7">
        <v>0.95799999999999996</v>
      </c>
      <c r="AO198" s="7">
        <v>13.877000000000001</v>
      </c>
      <c r="AP198" s="7">
        <v>2.758</v>
      </c>
      <c r="AQ198" s="7">
        <v>8.7200000000000006</v>
      </c>
    </row>
    <row r="199" spans="1:43" x14ac:dyDescent="0.25">
      <c r="A199" t="s">
        <v>181</v>
      </c>
      <c r="B199" s="1" t="s">
        <v>2</v>
      </c>
      <c r="C199" s="23" t="s">
        <v>298</v>
      </c>
      <c r="D199" s="22" t="s">
        <v>283</v>
      </c>
      <c r="E199" s="21">
        <v>2018</v>
      </c>
      <c r="F199" s="7">
        <v>101.865033559802</v>
      </c>
      <c r="G199" s="7">
        <v>4.2329999999999997</v>
      </c>
      <c r="H199" s="7">
        <v>2.1739999999999999</v>
      </c>
      <c r="I199" s="7">
        <v>1.3979999999999999</v>
      </c>
      <c r="J199" s="7">
        <v>0.40500000000000003</v>
      </c>
      <c r="K199" s="7">
        <v>1.4750000000000001</v>
      </c>
      <c r="L199" s="7">
        <v>0</v>
      </c>
      <c r="M199" s="7">
        <v>1.4179999999999999</v>
      </c>
      <c r="N199" s="7">
        <v>0.30199999999999999</v>
      </c>
      <c r="O199" s="7">
        <v>0</v>
      </c>
      <c r="P199" s="7">
        <v>1.849</v>
      </c>
      <c r="Q199" s="7">
        <v>0.434</v>
      </c>
      <c r="R199" s="7">
        <v>0</v>
      </c>
      <c r="S199" s="7">
        <v>4.8079999999999998</v>
      </c>
      <c r="T199" s="7">
        <v>2.3959999999999999</v>
      </c>
      <c r="U199" s="7">
        <v>3.581</v>
      </c>
      <c r="V199" s="7">
        <v>0.19600000000000001</v>
      </c>
      <c r="W199" s="7">
        <v>1.835</v>
      </c>
      <c r="X199" s="7">
        <v>1.907</v>
      </c>
      <c r="Y199" s="7">
        <v>0.14399999999999999</v>
      </c>
      <c r="Z199" s="7">
        <v>0</v>
      </c>
      <c r="AA199" s="7">
        <v>3.8050000000000002</v>
      </c>
      <c r="AB199" s="7">
        <v>0.52600000000000002</v>
      </c>
      <c r="AC199" s="7">
        <v>0.56999999999999995</v>
      </c>
      <c r="AD199" s="7">
        <v>0</v>
      </c>
      <c r="AE199" s="7">
        <v>4.9180000000000001</v>
      </c>
      <c r="AF199" s="7">
        <v>9.8620000000000001</v>
      </c>
      <c r="AG199" s="7">
        <v>0</v>
      </c>
      <c r="AH199" s="7">
        <v>4.6189999999999998</v>
      </c>
      <c r="AI199" s="7">
        <v>2.0609999999999999</v>
      </c>
      <c r="AJ199" s="7">
        <v>0</v>
      </c>
      <c r="AK199" s="7">
        <v>0.99</v>
      </c>
      <c r="AL199" s="7">
        <v>28.555</v>
      </c>
      <c r="AM199" s="7">
        <v>26.361000000000001</v>
      </c>
      <c r="AN199" s="7">
        <v>0.92300000000000004</v>
      </c>
      <c r="AO199" s="7">
        <v>15.301</v>
      </c>
      <c r="AP199" s="7">
        <v>3.569</v>
      </c>
      <c r="AQ199" s="7">
        <v>9.6850000000000005</v>
      </c>
    </row>
    <row r="200" spans="1:43" x14ac:dyDescent="0.25">
      <c r="A200" t="s">
        <v>182</v>
      </c>
      <c r="B200" s="1" t="s">
        <v>2</v>
      </c>
      <c r="C200" s="23" t="s">
        <v>298</v>
      </c>
      <c r="D200" s="22" t="s">
        <v>283</v>
      </c>
      <c r="E200" s="21">
        <v>2018</v>
      </c>
      <c r="F200" s="7">
        <v>77.926851908859803</v>
      </c>
      <c r="G200" s="7">
        <v>3.81</v>
      </c>
      <c r="H200" s="7">
        <v>1.4950000000000001</v>
      </c>
      <c r="I200" s="7">
        <v>1.1599999999999999</v>
      </c>
      <c r="J200" s="7">
        <v>0.28000000000000003</v>
      </c>
      <c r="K200" s="7">
        <v>1.6859999999999999</v>
      </c>
      <c r="L200" s="7">
        <v>0</v>
      </c>
      <c r="M200" s="7">
        <v>1.08</v>
      </c>
      <c r="N200" s="7">
        <v>0.16400000000000001</v>
      </c>
      <c r="O200" s="7">
        <v>0</v>
      </c>
      <c r="P200" s="7">
        <v>2.0489999999999999</v>
      </c>
      <c r="Q200" s="7">
        <v>0.32200000000000001</v>
      </c>
      <c r="R200" s="7">
        <v>0</v>
      </c>
      <c r="S200" s="7">
        <v>4.1749999999999998</v>
      </c>
      <c r="T200" s="7">
        <v>2.1389999999999998</v>
      </c>
      <c r="U200" s="7">
        <v>2.879</v>
      </c>
      <c r="V200" s="7">
        <v>0.109</v>
      </c>
      <c r="W200" s="7">
        <v>1.5229999999999999</v>
      </c>
      <c r="X200" s="7">
        <v>1.627</v>
      </c>
      <c r="Y200" s="7">
        <v>0.125</v>
      </c>
      <c r="Z200" s="7">
        <v>0</v>
      </c>
      <c r="AA200" s="7">
        <v>2.3980000000000001</v>
      </c>
      <c r="AB200" s="7">
        <v>0.37</v>
      </c>
      <c r="AC200" s="7">
        <v>0.29299999999999998</v>
      </c>
      <c r="AD200" s="7">
        <v>9.7000000000000003E-2</v>
      </c>
      <c r="AE200" s="7">
        <v>3.0990000000000002</v>
      </c>
      <c r="AF200" s="7">
        <v>8.7230000000000008</v>
      </c>
      <c r="AG200" s="7">
        <v>0</v>
      </c>
      <c r="AH200" s="7">
        <v>3.8450000000000002</v>
      </c>
      <c r="AI200" s="7">
        <v>1.8680000000000001</v>
      </c>
      <c r="AJ200" s="7">
        <v>0</v>
      </c>
      <c r="AK200" s="7">
        <v>0.502</v>
      </c>
      <c r="AL200" s="7">
        <v>24.623000000000001</v>
      </c>
      <c r="AM200" s="7">
        <v>20.693000000000001</v>
      </c>
      <c r="AN200" s="7">
        <v>0.84</v>
      </c>
      <c r="AO200" s="7">
        <v>12.898999999999999</v>
      </c>
      <c r="AP200" s="7">
        <v>3.2930000000000001</v>
      </c>
      <c r="AQ200" s="7">
        <v>8.4309999999999992</v>
      </c>
    </row>
    <row r="201" spans="1:43" x14ac:dyDescent="0.25">
      <c r="A201" t="s">
        <v>183</v>
      </c>
      <c r="B201" s="1" t="s">
        <v>2</v>
      </c>
      <c r="C201" s="23" t="s">
        <v>298</v>
      </c>
      <c r="D201" s="22" t="s">
        <v>283</v>
      </c>
      <c r="E201" s="21">
        <v>2018</v>
      </c>
      <c r="F201" s="7">
        <v>71.827254838896593</v>
      </c>
      <c r="G201" s="7">
        <v>3.0179999999999998</v>
      </c>
      <c r="H201" s="7">
        <v>0.73799999999999999</v>
      </c>
      <c r="I201" s="7">
        <v>0.878</v>
      </c>
      <c r="J201" s="7">
        <v>0.26200000000000001</v>
      </c>
      <c r="K201" s="7">
        <v>1.1259999999999999</v>
      </c>
      <c r="L201" s="7">
        <v>0</v>
      </c>
      <c r="M201" s="7">
        <v>0.90900000000000003</v>
      </c>
      <c r="N201" s="7">
        <v>0.11799999999999999</v>
      </c>
      <c r="O201" s="7">
        <v>0</v>
      </c>
      <c r="P201" s="7">
        <v>1.359</v>
      </c>
      <c r="Q201" s="7">
        <v>0.30099999999999999</v>
      </c>
      <c r="R201" s="7">
        <v>0</v>
      </c>
      <c r="S201" s="7">
        <v>3.6579999999999999</v>
      </c>
      <c r="T201" s="7">
        <v>1.772</v>
      </c>
      <c r="U201" s="7">
        <v>2.2890000000000001</v>
      </c>
      <c r="V201" s="7">
        <v>0.122</v>
      </c>
      <c r="W201" s="7">
        <v>1.1879999999999999</v>
      </c>
      <c r="X201" s="7">
        <v>1.276</v>
      </c>
      <c r="Y201" s="7">
        <v>5.7000000000000002E-2</v>
      </c>
      <c r="Z201" s="7">
        <v>0</v>
      </c>
      <c r="AA201" s="7">
        <v>2.996</v>
      </c>
      <c r="AB201" s="7">
        <v>0.32700000000000001</v>
      </c>
      <c r="AC201" s="7">
        <v>0.218</v>
      </c>
      <c r="AD201" s="7">
        <v>7.1999999999999995E-2</v>
      </c>
      <c r="AE201" s="7">
        <v>4.5170000000000003</v>
      </c>
      <c r="AF201" s="7">
        <v>7.3579999999999997</v>
      </c>
      <c r="AG201" s="7">
        <v>0</v>
      </c>
      <c r="AH201" s="7">
        <v>3.5649999999999999</v>
      </c>
      <c r="AI201" s="7">
        <v>1.5109999999999999</v>
      </c>
      <c r="AJ201" s="7">
        <v>0</v>
      </c>
      <c r="AK201" s="7">
        <v>0.57299999999999995</v>
      </c>
      <c r="AL201" s="7">
        <v>19.071000000000002</v>
      </c>
      <c r="AM201" s="7">
        <v>20.564</v>
      </c>
      <c r="AN201" s="7">
        <v>1.0780000000000001</v>
      </c>
      <c r="AO201" s="7">
        <v>10.663</v>
      </c>
      <c r="AP201" s="7">
        <v>2.3860000000000001</v>
      </c>
      <c r="AQ201" s="7">
        <v>6.0220000000000002</v>
      </c>
    </row>
    <row r="202" spans="1:43" x14ac:dyDescent="0.25">
      <c r="A202" t="s">
        <v>184</v>
      </c>
      <c r="B202" s="1" t="s">
        <v>839</v>
      </c>
      <c r="C202" s="23" t="s">
        <v>283</v>
      </c>
      <c r="D202" s="22" t="s">
        <v>286</v>
      </c>
      <c r="E202" s="21">
        <v>2018</v>
      </c>
      <c r="F202" s="7">
        <v>428.709641999273</v>
      </c>
      <c r="G202" s="7">
        <v>16.963000000000001</v>
      </c>
      <c r="H202" s="7">
        <v>2.0640000000000001</v>
      </c>
      <c r="I202" s="7">
        <v>3.194</v>
      </c>
      <c r="J202" s="7">
        <v>2.911</v>
      </c>
      <c r="K202" s="7">
        <v>5.4729999999999999</v>
      </c>
      <c r="L202" s="7">
        <v>0</v>
      </c>
      <c r="M202" s="7">
        <v>5.125</v>
      </c>
      <c r="N202" s="7">
        <v>0</v>
      </c>
      <c r="O202" s="7">
        <v>0</v>
      </c>
      <c r="P202" s="7">
        <v>8.6489999999999991</v>
      </c>
      <c r="Q202" s="7">
        <v>2.633</v>
      </c>
      <c r="R202" s="7">
        <v>0.12</v>
      </c>
      <c r="S202" s="7">
        <v>19.707000000000001</v>
      </c>
      <c r="T202" s="7">
        <v>14.91</v>
      </c>
      <c r="U202" s="7">
        <v>11.467000000000001</v>
      </c>
      <c r="V202" s="7">
        <v>0.68200000000000005</v>
      </c>
      <c r="W202" s="7">
        <v>5.5620000000000003</v>
      </c>
      <c r="X202" s="7">
        <v>8.17</v>
      </c>
      <c r="Y202" s="7">
        <v>0.55400000000000005</v>
      </c>
      <c r="Z202" s="7">
        <v>0</v>
      </c>
      <c r="AA202" s="7">
        <v>10.641999999999999</v>
      </c>
      <c r="AB202" s="7">
        <v>0</v>
      </c>
      <c r="AC202" s="7">
        <v>2.7450000000000001</v>
      </c>
      <c r="AD202" s="7">
        <v>0</v>
      </c>
      <c r="AE202" s="7">
        <v>28.117000000000001</v>
      </c>
      <c r="AF202" s="7">
        <v>42.067999999999998</v>
      </c>
      <c r="AG202" s="7">
        <v>0</v>
      </c>
      <c r="AH202" s="7">
        <v>33.661999999999999</v>
      </c>
      <c r="AI202" s="7">
        <v>0</v>
      </c>
      <c r="AJ202" s="7">
        <v>5.4969999999999999</v>
      </c>
      <c r="AK202" s="7">
        <v>3.5089999999999999</v>
      </c>
      <c r="AL202" s="7">
        <v>108.184</v>
      </c>
      <c r="AM202" s="7">
        <v>122.73099999999999</v>
      </c>
      <c r="AN202" s="7">
        <v>1.1339999999999999</v>
      </c>
      <c r="AO202" s="7">
        <v>63.805</v>
      </c>
      <c r="AP202" s="7">
        <v>13.773999999999999</v>
      </c>
      <c r="AQ202" s="7">
        <v>30.605</v>
      </c>
    </row>
    <row r="203" spans="1:43" x14ac:dyDescent="0.25">
      <c r="A203" t="s">
        <v>185</v>
      </c>
      <c r="B203" s="1" t="s">
        <v>839</v>
      </c>
      <c r="C203" s="23" t="s">
        <v>283</v>
      </c>
      <c r="D203" s="22" t="s">
        <v>286</v>
      </c>
      <c r="E203" s="21">
        <v>2018</v>
      </c>
      <c r="F203" s="7">
        <v>255.26841129504899</v>
      </c>
      <c r="G203" s="7">
        <v>11.018000000000001</v>
      </c>
      <c r="H203" s="7">
        <v>1.8149999999999999</v>
      </c>
      <c r="I203" s="7">
        <v>1.9950000000000001</v>
      </c>
      <c r="J203" s="7">
        <v>1.373</v>
      </c>
      <c r="K203" s="7">
        <v>3.9470000000000001</v>
      </c>
      <c r="L203" s="7">
        <v>0</v>
      </c>
      <c r="M203" s="7">
        <v>2.81</v>
      </c>
      <c r="N203" s="7">
        <v>0</v>
      </c>
      <c r="O203" s="7">
        <v>0</v>
      </c>
      <c r="P203" s="7">
        <v>5.8079999999999998</v>
      </c>
      <c r="Q203" s="7">
        <v>1.351</v>
      </c>
      <c r="R203" s="7">
        <v>5.1999999999999998E-2</v>
      </c>
      <c r="S203" s="7">
        <v>11.472</v>
      </c>
      <c r="T203" s="7">
        <v>6.9950000000000001</v>
      </c>
      <c r="U203" s="7">
        <v>6.0919999999999996</v>
      </c>
      <c r="V203" s="7">
        <v>0.39300000000000002</v>
      </c>
      <c r="W203" s="7">
        <v>3.3450000000000002</v>
      </c>
      <c r="X203" s="7">
        <v>4.4550000000000001</v>
      </c>
      <c r="Y203" s="7">
        <v>0.42099999999999999</v>
      </c>
      <c r="Z203" s="7">
        <v>0</v>
      </c>
      <c r="AA203" s="7">
        <v>7.1239999999999997</v>
      </c>
      <c r="AB203" s="7">
        <v>0.624</v>
      </c>
      <c r="AC203" s="7">
        <v>1</v>
      </c>
      <c r="AD203" s="7">
        <v>0.31900000000000001</v>
      </c>
      <c r="AE203" s="7">
        <v>11.741</v>
      </c>
      <c r="AF203" s="7">
        <v>23.945</v>
      </c>
      <c r="AG203" s="7">
        <v>0</v>
      </c>
      <c r="AH203" s="7">
        <v>20.219000000000001</v>
      </c>
      <c r="AI203" s="7">
        <v>0</v>
      </c>
      <c r="AJ203" s="7">
        <v>2.8660000000000001</v>
      </c>
      <c r="AK203" s="7">
        <v>5.2210000000000001</v>
      </c>
      <c r="AL203" s="7">
        <v>63.341999999999999</v>
      </c>
      <c r="AM203" s="7">
        <v>67.837999999999994</v>
      </c>
      <c r="AN203" s="7">
        <v>1.071</v>
      </c>
      <c r="AO203" s="7">
        <v>34.576000000000001</v>
      </c>
      <c r="AP203" s="7">
        <v>8.6180000000000003</v>
      </c>
      <c r="AQ203" s="7">
        <v>20.148</v>
      </c>
    </row>
    <row r="204" spans="1:43" x14ac:dyDescent="0.25">
      <c r="A204" t="s">
        <v>186</v>
      </c>
      <c r="B204" s="1" t="s">
        <v>839</v>
      </c>
      <c r="C204" s="23" t="s">
        <v>283</v>
      </c>
      <c r="D204" s="22" t="s">
        <v>286</v>
      </c>
      <c r="E204" s="21">
        <v>2018</v>
      </c>
      <c r="F204" s="7">
        <v>290.96149581920901</v>
      </c>
      <c r="G204" s="7">
        <v>12.528</v>
      </c>
      <c r="H204" s="7">
        <v>1.6970000000000001</v>
      </c>
      <c r="I204" s="7">
        <v>2.0569999999999999</v>
      </c>
      <c r="J204" s="7">
        <v>1.917</v>
      </c>
      <c r="K204" s="7">
        <v>3.5960000000000001</v>
      </c>
      <c r="L204" s="7">
        <v>0.1</v>
      </c>
      <c r="M204" s="7">
        <v>3.403</v>
      </c>
      <c r="N204" s="7">
        <v>0</v>
      </c>
      <c r="O204" s="7">
        <v>0</v>
      </c>
      <c r="P204" s="7">
        <v>6.6429999999999998</v>
      </c>
      <c r="Q204" s="7">
        <v>1.7689999999999999</v>
      </c>
      <c r="R204" s="7">
        <v>6.6000000000000003E-2</v>
      </c>
      <c r="S204" s="7">
        <v>14.337</v>
      </c>
      <c r="T204" s="7">
        <v>8.93</v>
      </c>
      <c r="U204" s="7">
        <v>7.3730000000000002</v>
      </c>
      <c r="V204" s="7">
        <v>0.46300000000000002</v>
      </c>
      <c r="W204" s="7">
        <v>3.8879999999999999</v>
      </c>
      <c r="X204" s="7">
        <v>5.3710000000000004</v>
      </c>
      <c r="Y204" s="7">
        <v>0.23899999999999999</v>
      </c>
      <c r="Z204" s="7">
        <v>0</v>
      </c>
      <c r="AA204" s="7">
        <v>7.1840000000000002</v>
      </c>
      <c r="AB204" s="7">
        <v>0</v>
      </c>
      <c r="AC204" s="7">
        <v>1.6739999999999999</v>
      </c>
      <c r="AD204" s="7">
        <v>0.47199999999999998</v>
      </c>
      <c r="AE204" s="7">
        <v>16.850000000000001</v>
      </c>
      <c r="AF204" s="7">
        <v>26.901</v>
      </c>
      <c r="AG204" s="7">
        <v>0</v>
      </c>
      <c r="AH204" s="7">
        <v>23.831</v>
      </c>
      <c r="AI204" s="7">
        <v>0</v>
      </c>
      <c r="AJ204" s="7">
        <v>3.7</v>
      </c>
      <c r="AK204" s="7">
        <v>4.2519999999999998</v>
      </c>
      <c r="AL204" s="7">
        <v>74.376999999999995</v>
      </c>
      <c r="AM204" s="7">
        <v>80.611999999999995</v>
      </c>
      <c r="AN204" s="7">
        <v>1.0840000000000001</v>
      </c>
      <c r="AO204" s="7">
        <v>42.436</v>
      </c>
      <c r="AP204" s="7">
        <v>10.045999999999999</v>
      </c>
      <c r="AQ204" s="7">
        <v>21.895</v>
      </c>
    </row>
    <row r="205" spans="1:43" x14ac:dyDescent="0.25">
      <c r="A205" t="s">
        <v>187</v>
      </c>
      <c r="B205" s="1" t="s">
        <v>839</v>
      </c>
      <c r="C205" s="23" t="s">
        <v>283</v>
      </c>
      <c r="D205" s="22" t="s">
        <v>286</v>
      </c>
      <c r="E205" s="21">
        <v>2018</v>
      </c>
      <c r="F205" s="7">
        <v>347.68924852352899</v>
      </c>
      <c r="G205" s="7">
        <v>15.116</v>
      </c>
      <c r="H205" s="7">
        <v>2.157</v>
      </c>
      <c r="I205" s="7">
        <v>3.1160000000000001</v>
      </c>
      <c r="J205" s="7">
        <v>1.9730000000000001</v>
      </c>
      <c r="K205" s="7">
        <v>4.7009999999999996</v>
      </c>
      <c r="L205" s="7">
        <v>0.33300000000000002</v>
      </c>
      <c r="M205" s="7">
        <v>4.3360000000000003</v>
      </c>
      <c r="N205" s="7">
        <v>0</v>
      </c>
      <c r="O205" s="7">
        <v>0</v>
      </c>
      <c r="P205" s="7">
        <v>7.4240000000000004</v>
      </c>
      <c r="Q205" s="7">
        <v>2.1280000000000001</v>
      </c>
      <c r="R205" s="7">
        <v>9.5000000000000001E-2</v>
      </c>
      <c r="S205" s="7">
        <v>16.661999999999999</v>
      </c>
      <c r="T205" s="7">
        <v>12.327999999999999</v>
      </c>
      <c r="U205" s="7">
        <v>10.118</v>
      </c>
      <c r="V205" s="7">
        <v>0.60099999999999998</v>
      </c>
      <c r="W205" s="7">
        <v>4.7130000000000001</v>
      </c>
      <c r="X205" s="7">
        <v>6.7889999999999997</v>
      </c>
      <c r="Y205" s="7">
        <v>0.39200000000000002</v>
      </c>
      <c r="Z205" s="7">
        <v>0</v>
      </c>
      <c r="AA205" s="7">
        <v>7.5339999999999998</v>
      </c>
      <c r="AB205" s="7">
        <v>0</v>
      </c>
      <c r="AC205" s="7">
        <v>2.347</v>
      </c>
      <c r="AD205" s="7">
        <v>0.46700000000000003</v>
      </c>
      <c r="AE205" s="7">
        <v>16.113</v>
      </c>
      <c r="AF205" s="7">
        <v>30.849</v>
      </c>
      <c r="AG205" s="7">
        <v>0</v>
      </c>
      <c r="AH205" s="7">
        <v>25.856999999999999</v>
      </c>
      <c r="AI205" s="7">
        <v>0</v>
      </c>
      <c r="AJ205" s="7">
        <v>4.282</v>
      </c>
      <c r="AK205" s="7">
        <v>4.7309999999999999</v>
      </c>
      <c r="AL205" s="7">
        <v>92.981999999999999</v>
      </c>
      <c r="AM205" s="7">
        <v>87.448999999999998</v>
      </c>
      <c r="AN205" s="7">
        <v>0.94</v>
      </c>
      <c r="AO205" s="7">
        <v>53.826000000000001</v>
      </c>
      <c r="AP205" s="7">
        <v>11.76</v>
      </c>
      <c r="AQ205" s="7">
        <v>27.396000000000001</v>
      </c>
    </row>
    <row r="206" spans="1:43" x14ac:dyDescent="0.25">
      <c r="A206" t="s">
        <v>188</v>
      </c>
      <c r="B206" s="1" t="s">
        <v>830</v>
      </c>
      <c r="C206" s="23" t="s">
        <v>283</v>
      </c>
      <c r="D206" s="22" t="s">
        <v>286</v>
      </c>
      <c r="E206" s="21">
        <v>2018</v>
      </c>
      <c r="F206" s="7">
        <v>271.45242597512703</v>
      </c>
      <c r="G206" s="7">
        <v>11.234999999999999</v>
      </c>
      <c r="H206" s="7">
        <v>2.3450000000000002</v>
      </c>
      <c r="I206" s="7">
        <v>2.0299999999999998</v>
      </c>
      <c r="J206" s="7">
        <v>1.492</v>
      </c>
      <c r="K206" s="7">
        <v>3.399</v>
      </c>
      <c r="L206" s="7">
        <v>0</v>
      </c>
      <c r="M206" s="7">
        <v>3.01</v>
      </c>
      <c r="N206" s="7">
        <v>0</v>
      </c>
      <c r="O206" s="7">
        <v>0</v>
      </c>
      <c r="P206" s="7">
        <v>6.4770000000000003</v>
      </c>
      <c r="Q206" s="7">
        <v>1.542</v>
      </c>
      <c r="R206" s="7">
        <v>6.9000000000000006E-2</v>
      </c>
      <c r="S206" s="7">
        <v>11.944000000000001</v>
      </c>
      <c r="T206" s="7">
        <v>8.0470000000000006</v>
      </c>
      <c r="U206" s="7">
        <v>6.2009999999999996</v>
      </c>
      <c r="V206" s="7">
        <v>0.44400000000000001</v>
      </c>
      <c r="W206" s="7">
        <v>3.5449999999999999</v>
      </c>
      <c r="X206" s="7">
        <v>4.4089999999999998</v>
      </c>
      <c r="Y206" s="7">
        <v>0.27200000000000002</v>
      </c>
      <c r="Z206" s="7">
        <v>0</v>
      </c>
      <c r="AA206" s="7">
        <v>5.5110000000000001</v>
      </c>
      <c r="AB206" s="7">
        <v>0</v>
      </c>
      <c r="AC206" s="7">
        <v>1.619</v>
      </c>
      <c r="AD206" s="7">
        <v>0.46899999999999997</v>
      </c>
      <c r="AE206" s="7">
        <v>11.259</v>
      </c>
      <c r="AF206" s="7">
        <v>22.437000000000001</v>
      </c>
      <c r="AG206" s="7">
        <v>0</v>
      </c>
      <c r="AH206" s="7">
        <v>18.167000000000002</v>
      </c>
      <c r="AI206" s="7">
        <v>0</v>
      </c>
      <c r="AJ206" s="7">
        <v>4.1669999999999998</v>
      </c>
      <c r="AK206" s="7">
        <v>5.2960000000000003</v>
      </c>
      <c r="AL206" s="7">
        <v>66.460999999999999</v>
      </c>
      <c r="AM206" s="7">
        <v>63.628999999999998</v>
      </c>
      <c r="AN206" s="7">
        <v>0.95699999999999996</v>
      </c>
      <c r="AO206" s="7">
        <v>36.472999999999999</v>
      </c>
      <c r="AP206" s="7">
        <v>9.4870000000000001</v>
      </c>
      <c r="AQ206" s="7">
        <v>20.501000000000001</v>
      </c>
    </row>
    <row r="207" spans="1:43" x14ac:dyDescent="0.25">
      <c r="A207" t="s">
        <v>189</v>
      </c>
      <c r="B207" s="1" t="s">
        <v>830</v>
      </c>
      <c r="C207" s="23" t="s">
        <v>283</v>
      </c>
      <c r="D207" s="22" t="s">
        <v>286</v>
      </c>
      <c r="E207" s="21">
        <v>2018</v>
      </c>
      <c r="F207" s="7">
        <v>412.06094316723301</v>
      </c>
      <c r="G207" s="7">
        <v>16.114000000000001</v>
      </c>
      <c r="H207" s="7">
        <v>3.0790000000000002</v>
      </c>
      <c r="I207" s="7">
        <v>2.7309999999999999</v>
      </c>
      <c r="J207" s="7">
        <v>3.3690000000000002</v>
      </c>
      <c r="K207" s="7">
        <v>7.0170000000000003</v>
      </c>
      <c r="L207" s="7">
        <v>0.41299999999999998</v>
      </c>
      <c r="M207" s="7">
        <v>5.1710000000000003</v>
      </c>
      <c r="N207" s="7">
        <v>0</v>
      </c>
      <c r="O207" s="7">
        <v>0</v>
      </c>
      <c r="P207" s="7">
        <v>8.5229999999999997</v>
      </c>
      <c r="Q207" s="7">
        <v>2.73</v>
      </c>
      <c r="R207" s="7">
        <v>0.11700000000000001</v>
      </c>
      <c r="S207" s="7">
        <v>17.484000000000002</v>
      </c>
      <c r="T207" s="7">
        <v>14.5</v>
      </c>
      <c r="U207" s="7">
        <v>9.3659999999999997</v>
      </c>
      <c r="V207" s="7">
        <v>0.71899999999999997</v>
      </c>
      <c r="W207" s="7">
        <v>5.6619999999999999</v>
      </c>
      <c r="X207" s="7">
        <v>7.7919999999999998</v>
      </c>
      <c r="Y207" s="7">
        <v>1.0409999999999999</v>
      </c>
      <c r="Z207" s="7">
        <v>0</v>
      </c>
      <c r="AA207" s="7">
        <v>8.452</v>
      </c>
      <c r="AB207" s="7">
        <v>0</v>
      </c>
      <c r="AC207" s="7">
        <v>2.605</v>
      </c>
      <c r="AD207" s="7">
        <v>0</v>
      </c>
      <c r="AE207" s="7">
        <v>22.67</v>
      </c>
      <c r="AF207" s="7">
        <v>47.689</v>
      </c>
      <c r="AG207" s="7">
        <v>0</v>
      </c>
      <c r="AH207" s="7">
        <v>39.982999999999997</v>
      </c>
      <c r="AI207" s="7">
        <v>0</v>
      </c>
      <c r="AJ207" s="7">
        <v>7.5270000000000001</v>
      </c>
      <c r="AK207" s="7">
        <v>5.7969999999999997</v>
      </c>
      <c r="AL207" s="7">
        <v>105.828</v>
      </c>
      <c r="AM207" s="7">
        <v>128.92599999999999</v>
      </c>
      <c r="AN207" s="7">
        <v>1.218</v>
      </c>
      <c r="AO207" s="7">
        <v>59.411000000000001</v>
      </c>
      <c r="AP207" s="7">
        <v>13.694000000000001</v>
      </c>
      <c r="AQ207" s="7">
        <v>32.722999999999999</v>
      </c>
    </row>
    <row r="208" spans="1:43" x14ac:dyDescent="0.25">
      <c r="A208" t="s">
        <v>190</v>
      </c>
      <c r="B208" s="1" t="s">
        <v>830</v>
      </c>
      <c r="C208" s="23" t="s">
        <v>283</v>
      </c>
      <c r="D208" s="22" t="s">
        <v>286</v>
      </c>
      <c r="E208" s="21">
        <v>2018</v>
      </c>
      <c r="F208" s="7">
        <v>381.490181941907</v>
      </c>
      <c r="G208" s="7">
        <v>14.587999999999999</v>
      </c>
      <c r="H208" s="7">
        <v>2.7370000000000001</v>
      </c>
      <c r="I208" s="7">
        <v>2.6560000000000001</v>
      </c>
      <c r="J208" s="7">
        <v>2.407</v>
      </c>
      <c r="K208" s="7">
        <v>5.5309999999999997</v>
      </c>
      <c r="L208" s="7">
        <v>0.436</v>
      </c>
      <c r="M208" s="7">
        <v>4.077</v>
      </c>
      <c r="N208" s="7">
        <v>0</v>
      </c>
      <c r="O208" s="7">
        <v>0</v>
      </c>
      <c r="P208" s="7">
        <v>7.9930000000000003</v>
      </c>
      <c r="Q208" s="7">
        <v>2.125</v>
      </c>
      <c r="R208" s="7">
        <v>0.108</v>
      </c>
      <c r="S208" s="7">
        <v>16.539000000000001</v>
      </c>
      <c r="T208" s="7">
        <v>11.398999999999999</v>
      </c>
      <c r="U208" s="7">
        <v>8.77</v>
      </c>
      <c r="V208" s="7">
        <v>0.61099999999999999</v>
      </c>
      <c r="W208" s="7">
        <v>4.5570000000000004</v>
      </c>
      <c r="X208" s="7">
        <v>5.9790000000000001</v>
      </c>
      <c r="Y208" s="7">
        <v>0.38700000000000001</v>
      </c>
      <c r="Z208" s="7">
        <v>0</v>
      </c>
      <c r="AA208" s="7">
        <v>7.8920000000000003</v>
      </c>
      <c r="AB208" s="7">
        <v>0</v>
      </c>
      <c r="AC208" s="7">
        <v>2.2000000000000002</v>
      </c>
      <c r="AD208" s="7">
        <v>0.57099999999999995</v>
      </c>
      <c r="AE208" s="7">
        <v>18.760999999999999</v>
      </c>
      <c r="AF208" s="7">
        <v>33.75</v>
      </c>
      <c r="AG208" s="7">
        <v>0</v>
      </c>
      <c r="AH208" s="7">
        <v>27.042000000000002</v>
      </c>
      <c r="AI208" s="7">
        <v>0</v>
      </c>
      <c r="AJ208" s="7">
        <v>5.9080000000000004</v>
      </c>
      <c r="AK208" s="7">
        <v>6.9320000000000004</v>
      </c>
      <c r="AL208" s="7">
        <v>90.9</v>
      </c>
      <c r="AM208" s="7">
        <v>96.123999999999995</v>
      </c>
      <c r="AN208" s="7">
        <v>1.0569999999999999</v>
      </c>
      <c r="AO208" s="7">
        <v>50.475000000000001</v>
      </c>
      <c r="AP208" s="7">
        <v>12.07</v>
      </c>
      <c r="AQ208" s="7">
        <v>28.355</v>
      </c>
    </row>
    <row r="209" spans="1:43" x14ac:dyDescent="0.25">
      <c r="A209" t="s">
        <v>191</v>
      </c>
      <c r="B209" s="1" t="s">
        <v>830</v>
      </c>
      <c r="C209" s="23" t="s">
        <v>283</v>
      </c>
      <c r="D209" s="22" t="s">
        <v>286</v>
      </c>
      <c r="E209" s="21">
        <v>2018</v>
      </c>
      <c r="F209" s="7">
        <v>278.24165455812698</v>
      </c>
      <c r="G209" s="7">
        <v>11.944000000000001</v>
      </c>
      <c r="H209" s="7">
        <v>2.411</v>
      </c>
      <c r="I209" s="7">
        <v>2.5209999999999999</v>
      </c>
      <c r="J209" s="7">
        <v>1.6359999999999999</v>
      </c>
      <c r="K209" s="7">
        <v>4.8179999999999996</v>
      </c>
      <c r="L209" s="7">
        <v>0</v>
      </c>
      <c r="M209" s="7">
        <v>3.5169999999999999</v>
      </c>
      <c r="N209" s="7">
        <v>0</v>
      </c>
      <c r="O209" s="7">
        <v>0</v>
      </c>
      <c r="P209" s="7">
        <v>6.3330000000000002</v>
      </c>
      <c r="Q209" s="7">
        <v>1.8029999999999999</v>
      </c>
      <c r="R209" s="7">
        <v>8.2000000000000003E-2</v>
      </c>
      <c r="S209" s="7">
        <v>14.093999999999999</v>
      </c>
      <c r="T209" s="7">
        <v>10.212999999999999</v>
      </c>
      <c r="U209" s="7">
        <v>8.1110000000000007</v>
      </c>
      <c r="V209" s="7">
        <v>0.495</v>
      </c>
      <c r="W209" s="7">
        <v>3.9079999999999999</v>
      </c>
      <c r="X209" s="7">
        <v>5.2469999999999999</v>
      </c>
      <c r="Y209" s="7">
        <v>0.20399999999999999</v>
      </c>
      <c r="Z209" s="7">
        <v>0</v>
      </c>
      <c r="AA209" s="7">
        <v>5.7320000000000002</v>
      </c>
      <c r="AB209" s="7">
        <v>0</v>
      </c>
      <c r="AC209" s="7">
        <v>1.782</v>
      </c>
      <c r="AD209" s="7">
        <v>0.442</v>
      </c>
      <c r="AE209" s="7">
        <v>12.513999999999999</v>
      </c>
      <c r="AF209" s="7">
        <v>26.495000000000001</v>
      </c>
      <c r="AG209" s="7">
        <v>0</v>
      </c>
      <c r="AH209" s="7">
        <v>19.137</v>
      </c>
      <c r="AI209" s="7">
        <v>4.1390000000000002</v>
      </c>
      <c r="AJ209" s="7">
        <v>0</v>
      </c>
      <c r="AK209" s="7">
        <v>4.0730000000000004</v>
      </c>
      <c r="AL209" s="7">
        <v>77.337000000000003</v>
      </c>
      <c r="AM209" s="7">
        <v>70.241</v>
      </c>
      <c r="AN209" s="7">
        <v>0.90800000000000003</v>
      </c>
      <c r="AO209" s="7">
        <v>44.156999999999996</v>
      </c>
      <c r="AP209" s="7">
        <v>9.85</v>
      </c>
      <c r="AQ209" s="7">
        <v>23.33</v>
      </c>
    </row>
    <row r="210" spans="1:43" x14ac:dyDescent="0.25">
      <c r="A210" t="s">
        <v>192</v>
      </c>
      <c r="B210" s="1" t="s">
        <v>840</v>
      </c>
      <c r="C210" s="23" t="s">
        <v>283</v>
      </c>
      <c r="D210" s="22" t="s">
        <v>286</v>
      </c>
      <c r="E210" s="21">
        <v>2018</v>
      </c>
      <c r="F210" s="7">
        <v>291.753695440012</v>
      </c>
      <c r="G210" s="7">
        <v>12.590999999999999</v>
      </c>
      <c r="H210" s="7">
        <v>3.7450000000000001</v>
      </c>
      <c r="I210" s="7">
        <v>3.492</v>
      </c>
      <c r="J210" s="7">
        <v>1.4390000000000001</v>
      </c>
      <c r="K210" s="7">
        <v>5.5629999999999997</v>
      </c>
      <c r="L210" s="7">
        <v>0.14899999999999999</v>
      </c>
      <c r="M210" s="7">
        <v>3.58</v>
      </c>
      <c r="N210" s="7">
        <v>0</v>
      </c>
      <c r="O210" s="7">
        <v>0</v>
      </c>
      <c r="P210" s="7">
        <v>4.8090000000000002</v>
      </c>
      <c r="Q210" s="7">
        <v>1.4650000000000001</v>
      </c>
      <c r="R210" s="7">
        <v>6.6000000000000003E-2</v>
      </c>
      <c r="S210" s="7">
        <v>14.683</v>
      </c>
      <c r="T210" s="7">
        <v>8.6850000000000005</v>
      </c>
      <c r="U210" s="7">
        <v>9.0960000000000001</v>
      </c>
      <c r="V210" s="7">
        <v>0.51800000000000002</v>
      </c>
      <c r="W210" s="7">
        <v>4.1909999999999998</v>
      </c>
      <c r="X210" s="7">
        <v>5.36</v>
      </c>
      <c r="Y210" s="7">
        <v>0.31</v>
      </c>
      <c r="Z210" s="7">
        <v>0</v>
      </c>
      <c r="AA210" s="7">
        <v>6.7380000000000004</v>
      </c>
      <c r="AB210" s="7">
        <v>0.82599999999999996</v>
      </c>
      <c r="AC210" s="7">
        <v>0.88600000000000001</v>
      </c>
      <c r="AD210" s="7">
        <v>1.036</v>
      </c>
      <c r="AE210" s="7">
        <v>16.553999999999998</v>
      </c>
      <c r="AF210" s="7">
        <v>25.239000000000001</v>
      </c>
      <c r="AG210" s="7">
        <v>0</v>
      </c>
      <c r="AH210" s="7">
        <v>16.928999999999998</v>
      </c>
      <c r="AI210" s="7">
        <v>5.5919999999999996</v>
      </c>
      <c r="AJ210" s="7">
        <v>0</v>
      </c>
      <c r="AK210" s="7">
        <v>3.4140000000000001</v>
      </c>
      <c r="AL210" s="7">
        <v>79.742000000000004</v>
      </c>
      <c r="AM210" s="7">
        <v>73.8</v>
      </c>
      <c r="AN210" s="7">
        <v>0.92500000000000004</v>
      </c>
      <c r="AO210" s="7">
        <v>44.374000000000002</v>
      </c>
      <c r="AP210" s="7">
        <v>8.3889999999999993</v>
      </c>
      <c r="AQ210" s="7">
        <v>26.978999999999999</v>
      </c>
    </row>
    <row r="211" spans="1:43" x14ac:dyDescent="0.25">
      <c r="A211" t="s">
        <v>193</v>
      </c>
      <c r="B211" s="1" t="s">
        <v>840</v>
      </c>
      <c r="C211" s="23" t="s">
        <v>283</v>
      </c>
      <c r="D211" s="22" t="s">
        <v>286</v>
      </c>
      <c r="E211" s="21">
        <v>2018</v>
      </c>
      <c r="F211" s="7">
        <v>222.608651676432</v>
      </c>
      <c r="G211" s="7">
        <v>10.548999999999999</v>
      </c>
      <c r="H211" s="7">
        <v>3.3919999999999999</v>
      </c>
      <c r="I211" s="7">
        <v>2.855</v>
      </c>
      <c r="J211" s="7">
        <v>0.90600000000000003</v>
      </c>
      <c r="K211" s="7">
        <v>3.6960000000000002</v>
      </c>
      <c r="L211" s="7">
        <v>9.0999999999999998E-2</v>
      </c>
      <c r="M211" s="7">
        <v>2.6160000000000001</v>
      </c>
      <c r="N211" s="7">
        <v>0</v>
      </c>
      <c r="O211" s="7">
        <v>0</v>
      </c>
      <c r="P211" s="7">
        <v>3.778</v>
      </c>
      <c r="Q211" s="7">
        <v>1.052</v>
      </c>
      <c r="R211" s="7">
        <v>5.6000000000000001E-2</v>
      </c>
      <c r="S211" s="7">
        <v>11.269</v>
      </c>
      <c r="T211" s="7">
        <v>6.35</v>
      </c>
      <c r="U211" s="7">
        <v>7.1870000000000003</v>
      </c>
      <c r="V211" s="7">
        <v>0.43</v>
      </c>
      <c r="W211" s="7">
        <v>3.3479999999999999</v>
      </c>
      <c r="X211" s="7">
        <v>4.1500000000000004</v>
      </c>
      <c r="Y211" s="7">
        <v>0.22500000000000001</v>
      </c>
      <c r="Z211" s="7">
        <v>0</v>
      </c>
      <c r="AA211" s="7">
        <v>5.7539999999999996</v>
      </c>
      <c r="AB211" s="7">
        <v>0.67600000000000005</v>
      </c>
      <c r="AC211" s="7">
        <v>0.64</v>
      </c>
      <c r="AD211" s="7">
        <v>0.624</v>
      </c>
      <c r="AE211" s="7">
        <v>12.749000000000001</v>
      </c>
      <c r="AF211" s="7">
        <v>21.367999999999999</v>
      </c>
      <c r="AG211" s="7">
        <v>0</v>
      </c>
      <c r="AH211" s="7">
        <v>10.813000000000001</v>
      </c>
      <c r="AI211" s="7">
        <v>3.9220000000000002</v>
      </c>
      <c r="AJ211" s="7">
        <v>0</v>
      </c>
      <c r="AK211" s="7">
        <v>2.8010000000000002</v>
      </c>
      <c r="AL211" s="7">
        <v>61.95</v>
      </c>
      <c r="AM211" s="7">
        <v>56.545999999999999</v>
      </c>
      <c r="AN211" s="7">
        <v>0.91300000000000003</v>
      </c>
      <c r="AO211" s="7">
        <v>34.067</v>
      </c>
      <c r="AP211" s="7">
        <v>6.3940000000000001</v>
      </c>
      <c r="AQ211" s="7">
        <v>21.489000000000001</v>
      </c>
    </row>
    <row r="212" spans="1:43" x14ac:dyDescent="0.25">
      <c r="A212" t="s">
        <v>194</v>
      </c>
      <c r="B212" s="1" t="s">
        <v>840</v>
      </c>
      <c r="C212" s="23" t="s">
        <v>283</v>
      </c>
      <c r="D212" s="22" t="s">
        <v>286</v>
      </c>
      <c r="E212" s="21">
        <v>2018</v>
      </c>
      <c r="F212" s="7">
        <v>304.35808977345698</v>
      </c>
      <c r="G212" s="7">
        <v>13.099</v>
      </c>
      <c r="H212" s="7">
        <v>3.4660000000000002</v>
      </c>
      <c r="I212" s="7">
        <v>3.3780000000000001</v>
      </c>
      <c r="J212" s="7">
        <v>1.7210000000000001</v>
      </c>
      <c r="K212" s="7">
        <v>4.7809999999999997</v>
      </c>
      <c r="L212" s="7">
        <v>6.7000000000000004E-2</v>
      </c>
      <c r="M212" s="7">
        <v>3.6869999999999998</v>
      </c>
      <c r="N212" s="7">
        <v>0</v>
      </c>
      <c r="O212" s="7">
        <v>0</v>
      </c>
      <c r="P212" s="7">
        <v>4.9930000000000003</v>
      </c>
      <c r="Q212" s="7">
        <v>1.5720000000000001</v>
      </c>
      <c r="R212" s="7">
        <v>0.104</v>
      </c>
      <c r="S212" s="7">
        <v>15.311</v>
      </c>
      <c r="T212" s="7">
        <v>9.0719999999999992</v>
      </c>
      <c r="U212" s="7">
        <v>9.2409999999999997</v>
      </c>
      <c r="V212" s="7">
        <v>0.59899999999999998</v>
      </c>
      <c r="W212" s="7">
        <v>4.2590000000000003</v>
      </c>
      <c r="X212" s="7">
        <v>5.4640000000000004</v>
      </c>
      <c r="Y212" s="7">
        <v>0.29599999999999999</v>
      </c>
      <c r="Z212" s="7">
        <v>0</v>
      </c>
      <c r="AA212" s="7">
        <v>10.381</v>
      </c>
      <c r="AB212" s="7">
        <v>1.01</v>
      </c>
      <c r="AC212" s="7">
        <v>0.879</v>
      </c>
      <c r="AD212" s="7">
        <v>0.94599999999999995</v>
      </c>
      <c r="AE212" s="7">
        <v>23.277999999999999</v>
      </c>
      <c r="AF212" s="7">
        <v>31.312000000000001</v>
      </c>
      <c r="AG212" s="7">
        <v>0</v>
      </c>
      <c r="AH212" s="7">
        <v>16.623000000000001</v>
      </c>
      <c r="AI212" s="7">
        <v>0</v>
      </c>
      <c r="AJ212" s="7">
        <v>4.84</v>
      </c>
      <c r="AK212" s="7">
        <v>2.27</v>
      </c>
      <c r="AL212" s="7">
        <v>81.11</v>
      </c>
      <c r="AM212" s="7">
        <v>89.269000000000005</v>
      </c>
      <c r="AN212" s="7">
        <v>1.101</v>
      </c>
      <c r="AO212" s="7">
        <v>45.917999999999999</v>
      </c>
      <c r="AP212" s="7">
        <v>8.68</v>
      </c>
      <c r="AQ212" s="7">
        <v>26.512</v>
      </c>
    </row>
    <row r="213" spans="1:43" x14ac:dyDescent="0.25">
      <c r="A213" t="s">
        <v>195</v>
      </c>
      <c r="B213" s="1" t="s">
        <v>840</v>
      </c>
      <c r="C213" s="23" t="s">
        <v>283</v>
      </c>
      <c r="D213" s="22" t="s">
        <v>286</v>
      </c>
      <c r="E213" s="21">
        <v>2018</v>
      </c>
      <c r="F213" s="7">
        <v>251.793239411114</v>
      </c>
      <c r="G213" s="7">
        <v>11.589</v>
      </c>
      <c r="H213" s="7">
        <v>3.988</v>
      </c>
      <c r="I213" s="7">
        <v>2.5619999999999998</v>
      </c>
      <c r="J213" s="7">
        <v>1.806</v>
      </c>
      <c r="K213" s="7">
        <v>3.4510000000000001</v>
      </c>
      <c r="L213" s="7">
        <v>0.36499999999999999</v>
      </c>
      <c r="M213" s="7">
        <v>3.2440000000000002</v>
      </c>
      <c r="N213" s="7">
        <v>0</v>
      </c>
      <c r="O213" s="7">
        <v>0</v>
      </c>
      <c r="P213" s="7">
        <v>4.8230000000000004</v>
      </c>
      <c r="Q213" s="7">
        <v>1.389</v>
      </c>
      <c r="R213" s="7">
        <v>6.7000000000000004E-2</v>
      </c>
      <c r="S213" s="7">
        <v>12.769</v>
      </c>
      <c r="T213" s="7">
        <v>7.5019999999999998</v>
      </c>
      <c r="U213" s="7">
        <v>7.6449999999999996</v>
      </c>
      <c r="V213" s="7">
        <v>0.54500000000000004</v>
      </c>
      <c r="W213" s="7">
        <v>3.8109999999999999</v>
      </c>
      <c r="X213" s="7">
        <v>4.7969999999999997</v>
      </c>
      <c r="Y213" s="7">
        <v>0.32800000000000001</v>
      </c>
      <c r="Z213" s="7">
        <v>0</v>
      </c>
      <c r="AA213" s="7">
        <v>7.3579999999999997</v>
      </c>
      <c r="AB213" s="7">
        <v>0.84599999999999997</v>
      </c>
      <c r="AC213" s="7">
        <v>0.82499999999999996</v>
      </c>
      <c r="AD213" s="7">
        <v>0.77400000000000002</v>
      </c>
      <c r="AE213" s="7">
        <v>17.923999999999999</v>
      </c>
      <c r="AF213" s="7">
        <v>21.844000000000001</v>
      </c>
      <c r="AG213" s="7">
        <v>0</v>
      </c>
      <c r="AH213" s="7">
        <v>13.125</v>
      </c>
      <c r="AI213" s="7">
        <v>4.3959999999999999</v>
      </c>
      <c r="AJ213" s="7">
        <v>0</v>
      </c>
      <c r="AK213" s="7">
        <v>3.1949999999999998</v>
      </c>
      <c r="AL213" s="7">
        <v>70.680999999999997</v>
      </c>
      <c r="AM213" s="7">
        <v>67.091999999999999</v>
      </c>
      <c r="AN213" s="7">
        <v>0.94899999999999995</v>
      </c>
      <c r="AO213" s="7">
        <v>38.853000000000002</v>
      </c>
      <c r="AP213" s="7">
        <v>8.0670000000000002</v>
      </c>
      <c r="AQ213" s="7">
        <v>23.760999999999999</v>
      </c>
    </row>
    <row r="214" spans="1:43" x14ac:dyDescent="0.25">
      <c r="A214" t="s">
        <v>135</v>
      </c>
      <c r="B214" t="s">
        <v>819</v>
      </c>
      <c r="C214" s="23" t="s">
        <v>283</v>
      </c>
      <c r="D214" s="22" t="s">
        <v>286</v>
      </c>
      <c r="E214" s="21">
        <v>2018</v>
      </c>
      <c r="F214" s="7">
        <v>148.184200812802</v>
      </c>
      <c r="G214" s="7">
        <v>6.08</v>
      </c>
      <c r="H214" s="7">
        <v>1.43</v>
      </c>
      <c r="I214" s="7">
        <v>1.5129999999999999</v>
      </c>
      <c r="J214" s="7">
        <v>0.84299999999999997</v>
      </c>
      <c r="K214" s="7">
        <v>1.552</v>
      </c>
      <c r="L214" s="7">
        <v>0</v>
      </c>
      <c r="M214" s="7">
        <v>1.5149999999999999</v>
      </c>
      <c r="N214" s="7">
        <v>0</v>
      </c>
      <c r="O214" s="7">
        <v>0</v>
      </c>
      <c r="P214" s="7">
        <v>2.5129999999999999</v>
      </c>
      <c r="Q214" s="7">
        <v>0.67300000000000004</v>
      </c>
      <c r="R214" s="7">
        <v>0.14299999999999999</v>
      </c>
      <c r="S214" s="7">
        <v>5.8319999999999999</v>
      </c>
      <c r="T214" s="7">
        <v>3.5390000000000001</v>
      </c>
      <c r="U214" s="7">
        <v>3.8170000000000002</v>
      </c>
      <c r="V214" s="7">
        <v>0.38</v>
      </c>
      <c r="W214" s="7">
        <v>1.86</v>
      </c>
      <c r="X214" s="7">
        <v>2.33</v>
      </c>
      <c r="Y214" s="7">
        <v>0.19700000000000001</v>
      </c>
      <c r="Z214" s="7">
        <v>0</v>
      </c>
      <c r="AA214" s="7">
        <v>4.9139999999999997</v>
      </c>
      <c r="AB214" s="7">
        <v>0.56200000000000006</v>
      </c>
      <c r="AC214" s="7">
        <v>0.48399999999999999</v>
      </c>
      <c r="AD214" s="7">
        <v>0.26100000000000001</v>
      </c>
      <c r="AE214" s="7">
        <v>5.6769999999999996</v>
      </c>
      <c r="AF214" s="7">
        <v>11.952999999999999</v>
      </c>
      <c r="AG214" s="7">
        <v>0</v>
      </c>
      <c r="AH214" s="7">
        <v>11.089</v>
      </c>
      <c r="AI214" s="7">
        <v>4.0259999999999998</v>
      </c>
      <c r="AJ214" s="7">
        <v>0</v>
      </c>
      <c r="AK214" s="7">
        <v>1.1240000000000001</v>
      </c>
      <c r="AL214" s="7">
        <v>34.216999999999999</v>
      </c>
      <c r="AM214" s="7">
        <v>38.966000000000001</v>
      </c>
      <c r="AN214" s="7">
        <v>1.139</v>
      </c>
      <c r="AO214" s="7">
        <v>18.771000000000001</v>
      </c>
      <c r="AP214" s="7">
        <v>4.0279999999999996</v>
      </c>
      <c r="AQ214" s="7">
        <v>11.417999999999999</v>
      </c>
    </row>
    <row r="215" spans="1:43" x14ac:dyDescent="0.25">
      <c r="A215" t="s">
        <v>136</v>
      </c>
      <c r="B215" t="s">
        <v>819</v>
      </c>
      <c r="C215" s="23" t="s">
        <v>283</v>
      </c>
      <c r="D215" s="22" t="s">
        <v>286</v>
      </c>
      <c r="E215" s="21">
        <v>2018</v>
      </c>
      <c r="F215" s="7">
        <v>131.771500262508</v>
      </c>
      <c r="G215" s="7">
        <v>6.7380000000000004</v>
      </c>
      <c r="H215" s="7">
        <v>1.9830000000000001</v>
      </c>
      <c r="I215" s="7">
        <v>1.2749999999999999</v>
      </c>
      <c r="J215" s="7">
        <v>0.60399999999999998</v>
      </c>
      <c r="K215" s="7">
        <v>1.5609999999999999</v>
      </c>
      <c r="L215" s="7">
        <v>0</v>
      </c>
      <c r="M215" s="7">
        <v>1.3420000000000001</v>
      </c>
      <c r="N215" s="7">
        <v>0</v>
      </c>
      <c r="O215" s="7">
        <v>0</v>
      </c>
      <c r="P215" s="7">
        <v>3.254</v>
      </c>
      <c r="Q215" s="7">
        <v>0.67500000000000004</v>
      </c>
      <c r="R215" s="7">
        <v>6.4000000000000001E-2</v>
      </c>
      <c r="S215" s="7">
        <v>5.6989999999999998</v>
      </c>
      <c r="T215" s="7">
        <v>3.1160000000000001</v>
      </c>
      <c r="U215" s="7">
        <v>3.4340000000000002</v>
      </c>
      <c r="V215" s="7">
        <v>0.25700000000000001</v>
      </c>
      <c r="W215" s="7">
        <v>1.952</v>
      </c>
      <c r="X215" s="7">
        <v>2.1669999999999998</v>
      </c>
      <c r="Y215" s="7">
        <v>9.7000000000000003E-2</v>
      </c>
      <c r="Z215" s="7">
        <v>0</v>
      </c>
      <c r="AA215" s="7">
        <v>6.9950000000000001</v>
      </c>
      <c r="AB215" s="7">
        <v>0.501</v>
      </c>
      <c r="AC215" s="7">
        <v>0.35399999999999998</v>
      </c>
      <c r="AD215" s="7">
        <v>0.14099999999999999</v>
      </c>
      <c r="AE215" s="7">
        <v>4.08</v>
      </c>
      <c r="AF215" s="7">
        <v>9.7370000000000001</v>
      </c>
      <c r="AG215" s="7">
        <v>0</v>
      </c>
      <c r="AH215" s="7">
        <v>8.6219999999999999</v>
      </c>
      <c r="AI215" s="7">
        <v>3.2629999999999999</v>
      </c>
      <c r="AJ215" s="7">
        <v>0</v>
      </c>
      <c r="AK215" s="7">
        <v>1.556</v>
      </c>
      <c r="AL215" s="7">
        <v>34.218000000000004</v>
      </c>
      <c r="AM215" s="7">
        <v>33.692999999999998</v>
      </c>
      <c r="AN215" s="7">
        <v>0.98499999999999999</v>
      </c>
      <c r="AO215" s="7">
        <v>17.460999999999999</v>
      </c>
      <c r="AP215" s="7">
        <v>4.5960000000000001</v>
      </c>
      <c r="AQ215" s="7">
        <v>12.161</v>
      </c>
    </row>
    <row r="216" spans="1:43" x14ac:dyDescent="0.25">
      <c r="A216" t="s">
        <v>137</v>
      </c>
      <c r="B216" t="s">
        <v>819</v>
      </c>
      <c r="C216" s="23" t="s">
        <v>283</v>
      </c>
      <c r="D216" s="22" t="s">
        <v>286</v>
      </c>
      <c r="E216" s="21">
        <v>2018</v>
      </c>
      <c r="F216" s="7">
        <v>108.057975188933</v>
      </c>
      <c r="G216" s="7">
        <v>5.2080000000000002</v>
      </c>
      <c r="H216" s="7">
        <v>1.286</v>
      </c>
      <c r="I216" s="7">
        <v>1.107</v>
      </c>
      <c r="J216" s="7">
        <v>0.441</v>
      </c>
      <c r="K216" s="7">
        <v>1.093</v>
      </c>
      <c r="L216" s="7">
        <v>0</v>
      </c>
      <c r="M216" s="7">
        <v>1.048</v>
      </c>
      <c r="N216" s="7">
        <v>0</v>
      </c>
      <c r="O216" s="7">
        <v>0</v>
      </c>
      <c r="P216" s="7">
        <v>2.1120000000000001</v>
      </c>
      <c r="Q216" s="7">
        <v>0.42099999999999999</v>
      </c>
      <c r="R216" s="7">
        <v>0</v>
      </c>
      <c r="S216" s="7">
        <v>4.5919999999999996</v>
      </c>
      <c r="T216" s="7">
        <v>2.395</v>
      </c>
      <c r="U216" s="7">
        <v>2.69</v>
      </c>
      <c r="V216" s="7">
        <v>0.20399999999999999</v>
      </c>
      <c r="W216" s="7">
        <v>1.55</v>
      </c>
      <c r="X216" s="7">
        <v>1.7050000000000001</v>
      </c>
      <c r="Y216" s="7">
        <v>7.1999999999999995E-2</v>
      </c>
      <c r="Z216" s="7">
        <v>0</v>
      </c>
      <c r="AA216" s="7">
        <v>8.3610000000000007</v>
      </c>
      <c r="AB216" s="7">
        <v>0.438</v>
      </c>
      <c r="AC216" s="7">
        <v>0.253</v>
      </c>
      <c r="AD216" s="7">
        <v>8.7999999999999995E-2</v>
      </c>
      <c r="AE216" s="7">
        <v>3.6419999999999999</v>
      </c>
      <c r="AF216" s="7">
        <v>8.6460000000000008</v>
      </c>
      <c r="AG216" s="7">
        <v>0</v>
      </c>
      <c r="AH216" s="7">
        <v>8.5039999999999996</v>
      </c>
      <c r="AI216" s="7">
        <v>2.504</v>
      </c>
      <c r="AJ216" s="7">
        <v>0</v>
      </c>
      <c r="AK216" s="7">
        <v>1.45</v>
      </c>
      <c r="AL216" s="7">
        <v>25.923999999999999</v>
      </c>
      <c r="AM216" s="7">
        <v>32.436</v>
      </c>
      <c r="AN216" s="7">
        <v>1.2509999999999999</v>
      </c>
      <c r="AO216" s="7">
        <v>13.629</v>
      </c>
      <c r="AP216" s="7">
        <v>3.16</v>
      </c>
      <c r="AQ216" s="7">
        <v>9.1349999999999998</v>
      </c>
    </row>
    <row r="217" spans="1:43" x14ac:dyDescent="0.25">
      <c r="A217" t="s">
        <v>138</v>
      </c>
      <c r="B217" t="s">
        <v>819</v>
      </c>
      <c r="C217" s="23" t="s">
        <v>283</v>
      </c>
      <c r="D217" s="22" t="s">
        <v>286</v>
      </c>
      <c r="E217" s="21">
        <v>2018</v>
      </c>
      <c r="F217" s="7">
        <v>251.60907265090901</v>
      </c>
      <c r="G217" s="7">
        <v>9.5039999999999996</v>
      </c>
      <c r="H217" s="7">
        <v>1.675</v>
      </c>
      <c r="I217" s="7">
        <v>1.845</v>
      </c>
      <c r="J217" s="7">
        <v>1.6679999999999999</v>
      </c>
      <c r="K217" s="7">
        <v>2.105</v>
      </c>
      <c r="L217" s="7">
        <v>9.0999999999999998E-2</v>
      </c>
      <c r="M217" s="7">
        <v>2.2160000000000002</v>
      </c>
      <c r="N217" s="7">
        <v>0</v>
      </c>
      <c r="O217" s="7">
        <v>0</v>
      </c>
      <c r="P217" s="7">
        <v>4.0010000000000003</v>
      </c>
      <c r="Q217" s="7">
        <v>1.2170000000000001</v>
      </c>
      <c r="R217" s="7">
        <v>0.14499999999999999</v>
      </c>
      <c r="S217" s="7">
        <v>10.956</v>
      </c>
      <c r="T217" s="7">
        <v>5.4359999999999999</v>
      </c>
      <c r="U217" s="7">
        <v>5.92</v>
      </c>
      <c r="V217" s="7">
        <v>0.46800000000000003</v>
      </c>
      <c r="W217" s="7">
        <v>3.1419999999999999</v>
      </c>
      <c r="X217" s="7">
        <v>3.5950000000000002</v>
      </c>
      <c r="Y217" s="7">
        <v>0.17599999999999999</v>
      </c>
      <c r="Z217" s="7">
        <v>0</v>
      </c>
      <c r="AA217" s="7">
        <v>11.051</v>
      </c>
      <c r="AB217" s="7">
        <v>0.70099999999999996</v>
      </c>
      <c r="AC217" s="7">
        <v>0.69499999999999995</v>
      </c>
      <c r="AD217" s="7">
        <v>0.255</v>
      </c>
      <c r="AE217" s="7">
        <v>15.644</v>
      </c>
      <c r="AF217" s="7">
        <v>24.931999999999999</v>
      </c>
      <c r="AG217" s="7">
        <v>0</v>
      </c>
      <c r="AH217" s="7">
        <v>18.725000000000001</v>
      </c>
      <c r="AI217" s="7">
        <v>0</v>
      </c>
      <c r="AJ217" s="7">
        <v>7.218</v>
      </c>
      <c r="AK217" s="7">
        <v>2.262</v>
      </c>
      <c r="AL217" s="7">
        <v>54.16</v>
      </c>
      <c r="AM217" s="7">
        <v>79.221000000000004</v>
      </c>
      <c r="AN217" s="7">
        <v>1.4630000000000001</v>
      </c>
      <c r="AO217" s="7">
        <v>31.055</v>
      </c>
      <c r="AP217" s="7">
        <v>6.2169999999999996</v>
      </c>
      <c r="AQ217" s="7">
        <v>16.888000000000002</v>
      </c>
    </row>
    <row r="218" spans="1:43" x14ac:dyDescent="0.25">
      <c r="A218" t="s">
        <v>139</v>
      </c>
      <c r="B218" s="12" t="s">
        <v>828</v>
      </c>
      <c r="C218" s="23" t="s">
        <v>286</v>
      </c>
      <c r="D218" s="22" t="s">
        <v>286</v>
      </c>
      <c r="E218" s="21">
        <v>2018</v>
      </c>
      <c r="F218" s="7">
        <v>200.323498084373</v>
      </c>
      <c r="G218" s="7">
        <v>9.32</v>
      </c>
      <c r="H218" s="7">
        <v>2.1829999999999998</v>
      </c>
      <c r="I218" s="7">
        <v>1.726</v>
      </c>
      <c r="J218" s="7">
        <v>1.0229999999999999</v>
      </c>
      <c r="K218" s="7">
        <v>2.2839999999999998</v>
      </c>
      <c r="L218" s="7">
        <v>0</v>
      </c>
      <c r="M218" s="7">
        <v>2.0779999999999998</v>
      </c>
      <c r="N218" s="7">
        <v>0</v>
      </c>
      <c r="O218" s="7">
        <v>0</v>
      </c>
      <c r="P218" s="7">
        <v>4.8540000000000001</v>
      </c>
      <c r="Q218" s="7">
        <v>0.91</v>
      </c>
      <c r="R218" s="7">
        <v>4.5999999999999999E-2</v>
      </c>
      <c r="S218" s="7">
        <v>9.2970000000000006</v>
      </c>
      <c r="T218" s="7">
        <v>4.9130000000000003</v>
      </c>
      <c r="U218" s="7">
        <v>5.3929999999999998</v>
      </c>
      <c r="V218" s="7">
        <v>0.33500000000000002</v>
      </c>
      <c r="W218" s="7">
        <v>2.9159999999999999</v>
      </c>
      <c r="X218" s="7">
        <v>3.371</v>
      </c>
      <c r="Y218" s="7">
        <v>0.185</v>
      </c>
      <c r="Z218" s="7">
        <v>0</v>
      </c>
      <c r="AA218" s="7">
        <v>9.26</v>
      </c>
      <c r="AB218" s="7">
        <v>0.49099999999999999</v>
      </c>
      <c r="AC218" s="7">
        <v>0.56200000000000006</v>
      </c>
      <c r="AD218" s="7">
        <v>0.23200000000000001</v>
      </c>
      <c r="AE218" s="7">
        <v>12.363</v>
      </c>
      <c r="AF218" s="7">
        <v>18.04</v>
      </c>
      <c r="AG218" s="7">
        <v>0</v>
      </c>
      <c r="AH218" s="7">
        <v>13.471</v>
      </c>
      <c r="AI218" s="7">
        <v>2.7759999999999998</v>
      </c>
      <c r="AJ218" s="7">
        <v>0</v>
      </c>
      <c r="AK218" s="7">
        <v>3.1459999999999999</v>
      </c>
      <c r="AL218" s="7">
        <v>50.834000000000003</v>
      </c>
      <c r="AM218" s="7">
        <v>57.195</v>
      </c>
      <c r="AN218" s="7">
        <v>1.125</v>
      </c>
      <c r="AO218" s="7">
        <v>27.366</v>
      </c>
      <c r="AP218" s="7">
        <v>6.9320000000000004</v>
      </c>
      <c r="AQ218" s="7">
        <v>16.536000000000001</v>
      </c>
    </row>
    <row r="219" spans="1:43" x14ac:dyDescent="0.25">
      <c r="A219" t="s">
        <v>140</v>
      </c>
      <c r="B219" t="s">
        <v>828</v>
      </c>
      <c r="C219" s="23" t="s">
        <v>286</v>
      </c>
      <c r="D219" s="22" t="s">
        <v>286</v>
      </c>
      <c r="E219" s="21">
        <v>2018</v>
      </c>
      <c r="F219" s="7">
        <v>175.25675793467701</v>
      </c>
      <c r="G219" s="7">
        <v>8.6739999999999995</v>
      </c>
      <c r="H219" s="7">
        <v>1.514</v>
      </c>
      <c r="I219" s="7">
        <v>1.3120000000000001</v>
      </c>
      <c r="J219" s="7">
        <v>0.94799999999999995</v>
      </c>
      <c r="K219" s="7">
        <v>1.9770000000000001</v>
      </c>
      <c r="L219" s="7">
        <v>0</v>
      </c>
      <c r="M219" s="7">
        <v>2.0590000000000002</v>
      </c>
      <c r="N219" s="7">
        <v>0</v>
      </c>
      <c r="O219" s="7">
        <v>0</v>
      </c>
      <c r="P219" s="7">
        <v>4.4429999999999996</v>
      </c>
      <c r="Q219" s="7">
        <v>0.90300000000000002</v>
      </c>
      <c r="R219" s="7">
        <v>3.9E-2</v>
      </c>
      <c r="S219" s="7">
        <v>8.4670000000000005</v>
      </c>
      <c r="T219" s="7">
        <v>4.6289999999999996</v>
      </c>
      <c r="U219" s="7">
        <v>4.6180000000000003</v>
      </c>
      <c r="V219" s="7">
        <v>0.31900000000000001</v>
      </c>
      <c r="W219" s="7">
        <v>2.81</v>
      </c>
      <c r="X219" s="7">
        <v>3.1869999999999998</v>
      </c>
      <c r="Y219" s="7">
        <v>0.214</v>
      </c>
      <c r="Z219" s="7">
        <v>0</v>
      </c>
      <c r="AA219" s="7">
        <v>4.3140000000000001</v>
      </c>
      <c r="AB219" s="7">
        <v>0.34899999999999998</v>
      </c>
      <c r="AC219" s="7">
        <v>0.56399999999999995</v>
      </c>
      <c r="AD219" s="7">
        <v>0</v>
      </c>
      <c r="AE219" s="7">
        <v>14.217000000000001</v>
      </c>
      <c r="AF219" s="7">
        <v>16.986999999999998</v>
      </c>
      <c r="AG219" s="7">
        <v>0</v>
      </c>
      <c r="AH219" s="7">
        <v>11.959</v>
      </c>
      <c r="AI219" s="7">
        <v>2.7040000000000002</v>
      </c>
      <c r="AJ219" s="7">
        <v>0</v>
      </c>
      <c r="AK219" s="7">
        <v>1.679</v>
      </c>
      <c r="AL219" s="7">
        <v>46.113</v>
      </c>
      <c r="AM219" s="7">
        <v>51.094000000000001</v>
      </c>
      <c r="AN219" s="7">
        <v>1.1080000000000001</v>
      </c>
      <c r="AO219" s="7">
        <v>25.186</v>
      </c>
      <c r="AP219" s="7">
        <v>6.5019999999999998</v>
      </c>
      <c r="AQ219" s="7">
        <v>14.425000000000001</v>
      </c>
    </row>
    <row r="220" spans="1:43" x14ac:dyDescent="0.25">
      <c r="A220" t="s">
        <v>141</v>
      </c>
      <c r="B220" t="s">
        <v>828</v>
      </c>
      <c r="C220" s="23" t="s">
        <v>286</v>
      </c>
      <c r="D220" s="22" t="s">
        <v>286</v>
      </c>
      <c r="E220" s="21">
        <v>2018</v>
      </c>
      <c r="F220" s="7">
        <v>160.70593579161201</v>
      </c>
      <c r="G220" s="7">
        <v>7.75</v>
      </c>
      <c r="H220" s="7">
        <v>1.284</v>
      </c>
      <c r="I220" s="7">
        <v>1.0920000000000001</v>
      </c>
      <c r="J220" s="7">
        <v>0.86099999999999999</v>
      </c>
      <c r="K220" s="7">
        <v>1.742</v>
      </c>
      <c r="L220" s="7">
        <v>0</v>
      </c>
      <c r="M220" s="7">
        <v>1.879</v>
      </c>
      <c r="N220" s="7">
        <v>0</v>
      </c>
      <c r="O220" s="7">
        <v>0</v>
      </c>
      <c r="P220" s="7">
        <v>3.6840000000000002</v>
      </c>
      <c r="Q220" s="7">
        <v>0.80700000000000005</v>
      </c>
      <c r="R220" s="7">
        <v>3.5999999999999997E-2</v>
      </c>
      <c r="S220" s="7">
        <v>7.5810000000000004</v>
      </c>
      <c r="T220" s="7">
        <v>4.3419999999999996</v>
      </c>
      <c r="U220" s="7">
        <v>3.8809999999999998</v>
      </c>
      <c r="V220" s="7">
        <v>0.25800000000000001</v>
      </c>
      <c r="W220" s="7">
        <v>2.484</v>
      </c>
      <c r="X220" s="7">
        <v>2.839</v>
      </c>
      <c r="Y220" s="7">
        <v>0.17899999999999999</v>
      </c>
      <c r="Z220" s="7">
        <v>0</v>
      </c>
      <c r="AA220" s="7">
        <v>5.7919999999999998</v>
      </c>
      <c r="AB220" s="7">
        <v>0</v>
      </c>
      <c r="AC220" s="7">
        <v>0.81499999999999995</v>
      </c>
      <c r="AD220" s="7">
        <v>0</v>
      </c>
      <c r="AE220" s="7">
        <v>10.404999999999999</v>
      </c>
      <c r="AF220" s="7">
        <v>14.307</v>
      </c>
      <c r="AG220" s="7">
        <v>0</v>
      </c>
      <c r="AH220" s="7">
        <v>12.566000000000001</v>
      </c>
      <c r="AI220" s="7">
        <v>0</v>
      </c>
      <c r="AJ220" s="7">
        <v>2.2879999999999998</v>
      </c>
      <c r="AK220" s="7">
        <v>1.8879999999999999</v>
      </c>
      <c r="AL220" s="7">
        <v>40.698999999999998</v>
      </c>
      <c r="AM220" s="7">
        <v>46.173000000000002</v>
      </c>
      <c r="AN220" s="7">
        <v>1.1339999999999999</v>
      </c>
      <c r="AO220" s="7">
        <v>22.407</v>
      </c>
      <c r="AP220" s="7">
        <v>5.5629999999999997</v>
      </c>
      <c r="AQ220" s="7">
        <v>12.728999999999999</v>
      </c>
    </row>
    <row r="221" spans="1:43" x14ac:dyDescent="0.25">
      <c r="A221" t="s">
        <v>142</v>
      </c>
      <c r="B221" t="s">
        <v>828</v>
      </c>
      <c r="C221" s="23" t="s">
        <v>286</v>
      </c>
      <c r="D221" s="22" t="s">
        <v>286</v>
      </c>
      <c r="E221" s="21">
        <v>2018</v>
      </c>
      <c r="F221" s="7">
        <v>190.79414366478801</v>
      </c>
      <c r="G221" s="7">
        <v>8.83</v>
      </c>
      <c r="H221" s="7">
        <v>1.494</v>
      </c>
      <c r="I221" s="7">
        <v>1.962</v>
      </c>
      <c r="J221" s="7">
        <v>0.98299999999999998</v>
      </c>
      <c r="K221" s="7">
        <v>2.1469999999999998</v>
      </c>
      <c r="L221" s="7">
        <v>0</v>
      </c>
      <c r="M221" s="7">
        <v>2.2189999999999999</v>
      </c>
      <c r="N221" s="7">
        <v>0</v>
      </c>
      <c r="O221" s="7">
        <v>0</v>
      </c>
      <c r="P221" s="7">
        <v>4.2889999999999997</v>
      </c>
      <c r="Q221" s="7">
        <v>0.96299999999999997</v>
      </c>
      <c r="R221" s="7">
        <v>5.8000000000000003E-2</v>
      </c>
      <c r="S221" s="7">
        <v>9.2390000000000008</v>
      </c>
      <c r="T221" s="7">
        <v>5.0919999999999996</v>
      </c>
      <c r="U221" s="7">
        <v>5.1829999999999998</v>
      </c>
      <c r="V221" s="7">
        <v>0.33200000000000002</v>
      </c>
      <c r="W221" s="7">
        <v>2.9089999999999998</v>
      </c>
      <c r="X221" s="7">
        <v>3.246</v>
      </c>
      <c r="Y221" s="7">
        <v>0.223</v>
      </c>
      <c r="Z221" s="7">
        <v>0</v>
      </c>
      <c r="AA221" s="7">
        <v>4.8579999999999997</v>
      </c>
      <c r="AB221" s="7">
        <v>0.33500000000000002</v>
      </c>
      <c r="AC221" s="7">
        <v>0.65200000000000002</v>
      </c>
      <c r="AD221" s="7">
        <v>0.20499999999999999</v>
      </c>
      <c r="AE221" s="7">
        <v>12.016999999999999</v>
      </c>
      <c r="AF221" s="7">
        <v>20.074000000000002</v>
      </c>
      <c r="AG221" s="7">
        <v>0</v>
      </c>
      <c r="AH221" s="7">
        <v>14.521000000000001</v>
      </c>
      <c r="AI221" s="7">
        <v>2.7040000000000002</v>
      </c>
      <c r="AJ221" s="7">
        <v>0</v>
      </c>
      <c r="AK221" s="7">
        <v>1.877</v>
      </c>
      <c r="AL221" s="7">
        <v>49.168999999999997</v>
      </c>
      <c r="AM221" s="7">
        <v>55.366</v>
      </c>
      <c r="AN221" s="7">
        <v>1.1259999999999999</v>
      </c>
      <c r="AO221" s="7">
        <v>27.245000000000001</v>
      </c>
      <c r="AP221" s="7">
        <v>6.508</v>
      </c>
      <c r="AQ221" s="7">
        <v>15.416</v>
      </c>
    </row>
    <row r="222" spans="1:43" x14ac:dyDescent="0.25">
      <c r="A222" t="s">
        <v>143</v>
      </c>
      <c r="B222" t="s">
        <v>841</v>
      </c>
      <c r="C222" s="23" t="s">
        <v>283</v>
      </c>
      <c r="D222" s="22" t="s">
        <v>286</v>
      </c>
      <c r="E222" s="21">
        <v>2018</v>
      </c>
      <c r="F222" s="7">
        <v>199.36054304575299</v>
      </c>
      <c r="G222" s="7">
        <v>8.8219999999999992</v>
      </c>
      <c r="H222" s="7">
        <v>1.649</v>
      </c>
      <c r="I222" s="7">
        <v>1.651</v>
      </c>
      <c r="J222" s="7">
        <v>1.335</v>
      </c>
      <c r="K222" s="7">
        <v>2.238</v>
      </c>
      <c r="L222" s="7">
        <v>0</v>
      </c>
      <c r="M222" s="7">
        <v>2.444</v>
      </c>
      <c r="N222" s="7">
        <v>0</v>
      </c>
      <c r="O222" s="7">
        <v>0</v>
      </c>
      <c r="P222" s="7">
        <v>5.1529999999999996</v>
      </c>
      <c r="Q222" s="7">
        <v>1.0620000000000001</v>
      </c>
      <c r="R222" s="7">
        <v>9.9000000000000005E-2</v>
      </c>
      <c r="S222" s="7">
        <v>9.2940000000000005</v>
      </c>
      <c r="T222" s="7">
        <v>5.141</v>
      </c>
      <c r="U222" s="7">
        <v>5.218</v>
      </c>
      <c r="V222" s="7">
        <v>0.36899999999999999</v>
      </c>
      <c r="W222" s="7">
        <v>2.93</v>
      </c>
      <c r="X222" s="7">
        <v>3.58</v>
      </c>
      <c r="Y222" s="7">
        <v>0.21199999999999999</v>
      </c>
      <c r="Z222" s="7">
        <v>0</v>
      </c>
      <c r="AA222" s="7">
        <v>7.0330000000000004</v>
      </c>
      <c r="AB222" s="7">
        <v>0.432</v>
      </c>
      <c r="AC222" s="7">
        <v>0.80300000000000005</v>
      </c>
      <c r="AD222" s="7">
        <v>0.22600000000000001</v>
      </c>
      <c r="AE222" s="7">
        <v>11.239000000000001</v>
      </c>
      <c r="AF222" s="7">
        <v>17.981999999999999</v>
      </c>
      <c r="AG222" s="7">
        <v>0</v>
      </c>
      <c r="AH222" s="7">
        <v>14.84</v>
      </c>
      <c r="AI222" s="7">
        <v>3.3620000000000001</v>
      </c>
      <c r="AJ222" s="7">
        <v>0</v>
      </c>
      <c r="AK222" s="7">
        <v>1.77</v>
      </c>
      <c r="AL222" s="7">
        <v>51.197000000000003</v>
      </c>
      <c r="AM222" s="7">
        <v>55.917000000000002</v>
      </c>
      <c r="AN222" s="7">
        <v>1.0920000000000001</v>
      </c>
      <c r="AO222" s="7">
        <v>27.905000000000001</v>
      </c>
      <c r="AP222" s="7">
        <v>7.5970000000000004</v>
      </c>
      <c r="AQ222" s="7">
        <v>15.695</v>
      </c>
    </row>
    <row r="223" spans="1:43" x14ac:dyDescent="0.25">
      <c r="A223" t="s">
        <v>144</v>
      </c>
      <c r="B223" t="s">
        <v>841</v>
      </c>
      <c r="C223" s="23" t="s">
        <v>283</v>
      </c>
      <c r="D223" s="22" t="s">
        <v>286</v>
      </c>
      <c r="E223" s="21">
        <v>2018</v>
      </c>
      <c r="F223" s="7">
        <v>161.56521921156201</v>
      </c>
      <c r="G223" s="7">
        <v>8.1300000000000008</v>
      </c>
      <c r="H223" s="7">
        <v>2.0659999999999998</v>
      </c>
      <c r="I223" s="7">
        <v>1.3819999999999999</v>
      </c>
      <c r="J223" s="7">
        <v>0.91700000000000004</v>
      </c>
      <c r="K223" s="7">
        <v>2.15</v>
      </c>
      <c r="L223" s="7">
        <v>0</v>
      </c>
      <c r="M223" s="7">
        <v>1.863</v>
      </c>
      <c r="N223" s="7">
        <v>0</v>
      </c>
      <c r="O223" s="7">
        <v>0</v>
      </c>
      <c r="P223" s="7">
        <v>4.915</v>
      </c>
      <c r="Q223" s="7">
        <v>0.73499999999999999</v>
      </c>
      <c r="R223" s="7">
        <v>3.9E-2</v>
      </c>
      <c r="S223" s="7">
        <v>7.1310000000000002</v>
      </c>
      <c r="T223" s="7">
        <v>4.3040000000000003</v>
      </c>
      <c r="U223" s="7">
        <v>4.5220000000000002</v>
      </c>
      <c r="V223" s="7">
        <v>0.33300000000000002</v>
      </c>
      <c r="W223" s="7">
        <v>2.5139999999999998</v>
      </c>
      <c r="X223" s="7">
        <v>2.9980000000000002</v>
      </c>
      <c r="Y223" s="7">
        <v>0.19</v>
      </c>
      <c r="Z223" s="7">
        <v>0</v>
      </c>
      <c r="AA223" s="7">
        <v>6.0990000000000002</v>
      </c>
      <c r="AB223" s="7">
        <v>0</v>
      </c>
      <c r="AC223" s="7">
        <v>0.86099999999999999</v>
      </c>
      <c r="AD223" s="7">
        <v>0.17299999999999999</v>
      </c>
      <c r="AE223" s="7">
        <v>6.5179999999999998</v>
      </c>
      <c r="AF223" s="7">
        <v>14.064</v>
      </c>
      <c r="AG223" s="7">
        <v>0</v>
      </c>
      <c r="AH223" s="7">
        <v>12.888999999999999</v>
      </c>
      <c r="AI223" s="7">
        <v>0</v>
      </c>
      <c r="AJ223" s="7">
        <v>2.3980000000000001</v>
      </c>
      <c r="AK223" s="7">
        <v>3.2650000000000001</v>
      </c>
      <c r="AL223" s="7">
        <v>44.189</v>
      </c>
      <c r="AM223" s="7">
        <v>43.002000000000002</v>
      </c>
      <c r="AN223" s="7">
        <v>0.97299999999999998</v>
      </c>
      <c r="AO223" s="7">
        <v>22.765999999999998</v>
      </c>
      <c r="AP223" s="7">
        <v>6.7779999999999996</v>
      </c>
      <c r="AQ223" s="7">
        <v>14.645</v>
      </c>
    </row>
    <row r="224" spans="1:43" x14ac:dyDescent="0.25">
      <c r="A224" t="s">
        <v>145</v>
      </c>
      <c r="B224" t="s">
        <v>841</v>
      </c>
      <c r="C224" s="23" t="s">
        <v>283</v>
      </c>
      <c r="D224" s="22" t="s">
        <v>286</v>
      </c>
      <c r="E224" s="21">
        <v>2018</v>
      </c>
      <c r="F224" s="7">
        <v>172.73057512957999</v>
      </c>
      <c r="G224" s="7">
        <v>8.8879999999999999</v>
      </c>
      <c r="H224" s="7">
        <v>2.052</v>
      </c>
      <c r="I224" s="7">
        <v>1.5609999999999999</v>
      </c>
      <c r="J224" s="7">
        <v>1.1639999999999999</v>
      </c>
      <c r="K224" s="7">
        <v>2.2570000000000001</v>
      </c>
      <c r="L224" s="7">
        <v>0</v>
      </c>
      <c r="M224" s="7">
        <v>2.0539999999999998</v>
      </c>
      <c r="N224" s="7">
        <v>0</v>
      </c>
      <c r="O224" s="7">
        <v>0</v>
      </c>
      <c r="P224" s="7">
        <v>4.665</v>
      </c>
      <c r="Q224" s="7">
        <v>0.80900000000000005</v>
      </c>
      <c r="R224" s="7">
        <v>5.8000000000000003E-2</v>
      </c>
      <c r="S224" s="7">
        <v>8.0690000000000008</v>
      </c>
      <c r="T224" s="7">
        <v>4.9009999999999998</v>
      </c>
      <c r="U224" s="7">
        <v>5.0289999999999999</v>
      </c>
      <c r="V224" s="7">
        <v>0.36199999999999999</v>
      </c>
      <c r="W224" s="7">
        <v>2.6869999999999998</v>
      </c>
      <c r="X224" s="7">
        <v>3.3140000000000001</v>
      </c>
      <c r="Y224" s="7">
        <v>0.20499999999999999</v>
      </c>
      <c r="Z224" s="7">
        <v>0</v>
      </c>
      <c r="AA224" s="7">
        <v>6.7089999999999996</v>
      </c>
      <c r="AB224" s="7">
        <v>0.52400000000000002</v>
      </c>
      <c r="AC224" s="7">
        <v>0.72099999999999997</v>
      </c>
      <c r="AD224" s="7">
        <v>0.24399999999999999</v>
      </c>
      <c r="AE224" s="7">
        <v>8.5980000000000008</v>
      </c>
      <c r="AF224" s="7">
        <v>15.811</v>
      </c>
      <c r="AG224" s="7">
        <v>0</v>
      </c>
      <c r="AH224" s="7">
        <v>13.548999999999999</v>
      </c>
      <c r="AI224" s="7">
        <v>0</v>
      </c>
      <c r="AJ224" s="7">
        <v>3.0009999999999999</v>
      </c>
      <c r="AK224" s="7">
        <v>2.9540000000000002</v>
      </c>
      <c r="AL224" s="7">
        <v>48.075000000000003</v>
      </c>
      <c r="AM224" s="7">
        <v>49.156999999999996</v>
      </c>
      <c r="AN224" s="7">
        <v>1.0229999999999999</v>
      </c>
      <c r="AO224" s="7">
        <v>25.434000000000001</v>
      </c>
      <c r="AP224" s="7">
        <v>6.7190000000000003</v>
      </c>
      <c r="AQ224" s="7">
        <v>15.922000000000001</v>
      </c>
    </row>
    <row r="225" spans="1:43" x14ac:dyDescent="0.25">
      <c r="A225" t="s">
        <v>146</v>
      </c>
      <c r="B225" t="s">
        <v>841</v>
      </c>
      <c r="C225" s="23" t="s">
        <v>283</v>
      </c>
      <c r="D225" s="22" t="s">
        <v>286</v>
      </c>
      <c r="E225" s="21">
        <v>2018</v>
      </c>
      <c r="F225" s="7">
        <v>253.01973459144401</v>
      </c>
      <c r="G225" s="7">
        <v>11.286</v>
      </c>
      <c r="H225" s="7">
        <v>2.7690000000000001</v>
      </c>
      <c r="I225" s="7">
        <v>2.907</v>
      </c>
      <c r="J225" s="7">
        <v>2.0099999999999998</v>
      </c>
      <c r="K225" s="7">
        <v>3.452</v>
      </c>
      <c r="L225" s="7">
        <v>0.29699999999999999</v>
      </c>
      <c r="M225" s="7">
        <v>3.1749999999999998</v>
      </c>
      <c r="N225" s="7">
        <v>0</v>
      </c>
      <c r="O225" s="7">
        <v>0</v>
      </c>
      <c r="P225" s="7">
        <v>6.9160000000000004</v>
      </c>
      <c r="Q225" s="7">
        <v>1.321</v>
      </c>
      <c r="R225" s="7">
        <v>9.5000000000000001E-2</v>
      </c>
      <c r="S225" s="7">
        <v>11.097</v>
      </c>
      <c r="T225" s="7">
        <v>7.4029999999999996</v>
      </c>
      <c r="U225" s="7">
        <v>7.5570000000000004</v>
      </c>
      <c r="V225" s="7">
        <v>0.60599999999999998</v>
      </c>
      <c r="W225" s="7">
        <v>3.7949999999999999</v>
      </c>
      <c r="X225" s="7">
        <v>4.7119999999999997</v>
      </c>
      <c r="Y225" s="7">
        <v>0.31</v>
      </c>
      <c r="Z225" s="7">
        <v>0</v>
      </c>
      <c r="AA225" s="7">
        <v>10.567</v>
      </c>
      <c r="AB225" s="7">
        <v>0.73899999999999999</v>
      </c>
      <c r="AC225" s="7">
        <v>1.05</v>
      </c>
      <c r="AD225" s="7">
        <v>0</v>
      </c>
      <c r="AE225" s="7">
        <v>11.442</v>
      </c>
      <c r="AF225" s="7">
        <v>22.949000000000002</v>
      </c>
      <c r="AG225" s="7">
        <v>0</v>
      </c>
      <c r="AH225" s="7">
        <v>22.225000000000001</v>
      </c>
      <c r="AI225" s="7">
        <v>0</v>
      </c>
      <c r="AJ225" s="7">
        <v>3.754</v>
      </c>
      <c r="AK225" s="7">
        <v>3.355</v>
      </c>
      <c r="AL225" s="7">
        <v>69.707999999999998</v>
      </c>
      <c r="AM225" s="7">
        <v>72.725999999999999</v>
      </c>
      <c r="AN225" s="7">
        <v>1.0429999999999999</v>
      </c>
      <c r="AO225" s="7">
        <v>36.896000000000001</v>
      </c>
      <c r="AP225" s="7">
        <v>10.090999999999999</v>
      </c>
      <c r="AQ225" s="7">
        <v>22.721</v>
      </c>
    </row>
    <row r="226" spans="1:43" x14ac:dyDescent="0.25">
      <c r="A226" t="s">
        <v>147</v>
      </c>
      <c r="B226" t="s">
        <v>818</v>
      </c>
      <c r="C226" s="23" t="s">
        <v>283</v>
      </c>
      <c r="D226" s="22" t="s">
        <v>286</v>
      </c>
      <c r="E226" s="21">
        <v>2018</v>
      </c>
      <c r="F226" s="7">
        <v>218.700458035568</v>
      </c>
      <c r="G226" s="7">
        <v>8.3179999999999996</v>
      </c>
      <c r="H226" s="7">
        <v>1.5680000000000001</v>
      </c>
      <c r="I226" s="7">
        <v>1.8120000000000001</v>
      </c>
      <c r="J226" s="7">
        <v>1.173</v>
      </c>
      <c r="K226" s="7">
        <v>2.2970000000000002</v>
      </c>
      <c r="L226" s="7">
        <v>0</v>
      </c>
      <c r="M226" s="7">
        <v>2.0830000000000002</v>
      </c>
      <c r="N226" s="7">
        <v>0</v>
      </c>
      <c r="O226" s="7">
        <v>0</v>
      </c>
      <c r="P226" s="7">
        <v>4.3129999999999997</v>
      </c>
      <c r="Q226" s="7">
        <v>0.875</v>
      </c>
      <c r="R226" s="7">
        <v>5.0999999999999997E-2</v>
      </c>
      <c r="S226" s="7">
        <v>8.734</v>
      </c>
      <c r="T226" s="7">
        <v>5.1639999999999997</v>
      </c>
      <c r="U226" s="7">
        <v>5.8550000000000004</v>
      </c>
      <c r="V226" s="7">
        <v>0.32900000000000001</v>
      </c>
      <c r="W226" s="7">
        <v>2.9820000000000002</v>
      </c>
      <c r="X226" s="7">
        <v>3.6579999999999999</v>
      </c>
      <c r="Y226" s="7">
        <v>0.19900000000000001</v>
      </c>
      <c r="Z226" s="7">
        <v>0</v>
      </c>
      <c r="AA226" s="7">
        <v>18.11</v>
      </c>
      <c r="AB226" s="7">
        <v>0.81399999999999995</v>
      </c>
      <c r="AC226" s="7">
        <v>0.66800000000000004</v>
      </c>
      <c r="AD226" s="7">
        <v>0</v>
      </c>
      <c r="AE226" s="7">
        <v>12.701000000000001</v>
      </c>
      <c r="AF226" s="7">
        <v>18.873999999999999</v>
      </c>
      <c r="AG226" s="7">
        <v>0</v>
      </c>
      <c r="AH226" s="7">
        <v>17.786000000000001</v>
      </c>
      <c r="AI226" s="7">
        <v>0</v>
      </c>
      <c r="AJ226" s="7">
        <v>3.8180000000000001</v>
      </c>
      <c r="AK226" s="7">
        <v>3.19</v>
      </c>
      <c r="AL226" s="7">
        <v>49.411000000000001</v>
      </c>
      <c r="AM226" s="7">
        <v>72.771000000000001</v>
      </c>
      <c r="AN226" s="7">
        <v>1.4730000000000001</v>
      </c>
      <c r="AO226" s="7">
        <v>27.847000000000001</v>
      </c>
      <c r="AP226" s="7">
        <v>6.3959999999999999</v>
      </c>
      <c r="AQ226" s="7">
        <v>15.167999999999999</v>
      </c>
    </row>
    <row r="227" spans="1:43" x14ac:dyDescent="0.25">
      <c r="A227" t="s">
        <v>149</v>
      </c>
      <c r="B227" t="s">
        <v>818</v>
      </c>
      <c r="C227" s="23" t="s">
        <v>283</v>
      </c>
      <c r="D227" s="22" t="s">
        <v>286</v>
      </c>
      <c r="E227" s="21">
        <v>2018</v>
      </c>
      <c r="F227" s="7">
        <v>212.39324585977701</v>
      </c>
      <c r="G227" s="7">
        <v>9.1229999999999993</v>
      </c>
      <c r="H227" s="7">
        <v>1.7649999999999999</v>
      </c>
      <c r="I227" s="7">
        <v>1.873</v>
      </c>
      <c r="J227" s="7">
        <v>1.3979999999999999</v>
      </c>
      <c r="K227" s="7">
        <v>2.3849999999999998</v>
      </c>
      <c r="L227" s="7">
        <v>0.11700000000000001</v>
      </c>
      <c r="M227" s="7">
        <v>2.16</v>
      </c>
      <c r="N227" s="7">
        <v>0</v>
      </c>
      <c r="O227" s="7">
        <v>0</v>
      </c>
      <c r="P227" s="7">
        <v>4.6210000000000004</v>
      </c>
      <c r="Q227" s="7">
        <v>1.0980000000000001</v>
      </c>
      <c r="R227" s="7">
        <v>5.8000000000000003E-2</v>
      </c>
      <c r="S227" s="7">
        <v>9.7430000000000003</v>
      </c>
      <c r="T227" s="7">
        <v>5.6870000000000003</v>
      </c>
      <c r="U227" s="7">
        <v>5.9630000000000001</v>
      </c>
      <c r="V227" s="7">
        <v>0.38500000000000001</v>
      </c>
      <c r="W227" s="7">
        <v>3.0870000000000002</v>
      </c>
      <c r="X227" s="7">
        <v>3.7050000000000001</v>
      </c>
      <c r="Y227" s="7">
        <v>0.16500000000000001</v>
      </c>
      <c r="Z227" s="7">
        <v>0</v>
      </c>
      <c r="AA227" s="7">
        <v>13.541</v>
      </c>
      <c r="AB227" s="7">
        <v>0.68899999999999995</v>
      </c>
      <c r="AC227" s="7">
        <v>0.70299999999999996</v>
      </c>
      <c r="AD227" s="7">
        <v>0.29299999999999998</v>
      </c>
      <c r="AE227" s="7">
        <v>11.864000000000001</v>
      </c>
      <c r="AF227" s="7">
        <v>18.8</v>
      </c>
      <c r="AG227" s="7">
        <v>0</v>
      </c>
      <c r="AH227" s="7">
        <v>16.12</v>
      </c>
      <c r="AI227" s="7">
        <v>3.746</v>
      </c>
      <c r="AJ227" s="7">
        <v>0</v>
      </c>
      <c r="AK227" s="7">
        <v>2.548</v>
      </c>
      <c r="AL227" s="7">
        <v>53.332999999999998</v>
      </c>
      <c r="AM227" s="7">
        <v>65.756</v>
      </c>
      <c r="AN227" s="7">
        <v>1.2330000000000001</v>
      </c>
      <c r="AO227" s="7">
        <v>29.890999999999998</v>
      </c>
      <c r="AP227" s="7">
        <v>6.7809999999999997</v>
      </c>
      <c r="AQ227" s="7">
        <v>16.661000000000001</v>
      </c>
    </row>
    <row r="228" spans="1:43" x14ac:dyDescent="0.25">
      <c r="A228" t="s">
        <v>150</v>
      </c>
      <c r="B228" t="s">
        <v>818</v>
      </c>
      <c r="C228" s="23" t="s">
        <v>283</v>
      </c>
      <c r="D228" s="22" t="s">
        <v>286</v>
      </c>
      <c r="E228" s="21">
        <v>2018</v>
      </c>
      <c r="F228" s="7">
        <v>303.93392830925001</v>
      </c>
      <c r="G228" s="7">
        <v>11.645</v>
      </c>
      <c r="H228" s="7">
        <v>1.7989999999999999</v>
      </c>
      <c r="I228" s="7">
        <v>2.7080000000000002</v>
      </c>
      <c r="J228" s="7">
        <v>2.1150000000000002</v>
      </c>
      <c r="K228" s="7">
        <v>3.3410000000000002</v>
      </c>
      <c r="L228" s="7">
        <v>0.26</v>
      </c>
      <c r="M228" s="7">
        <v>3.149</v>
      </c>
      <c r="N228" s="7">
        <v>0</v>
      </c>
      <c r="O228" s="7">
        <v>0</v>
      </c>
      <c r="P228" s="7">
        <v>6.109</v>
      </c>
      <c r="Q228" s="7">
        <v>1.514</v>
      </c>
      <c r="R228" s="7">
        <v>8.8999999999999996E-2</v>
      </c>
      <c r="S228" s="7">
        <v>13.536</v>
      </c>
      <c r="T228" s="7">
        <v>7.8739999999999997</v>
      </c>
      <c r="U228" s="7">
        <v>8.9510000000000005</v>
      </c>
      <c r="V228" s="7">
        <v>0.55000000000000004</v>
      </c>
      <c r="W228" s="7">
        <v>4.399</v>
      </c>
      <c r="X228" s="7">
        <v>5.2729999999999997</v>
      </c>
      <c r="Y228" s="7">
        <v>0.23300000000000001</v>
      </c>
      <c r="Z228" s="7">
        <v>0</v>
      </c>
      <c r="AA228" s="7">
        <v>15.458</v>
      </c>
      <c r="AB228" s="7">
        <v>0.95</v>
      </c>
      <c r="AC228" s="7">
        <v>0.99199999999999999</v>
      </c>
      <c r="AD228" s="7">
        <v>0</v>
      </c>
      <c r="AE228" s="7">
        <v>17.643999999999998</v>
      </c>
      <c r="AF228" s="7">
        <v>29.571999999999999</v>
      </c>
      <c r="AG228" s="7">
        <v>0</v>
      </c>
      <c r="AH228" s="7">
        <v>25.236999999999998</v>
      </c>
      <c r="AI228" s="7">
        <v>0</v>
      </c>
      <c r="AJ228" s="7">
        <v>4.6840000000000002</v>
      </c>
      <c r="AK228" s="7">
        <v>3.282</v>
      </c>
      <c r="AL228" s="7">
        <v>73.545000000000002</v>
      </c>
      <c r="AM228" s="7">
        <v>94.537000000000006</v>
      </c>
      <c r="AN228" s="7">
        <v>1.2849999999999999</v>
      </c>
      <c r="AO228" s="7">
        <v>42.418999999999997</v>
      </c>
      <c r="AP228" s="7">
        <v>9.2579999999999991</v>
      </c>
      <c r="AQ228" s="7">
        <v>21.867999999999999</v>
      </c>
    </row>
    <row r="229" spans="1:43" x14ac:dyDescent="0.25">
      <c r="A229" t="s">
        <v>151</v>
      </c>
      <c r="B229" t="s">
        <v>829</v>
      </c>
      <c r="C229" s="23" t="s">
        <v>298</v>
      </c>
      <c r="D229" s="22" t="s">
        <v>286</v>
      </c>
      <c r="E229" s="21">
        <v>2018</v>
      </c>
      <c r="F229" s="7">
        <v>127.171333249082</v>
      </c>
      <c r="G229" s="7">
        <v>6.4020000000000001</v>
      </c>
      <c r="H229" s="7">
        <v>1.8819999999999999</v>
      </c>
      <c r="I229" s="7">
        <v>1.4430000000000001</v>
      </c>
      <c r="J229" s="7">
        <v>0.45100000000000001</v>
      </c>
      <c r="K229" s="7">
        <v>1.575</v>
      </c>
      <c r="L229" s="7">
        <v>0</v>
      </c>
      <c r="M229" s="7">
        <v>1.7110000000000001</v>
      </c>
      <c r="N229" s="7">
        <v>0.26500000000000001</v>
      </c>
      <c r="O229" s="7">
        <v>0</v>
      </c>
      <c r="P229" s="7">
        <v>3.0760000000000001</v>
      </c>
      <c r="Q229" s="7">
        <v>0.53400000000000003</v>
      </c>
      <c r="R229" s="7">
        <v>0</v>
      </c>
      <c r="S229" s="7">
        <v>5.6840000000000002</v>
      </c>
      <c r="T229" s="7">
        <v>3.1930000000000001</v>
      </c>
      <c r="U229" s="7">
        <v>3.996</v>
      </c>
      <c r="V229" s="7">
        <v>0.21199999999999999</v>
      </c>
      <c r="W229" s="7">
        <v>1.9850000000000001</v>
      </c>
      <c r="X229" s="7">
        <v>2.218</v>
      </c>
      <c r="Y229" s="7">
        <v>9.2999999999999999E-2</v>
      </c>
      <c r="Z229" s="7">
        <v>0</v>
      </c>
      <c r="AA229" s="7">
        <v>3.1259999999999999</v>
      </c>
      <c r="AB229" s="7">
        <v>0.32200000000000001</v>
      </c>
      <c r="AC229" s="7">
        <v>0.39700000000000002</v>
      </c>
      <c r="AD229" s="7">
        <v>0.11600000000000001</v>
      </c>
      <c r="AE229" s="7">
        <v>5.3040000000000003</v>
      </c>
      <c r="AF229" s="7">
        <v>11.66</v>
      </c>
      <c r="AG229" s="7">
        <v>0</v>
      </c>
      <c r="AH229" s="7">
        <v>7.3159999999999998</v>
      </c>
      <c r="AI229" s="7">
        <v>2.4449999999999998</v>
      </c>
      <c r="AJ229" s="7">
        <v>0</v>
      </c>
      <c r="AK229" s="7">
        <v>2.0030000000000001</v>
      </c>
      <c r="AL229" s="7">
        <v>34.72</v>
      </c>
      <c r="AM229" s="7">
        <v>30.686</v>
      </c>
      <c r="AN229" s="7">
        <v>0.88400000000000001</v>
      </c>
      <c r="AO229" s="7">
        <v>17.914999999999999</v>
      </c>
      <c r="AP229" s="7">
        <v>5.0519999999999996</v>
      </c>
      <c r="AQ229" s="7">
        <v>11.753</v>
      </c>
    </row>
    <row r="230" spans="1:43" x14ac:dyDescent="0.25">
      <c r="A230" t="s">
        <v>152</v>
      </c>
      <c r="B230" t="s">
        <v>829</v>
      </c>
      <c r="C230" s="23" t="s">
        <v>298</v>
      </c>
      <c r="D230" s="22" t="s">
        <v>286</v>
      </c>
      <c r="E230" s="21">
        <v>2018</v>
      </c>
      <c r="F230" s="7">
        <v>97.416872845957499</v>
      </c>
      <c r="G230" s="7">
        <v>4.9889999999999999</v>
      </c>
      <c r="H230" s="7">
        <v>1.6539999999999999</v>
      </c>
      <c r="I230" s="7">
        <v>1.212</v>
      </c>
      <c r="J230" s="7">
        <v>0.34699999999999998</v>
      </c>
      <c r="K230" s="7">
        <v>1.1850000000000001</v>
      </c>
      <c r="L230" s="7">
        <v>0</v>
      </c>
      <c r="M230" s="7">
        <v>1.341</v>
      </c>
      <c r="N230" s="7">
        <v>0.22500000000000001</v>
      </c>
      <c r="O230" s="7">
        <v>0</v>
      </c>
      <c r="P230" s="7">
        <v>2.1360000000000001</v>
      </c>
      <c r="Q230" s="7">
        <v>0.42399999999999999</v>
      </c>
      <c r="R230" s="7">
        <v>0</v>
      </c>
      <c r="S230" s="7">
        <v>4.4580000000000002</v>
      </c>
      <c r="T230" s="7">
        <v>2.5710000000000002</v>
      </c>
      <c r="U230" s="7">
        <v>3.081</v>
      </c>
      <c r="V230" s="7">
        <v>0.154</v>
      </c>
      <c r="W230" s="7">
        <v>1.605</v>
      </c>
      <c r="X230" s="7">
        <v>1.784</v>
      </c>
      <c r="Y230" s="7">
        <v>9.2999999999999999E-2</v>
      </c>
      <c r="Z230" s="7">
        <v>0</v>
      </c>
      <c r="AA230" s="7">
        <v>2.944</v>
      </c>
      <c r="AB230" s="7">
        <v>0.39800000000000002</v>
      </c>
      <c r="AC230" s="7">
        <v>0.29099999999999998</v>
      </c>
      <c r="AD230" s="7">
        <v>0.126</v>
      </c>
      <c r="AE230" s="7">
        <v>3.8490000000000002</v>
      </c>
      <c r="AF230" s="7">
        <v>9.1910000000000007</v>
      </c>
      <c r="AG230" s="7">
        <v>0</v>
      </c>
      <c r="AH230" s="7">
        <v>5.681</v>
      </c>
      <c r="AI230" s="7">
        <v>1.5149999999999999</v>
      </c>
      <c r="AJ230" s="7">
        <v>0</v>
      </c>
      <c r="AK230" s="7">
        <v>1.1879999999999999</v>
      </c>
      <c r="AL230" s="7">
        <v>27.259</v>
      </c>
      <c r="AM230" s="7">
        <v>23.995000000000001</v>
      </c>
      <c r="AN230" s="7">
        <v>0.88</v>
      </c>
      <c r="AO230" s="7">
        <v>14.17</v>
      </c>
      <c r="AP230" s="7">
        <v>3.702</v>
      </c>
      <c r="AQ230" s="7">
        <v>9.3870000000000005</v>
      </c>
    </row>
    <row r="231" spans="1:43" x14ac:dyDescent="0.25">
      <c r="A231" t="s">
        <v>153</v>
      </c>
      <c r="B231" t="s">
        <v>829</v>
      </c>
      <c r="C231" s="23" t="s">
        <v>298</v>
      </c>
      <c r="D231" s="22" t="s">
        <v>286</v>
      </c>
      <c r="E231" s="21">
        <v>2018</v>
      </c>
      <c r="F231" s="7">
        <v>103.64862664033301</v>
      </c>
      <c r="G231" s="7">
        <v>5.585</v>
      </c>
      <c r="H231" s="7">
        <v>1.41</v>
      </c>
      <c r="I231" s="7">
        <v>1.2569999999999999</v>
      </c>
      <c r="J231" s="7">
        <v>0.439</v>
      </c>
      <c r="K231" s="7">
        <v>1.538</v>
      </c>
      <c r="L231" s="7">
        <v>0</v>
      </c>
      <c r="M231" s="7">
        <v>1.6259999999999999</v>
      </c>
      <c r="N231" s="7">
        <v>0.23</v>
      </c>
      <c r="O231" s="7">
        <v>0</v>
      </c>
      <c r="P231" s="7">
        <v>2.613</v>
      </c>
      <c r="Q231" s="7">
        <v>0.48199999999999998</v>
      </c>
      <c r="R231" s="7">
        <v>0</v>
      </c>
      <c r="S231" s="7">
        <v>5.0519999999999996</v>
      </c>
      <c r="T231" s="7">
        <v>3.133</v>
      </c>
      <c r="U231" s="7">
        <v>3.5659999999999998</v>
      </c>
      <c r="V231" s="7">
        <v>0.183</v>
      </c>
      <c r="W231" s="7">
        <v>1.76</v>
      </c>
      <c r="X231" s="7">
        <v>2.0390000000000001</v>
      </c>
      <c r="Y231" s="7">
        <v>9.2999999999999999E-2</v>
      </c>
      <c r="Z231" s="7">
        <v>0</v>
      </c>
      <c r="AA231" s="7">
        <v>2.6139999999999999</v>
      </c>
      <c r="AB231" s="7">
        <v>0.28799999999999998</v>
      </c>
      <c r="AC231" s="7">
        <v>0.42299999999999999</v>
      </c>
      <c r="AD231" s="7">
        <v>0.151</v>
      </c>
      <c r="AE231" s="7">
        <v>3.6469999999999998</v>
      </c>
      <c r="AF231" s="7">
        <v>9.1210000000000004</v>
      </c>
      <c r="AG231" s="7">
        <v>0</v>
      </c>
      <c r="AH231" s="7">
        <v>6.5540000000000003</v>
      </c>
      <c r="AI231" s="7">
        <v>2.2040000000000002</v>
      </c>
      <c r="AJ231" s="7">
        <v>0</v>
      </c>
      <c r="AK231" s="7">
        <v>0.89800000000000002</v>
      </c>
      <c r="AL231" s="7">
        <v>31.006</v>
      </c>
      <c r="AM231" s="7">
        <v>25.001999999999999</v>
      </c>
      <c r="AN231" s="7">
        <v>0.80600000000000005</v>
      </c>
      <c r="AO231" s="7">
        <v>16.308</v>
      </c>
      <c r="AP231" s="7">
        <v>4.4690000000000003</v>
      </c>
      <c r="AQ231" s="7">
        <v>10.228999999999999</v>
      </c>
    </row>
    <row r="232" spans="1:43" x14ac:dyDescent="0.25">
      <c r="A232" t="s">
        <v>154</v>
      </c>
      <c r="B232" t="s">
        <v>829</v>
      </c>
      <c r="C232" s="23" t="s">
        <v>298</v>
      </c>
      <c r="D232" s="22" t="s">
        <v>286</v>
      </c>
      <c r="E232" s="21">
        <v>2018</v>
      </c>
      <c r="F232" s="7">
        <v>121.938819998206</v>
      </c>
      <c r="G232" s="7">
        <v>5.42</v>
      </c>
      <c r="H232" s="7">
        <v>1.399</v>
      </c>
      <c r="I232" s="7">
        <v>1.8080000000000001</v>
      </c>
      <c r="J232" s="7">
        <v>0.47</v>
      </c>
      <c r="K232" s="7">
        <v>1.714</v>
      </c>
      <c r="L232" s="7">
        <v>0</v>
      </c>
      <c r="M232" s="7">
        <v>1.639</v>
      </c>
      <c r="N232" s="7">
        <v>0.23499999999999999</v>
      </c>
      <c r="O232" s="7">
        <v>0</v>
      </c>
      <c r="P232" s="7">
        <v>2.7679999999999998</v>
      </c>
      <c r="Q232" s="7">
        <v>0.55000000000000004</v>
      </c>
      <c r="R232" s="7">
        <v>0</v>
      </c>
      <c r="S232" s="7">
        <v>5.1319999999999997</v>
      </c>
      <c r="T232" s="7">
        <v>3.3479999999999999</v>
      </c>
      <c r="U232" s="7">
        <v>4.202</v>
      </c>
      <c r="V232" s="7">
        <v>0.215</v>
      </c>
      <c r="W232" s="7">
        <v>1.8240000000000001</v>
      </c>
      <c r="X232" s="7">
        <v>2.2360000000000002</v>
      </c>
      <c r="Y232" s="7">
        <v>9.9000000000000005E-2</v>
      </c>
      <c r="Z232" s="7">
        <v>0</v>
      </c>
      <c r="AA232" s="7">
        <v>3.379</v>
      </c>
      <c r="AB232" s="7">
        <v>0.35199999999999998</v>
      </c>
      <c r="AC232" s="7">
        <v>0.42699999999999999</v>
      </c>
      <c r="AD232" s="7">
        <v>0.154</v>
      </c>
      <c r="AE232" s="7">
        <v>6.4139999999999997</v>
      </c>
      <c r="AF232" s="7">
        <v>11.845000000000001</v>
      </c>
      <c r="AG232" s="7">
        <v>0</v>
      </c>
      <c r="AH232" s="7">
        <v>7.5549999999999997</v>
      </c>
      <c r="AI232" s="7">
        <v>2.8439999999999999</v>
      </c>
      <c r="AJ232" s="7">
        <v>0</v>
      </c>
      <c r="AK232" s="7">
        <v>0.57699999999999996</v>
      </c>
      <c r="AL232" s="7">
        <v>33.058999999999997</v>
      </c>
      <c r="AM232" s="7">
        <v>32.97</v>
      </c>
      <c r="AN232" s="7">
        <v>0.997</v>
      </c>
      <c r="AO232" s="7">
        <v>17.606000000000002</v>
      </c>
      <c r="AP232" s="7">
        <v>4.6420000000000003</v>
      </c>
      <c r="AQ232" s="7">
        <v>10.811</v>
      </c>
    </row>
    <row r="233" spans="1:43" x14ac:dyDescent="0.25">
      <c r="A233" t="s">
        <v>155</v>
      </c>
      <c r="B233" t="s">
        <v>842</v>
      </c>
      <c r="C233" s="23" t="s">
        <v>283</v>
      </c>
      <c r="D233" s="22" t="s">
        <v>286</v>
      </c>
      <c r="E233" s="21">
        <v>2018</v>
      </c>
      <c r="F233" s="7">
        <v>540.63285015120596</v>
      </c>
      <c r="G233" s="7">
        <v>21.66</v>
      </c>
      <c r="H233" s="7">
        <v>3.4</v>
      </c>
      <c r="I233" s="7">
        <v>5.0579999999999998</v>
      </c>
      <c r="J233" s="7">
        <v>4.2729999999999997</v>
      </c>
      <c r="K233" s="7">
        <v>7.2489999999999997</v>
      </c>
      <c r="L233" s="7">
        <v>0.41499999999999998</v>
      </c>
      <c r="M233" s="7">
        <v>6.1470000000000002</v>
      </c>
      <c r="N233" s="7">
        <v>0</v>
      </c>
      <c r="O233" s="7">
        <v>0</v>
      </c>
      <c r="P233" s="7">
        <v>11.677</v>
      </c>
      <c r="Q233" s="7">
        <v>3.327</v>
      </c>
      <c r="R233" s="7">
        <v>0.16500000000000001</v>
      </c>
      <c r="S233" s="7">
        <v>28.422000000000001</v>
      </c>
      <c r="T233" s="7">
        <v>16.843</v>
      </c>
      <c r="U233" s="7">
        <v>17.739999999999998</v>
      </c>
      <c r="V233" s="7">
        <v>1.0609999999999999</v>
      </c>
      <c r="W233" s="7">
        <v>8.4920000000000009</v>
      </c>
      <c r="X233" s="7">
        <v>10.766</v>
      </c>
      <c r="Y233" s="7">
        <v>0.68400000000000005</v>
      </c>
      <c r="Z233" s="7">
        <v>0</v>
      </c>
      <c r="AA233" s="7">
        <v>24.701000000000001</v>
      </c>
      <c r="AB233" s="7">
        <v>0</v>
      </c>
      <c r="AC233" s="7">
        <v>3.3849999999999998</v>
      </c>
      <c r="AD233" s="7">
        <v>0</v>
      </c>
      <c r="AE233" s="7">
        <v>31.132999999999999</v>
      </c>
      <c r="AF233" s="7">
        <v>52.155000000000001</v>
      </c>
      <c r="AG233" s="7">
        <v>0</v>
      </c>
      <c r="AH233" s="7">
        <v>47.555</v>
      </c>
      <c r="AI233" s="7">
        <v>0</v>
      </c>
      <c r="AJ233" s="7">
        <v>7.3470000000000004</v>
      </c>
      <c r="AK233" s="7">
        <v>5.1580000000000004</v>
      </c>
      <c r="AL233" s="7">
        <v>147.37899999999999</v>
      </c>
      <c r="AM233" s="7">
        <v>166.27600000000001</v>
      </c>
      <c r="AN233" s="7">
        <v>1.1279999999999999</v>
      </c>
      <c r="AO233" s="7">
        <v>87.5</v>
      </c>
      <c r="AP233" s="7">
        <v>17.824000000000002</v>
      </c>
      <c r="AQ233" s="7">
        <v>42.055</v>
      </c>
    </row>
    <row r="234" spans="1:43" x14ac:dyDescent="0.25">
      <c r="A234" t="s">
        <v>156</v>
      </c>
      <c r="B234" t="s">
        <v>842</v>
      </c>
      <c r="C234" s="23" t="s">
        <v>283</v>
      </c>
      <c r="D234" s="22" t="s">
        <v>286</v>
      </c>
      <c r="E234" s="21">
        <v>2018</v>
      </c>
      <c r="F234" s="7">
        <v>328.30141069719701</v>
      </c>
      <c r="G234" s="7">
        <v>13.028</v>
      </c>
      <c r="H234" s="7">
        <v>2.8639999999999999</v>
      </c>
      <c r="I234" s="7">
        <v>2.5139999999999998</v>
      </c>
      <c r="J234" s="7">
        <v>1.6419999999999999</v>
      </c>
      <c r="K234" s="7">
        <v>3.63</v>
      </c>
      <c r="L234" s="7">
        <v>9.8000000000000004E-2</v>
      </c>
      <c r="M234" s="7">
        <v>3.5209999999999999</v>
      </c>
      <c r="N234" s="7">
        <v>0</v>
      </c>
      <c r="O234" s="7">
        <v>0</v>
      </c>
      <c r="P234" s="7">
        <v>6.5339999999999998</v>
      </c>
      <c r="Q234" s="7">
        <v>1.669</v>
      </c>
      <c r="R234" s="7">
        <v>9.4E-2</v>
      </c>
      <c r="S234" s="7">
        <v>15.053000000000001</v>
      </c>
      <c r="T234" s="7">
        <v>8.1739999999999995</v>
      </c>
      <c r="U234" s="7">
        <v>8.3140000000000001</v>
      </c>
      <c r="V234" s="7">
        <v>0.501</v>
      </c>
      <c r="W234" s="7">
        <v>4.7089999999999996</v>
      </c>
      <c r="X234" s="7">
        <v>5.3689999999999998</v>
      </c>
      <c r="Y234" s="7">
        <v>0.23400000000000001</v>
      </c>
      <c r="Z234" s="7">
        <v>0</v>
      </c>
      <c r="AA234" s="7">
        <v>12.619</v>
      </c>
      <c r="AB234" s="7">
        <v>0</v>
      </c>
      <c r="AC234" s="7">
        <v>1.6259999999999999</v>
      </c>
      <c r="AD234" s="7">
        <v>0</v>
      </c>
      <c r="AE234" s="7">
        <v>17.88</v>
      </c>
      <c r="AF234" s="7">
        <v>33.698999999999998</v>
      </c>
      <c r="AG234" s="7">
        <v>0</v>
      </c>
      <c r="AH234" s="7">
        <v>22.823</v>
      </c>
      <c r="AI234" s="7">
        <v>0</v>
      </c>
      <c r="AJ234" s="7">
        <v>4.8410000000000002</v>
      </c>
      <c r="AK234" s="7">
        <v>5.7709999999999999</v>
      </c>
      <c r="AL234" s="7">
        <v>77.947999999999993</v>
      </c>
      <c r="AM234" s="7">
        <v>93.488</v>
      </c>
      <c r="AN234" s="7">
        <v>1.1990000000000001</v>
      </c>
      <c r="AO234" s="7">
        <v>44.116999999999997</v>
      </c>
      <c r="AP234" s="7">
        <v>10.055</v>
      </c>
      <c r="AQ234" s="7">
        <v>23.776</v>
      </c>
    </row>
    <row r="235" spans="1:43" x14ac:dyDescent="0.25">
      <c r="A235" t="s">
        <v>157</v>
      </c>
      <c r="B235" t="s">
        <v>842</v>
      </c>
      <c r="C235" s="23" t="s">
        <v>283</v>
      </c>
      <c r="D235" s="22" t="s">
        <v>286</v>
      </c>
      <c r="E235" s="21">
        <v>2018</v>
      </c>
      <c r="F235" s="7">
        <v>345.84811790410799</v>
      </c>
      <c r="G235" s="7">
        <v>13.821999999999999</v>
      </c>
      <c r="H235" s="7">
        <v>3.03</v>
      </c>
      <c r="I235" s="7">
        <v>2.4620000000000002</v>
      </c>
      <c r="J235" s="7">
        <v>2.0489999999999999</v>
      </c>
      <c r="K235" s="7">
        <v>4.7839999999999998</v>
      </c>
      <c r="L235" s="7">
        <v>0.32</v>
      </c>
      <c r="M235" s="7">
        <v>3.5369999999999999</v>
      </c>
      <c r="N235" s="7">
        <v>0</v>
      </c>
      <c r="O235" s="7">
        <v>0</v>
      </c>
      <c r="P235" s="7">
        <v>7.2119999999999997</v>
      </c>
      <c r="Q235" s="7">
        <v>1.7010000000000001</v>
      </c>
      <c r="R235" s="7">
        <v>8.1000000000000003E-2</v>
      </c>
      <c r="S235" s="7">
        <v>15.292</v>
      </c>
      <c r="T235" s="7">
        <v>8.7230000000000008</v>
      </c>
      <c r="U235" s="7">
        <v>8.6940000000000008</v>
      </c>
      <c r="V235" s="7">
        <v>0.50900000000000001</v>
      </c>
      <c r="W235" s="7">
        <v>4.7359999999999998</v>
      </c>
      <c r="X235" s="7">
        <v>5.6769999999999996</v>
      </c>
      <c r="Y235" s="7">
        <v>0.36699999999999999</v>
      </c>
      <c r="Z235" s="7">
        <v>0</v>
      </c>
      <c r="AA235" s="7">
        <v>21.704999999999998</v>
      </c>
      <c r="AB235" s="7">
        <v>0.77700000000000002</v>
      </c>
      <c r="AC235" s="7">
        <v>1.1319999999999999</v>
      </c>
      <c r="AD235" s="7">
        <v>0.39400000000000002</v>
      </c>
      <c r="AE235" s="7">
        <v>14.734</v>
      </c>
      <c r="AF235" s="7">
        <v>26.247</v>
      </c>
      <c r="AG235" s="7">
        <v>0</v>
      </c>
      <c r="AH235" s="7">
        <v>25.370999999999999</v>
      </c>
      <c r="AI235" s="7">
        <v>0</v>
      </c>
      <c r="AJ235" s="7">
        <v>5.3289999999999997</v>
      </c>
      <c r="AK235" s="7">
        <v>4.5540000000000003</v>
      </c>
      <c r="AL235" s="7">
        <v>82.995999999999995</v>
      </c>
      <c r="AM235" s="7">
        <v>95.688999999999993</v>
      </c>
      <c r="AN235" s="7">
        <v>1.153</v>
      </c>
      <c r="AO235" s="7">
        <v>45.78</v>
      </c>
      <c r="AP235" s="7">
        <v>10.749000000000001</v>
      </c>
      <c r="AQ235" s="7">
        <v>26.466999999999999</v>
      </c>
    </row>
    <row r="236" spans="1:43" x14ac:dyDescent="0.25">
      <c r="A236" t="s">
        <v>158</v>
      </c>
      <c r="B236" t="s">
        <v>842</v>
      </c>
      <c r="C236" s="23" t="s">
        <v>283</v>
      </c>
      <c r="D236" s="22" t="s">
        <v>286</v>
      </c>
      <c r="E236" s="21">
        <v>2018</v>
      </c>
      <c r="F236" s="7">
        <v>315.84742927470501</v>
      </c>
      <c r="G236" s="7">
        <v>12.215</v>
      </c>
      <c r="H236" s="7">
        <v>2.512</v>
      </c>
      <c r="I236" s="7">
        <v>2.2789999999999999</v>
      </c>
      <c r="J236" s="7">
        <v>1.841</v>
      </c>
      <c r="K236" s="7">
        <v>4.1710000000000003</v>
      </c>
      <c r="L236" s="7">
        <v>0</v>
      </c>
      <c r="M236" s="7">
        <v>3.0870000000000002</v>
      </c>
      <c r="N236" s="7">
        <v>0</v>
      </c>
      <c r="O236" s="7">
        <v>0</v>
      </c>
      <c r="P236" s="7">
        <v>6.3680000000000003</v>
      </c>
      <c r="Q236" s="7">
        <v>1.5309999999999999</v>
      </c>
      <c r="R236" s="7">
        <v>8.1000000000000003E-2</v>
      </c>
      <c r="S236" s="7">
        <v>13.634</v>
      </c>
      <c r="T236" s="7">
        <v>7.9749999999999996</v>
      </c>
      <c r="U236" s="7">
        <v>8.0050000000000008</v>
      </c>
      <c r="V236" s="7">
        <v>0.46600000000000003</v>
      </c>
      <c r="W236" s="7">
        <v>4.2030000000000003</v>
      </c>
      <c r="X236" s="7">
        <v>5.27</v>
      </c>
      <c r="Y236" s="7">
        <v>0.34599999999999997</v>
      </c>
      <c r="Z236" s="7">
        <v>0</v>
      </c>
      <c r="AA236" s="7">
        <v>13.590999999999999</v>
      </c>
      <c r="AB236" s="7">
        <v>0.57099999999999995</v>
      </c>
      <c r="AC236" s="7">
        <v>1.1220000000000001</v>
      </c>
      <c r="AD236" s="7">
        <v>0</v>
      </c>
      <c r="AE236" s="7">
        <v>18.87</v>
      </c>
      <c r="AF236" s="7">
        <v>27.666</v>
      </c>
      <c r="AG236" s="7">
        <v>0</v>
      </c>
      <c r="AH236" s="7">
        <v>24.39</v>
      </c>
      <c r="AI236" s="7">
        <v>0</v>
      </c>
      <c r="AJ236" s="7">
        <v>4.3940000000000001</v>
      </c>
      <c r="AK236" s="7">
        <v>4.1840000000000002</v>
      </c>
      <c r="AL236" s="7">
        <v>73.983999999999995</v>
      </c>
      <c r="AM236" s="7">
        <v>90.603999999999999</v>
      </c>
      <c r="AN236" s="7">
        <v>1.2250000000000001</v>
      </c>
      <c r="AO236" s="7">
        <v>41.511000000000003</v>
      </c>
      <c r="AP236" s="7">
        <v>9.4550000000000001</v>
      </c>
      <c r="AQ236" s="7">
        <v>23.018000000000001</v>
      </c>
    </row>
    <row r="237" spans="1:43" x14ac:dyDescent="0.25">
      <c r="A237" t="s">
        <v>172</v>
      </c>
      <c r="B237" s="1" t="s">
        <v>0</v>
      </c>
      <c r="C237" t="s">
        <v>298</v>
      </c>
      <c r="D237" s="22" t="s">
        <v>283</v>
      </c>
      <c r="E237" s="21">
        <v>2018</v>
      </c>
      <c r="F237" s="7">
        <v>87.382437922694606</v>
      </c>
      <c r="G237" s="7">
        <v>3.831</v>
      </c>
      <c r="H237" s="7">
        <v>1.1339999999999999</v>
      </c>
      <c r="I237" s="7">
        <v>1.2110000000000001</v>
      </c>
      <c r="J237" s="7">
        <v>0.52400000000000002</v>
      </c>
      <c r="K237" s="7">
        <v>1.2130000000000001</v>
      </c>
      <c r="L237" s="7">
        <v>0</v>
      </c>
      <c r="M237" s="7">
        <v>1.0249999999999999</v>
      </c>
      <c r="N237" s="7">
        <v>0</v>
      </c>
      <c r="O237" s="7">
        <v>0</v>
      </c>
      <c r="P237" s="7">
        <v>2.0059999999999998</v>
      </c>
      <c r="Q237" s="7">
        <v>0.38200000000000001</v>
      </c>
      <c r="R237" s="7">
        <v>0</v>
      </c>
      <c r="S237" s="7">
        <v>4.0110000000000001</v>
      </c>
      <c r="T237" s="7">
        <v>1.9950000000000001</v>
      </c>
      <c r="U237" s="7">
        <v>2.923</v>
      </c>
      <c r="V237" s="7">
        <v>0.153</v>
      </c>
      <c r="W237" s="7">
        <v>1.4430000000000001</v>
      </c>
      <c r="X237" s="7">
        <v>1.6160000000000001</v>
      </c>
      <c r="Y237" s="7">
        <v>8.6999999999999994E-2</v>
      </c>
      <c r="Z237" s="7">
        <v>0</v>
      </c>
      <c r="AA237" s="7">
        <v>1.764</v>
      </c>
      <c r="AB237" s="7">
        <v>0.318</v>
      </c>
      <c r="AC237" s="7">
        <v>0.25800000000000001</v>
      </c>
      <c r="AD237" s="7">
        <v>0</v>
      </c>
      <c r="AE237" s="7">
        <v>5.34</v>
      </c>
      <c r="AF237" s="7">
        <v>8.25</v>
      </c>
      <c r="AG237" s="7">
        <v>0</v>
      </c>
      <c r="AH237" s="7">
        <v>4.0780000000000003</v>
      </c>
      <c r="AI237" s="7">
        <v>1.897</v>
      </c>
      <c r="AJ237" s="7">
        <v>0</v>
      </c>
      <c r="AK237" s="7">
        <v>0.56799999999999995</v>
      </c>
      <c r="AL237" s="7">
        <v>23.553999999999998</v>
      </c>
      <c r="AM237" s="7">
        <v>21.905000000000001</v>
      </c>
      <c r="AN237" s="7">
        <v>0.93</v>
      </c>
      <c r="AO237" s="7">
        <v>12.61</v>
      </c>
      <c r="AP237" s="7">
        <v>3.0310000000000001</v>
      </c>
      <c r="AQ237" s="7">
        <v>7.9130000000000003</v>
      </c>
    </row>
    <row r="238" spans="1:43" x14ac:dyDescent="0.25">
      <c r="A238" t="s">
        <v>173</v>
      </c>
      <c r="B238" s="1" t="s">
        <v>0</v>
      </c>
      <c r="C238" t="s">
        <v>298</v>
      </c>
      <c r="D238" s="22" t="s">
        <v>283</v>
      </c>
      <c r="E238" s="21">
        <v>2018</v>
      </c>
      <c r="F238" s="7">
        <v>121.310940744004</v>
      </c>
      <c r="G238" s="7">
        <v>4.9800000000000004</v>
      </c>
      <c r="H238" s="7">
        <v>1.19</v>
      </c>
      <c r="I238" s="7">
        <v>1.6</v>
      </c>
      <c r="J238" s="7">
        <v>0.63900000000000001</v>
      </c>
      <c r="K238" s="7">
        <v>2.0409999999999999</v>
      </c>
      <c r="L238" s="7">
        <v>0</v>
      </c>
      <c r="M238" s="7">
        <v>1.583</v>
      </c>
      <c r="N238" s="7">
        <v>0</v>
      </c>
      <c r="O238" s="7">
        <v>0</v>
      </c>
      <c r="P238" s="7">
        <v>2.798</v>
      </c>
      <c r="Q238" s="7">
        <v>0.48299999999999998</v>
      </c>
      <c r="R238" s="7">
        <v>0</v>
      </c>
      <c r="S238" s="7">
        <v>6.0190000000000001</v>
      </c>
      <c r="T238" s="7">
        <v>3.0310000000000001</v>
      </c>
      <c r="U238" s="7">
        <v>4.2460000000000004</v>
      </c>
      <c r="V238" s="7">
        <v>0.219</v>
      </c>
      <c r="W238" s="7">
        <v>2.08</v>
      </c>
      <c r="X238" s="7">
        <v>2.4239999999999999</v>
      </c>
      <c r="Y238" s="7">
        <v>0.107</v>
      </c>
      <c r="Z238" s="7">
        <v>0</v>
      </c>
      <c r="AA238" s="7">
        <v>2.5630000000000002</v>
      </c>
      <c r="AB238" s="7">
        <v>0.438</v>
      </c>
      <c r="AC238" s="7">
        <v>0.37</v>
      </c>
      <c r="AD238" s="7">
        <v>0.17299999999999999</v>
      </c>
      <c r="AE238" s="7">
        <v>7.8230000000000004</v>
      </c>
      <c r="AF238" s="7">
        <v>12.497</v>
      </c>
      <c r="AG238" s="7">
        <v>0</v>
      </c>
      <c r="AH238" s="7">
        <v>6.5129999999999999</v>
      </c>
      <c r="AI238" s="7">
        <v>2.1110000000000002</v>
      </c>
      <c r="AJ238" s="7">
        <v>0</v>
      </c>
      <c r="AK238" s="7">
        <v>0.78500000000000003</v>
      </c>
      <c r="AL238" s="7">
        <v>33.44</v>
      </c>
      <c r="AM238" s="7">
        <v>32.488</v>
      </c>
      <c r="AN238" s="7">
        <v>0.97199999999999998</v>
      </c>
      <c r="AO238" s="7">
        <v>18.609000000000002</v>
      </c>
      <c r="AP238" s="7">
        <v>4.3810000000000002</v>
      </c>
      <c r="AQ238" s="7">
        <v>10.45</v>
      </c>
    </row>
    <row r="239" spans="1:43" x14ac:dyDescent="0.25">
      <c r="A239" t="s">
        <v>174</v>
      </c>
      <c r="B239" s="1" t="s">
        <v>0</v>
      </c>
      <c r="C239" t="s">
        <v>298</v>
      </c>
      <c r="D239" s="22" t="s">
        <v>283</v>
      </c>
      <c r="E239" s="21">
        <v>2018</v>
      </c>
      <c r="F239" s="7">
        <v>101.38894164806899</v>
      </c>
      <c r="G239" s="7">
        <v>4.1210000000000004</v>
      </c>
      <c r="H239" s="7">
        <v>1.03</v>
      </c>
      <c r="I239" s="7">
        <v>1.7629999999999999</v>
      </c>
      <c r="J239" s="7">
        <v>0.46300000000000002</v>
      </c>
      <c r="K239" s="7">
        <v>1.351</v>
      </c>
      <c r="L239" s="7">
        <v>0</v>
      </c>
      <c r="M239" s="7">
        <v>1.157</v>
      </c>
      <c r="N239" s="7">
        <v>0</v>
      </c>
      <c r="O239" s="7">
        <v>0</v>
      </c>
      <c r="P239" s="7">
        <v>2.141</v>
      </c>
      <c r="Q239" s="7">
        <v>0.44900000000000001</v>
      </c>
      <c r="R239" s="7">
        <v>6.6000000000000003E-2</v>
      </c>
      <c r="S239" s="7">
        <v>4.6559999999999997</v>
      </c>
      <c r="T239" s="7">
        <v>2.1880000000000002</v>
      </c>
      <c r="U239" s="7">
        <v>3.3010000000000002</v>
      </c>
      <c r="V239" s="7">
        <v>0.187</v>
      </c>
      <c r="W239" s="7">
        <v>1.65</v>
      </c>
      <c r="X239" s="7">
        <v>1.829</v>
      </c>
      <c r="Y239" s="7">
        <v>8.2000000000000003E-2</v>
      </c>
      <c r="Z239" s="7">
        <v>0</v>
      </c>
      <c r="AA239" s="7">
        <v>2.327</v>
      </c>
      <c r="AB239" s="7">
        <v>0.372</v>
      </c>
      <c r="AC239" s="7">
        <v>0.27200000000000002</v>
      </c>
      <c r="AD239" s="7">
        <v>0</v>
      </c>
      <c r="AE239" s="7">
        <v>6.843</v>
      </c>
      <c r="AF239" s="7">
        <v>13.625999999999999</v>
      </c>
      <c r="AG239" s="7">
        <v>0</v>
      </c>
      <c r="AH239" s="7">
        <v>5.093</v>
      </c>
      <c r="AI239" s="7">
        <v>0</v>
      </c>
      <c r="AJ239" s="7">
        <v>0</v>
      </c>
      <c r="AK239" s="7">
        <v>0.92700000000000005</v>
      </c>
      <c r="AL239" s="7">
        <v>26.434000000000001</v>
      </c>
      <c r="AM239" s="7">
        <v>28.533000000000001</v>
      </c>
      <c r="AN239" s="7">
        <v>1.079</v>
      </c>
      <c r="AO239" s="7">
        <v>14.407999999999999</v>
      </c>
      <c r="AP239" s="7">
        <v>3.298</v>
      </c>
      <c r="AQ239" s="7">
        <v>8.7279999999999998</v>
      </c>
    </row>
    <row r="240" spans="1:43" x14ac:dyDescent="0.25">
      <c r="A240" t="s">
        <v>176</v>
      </c>
      <c r="B240" s="1" t="s">
        <v>1</v>
      </c>
      <c r="C240" t="s">
        <v>298</v>
      </c>
      <c r="D240" s="22" t="s">
        <v>283</v>
      </c>
      <c r="E240" s="21">
        <v>2018</v>
      </c>
      <c r="F240" s="7">
        <v>111.9959431772</v>
      </c>
      <c r="G240" s="7">
        <v>4.827</v>
      </c>
      <c r="H240" s="7">
        <v>0.99199999999999999</v>
      </c>
      <c r="I240" s="7">
        <v>1.855</v>
      </c>
      <c r="J240" s="7">
        <v>0.56399999999999995</v>
      </c>
      <c r="K240" s="7">
        <v>1.5269999999999999</v>
      </c>
      <c r="L240" s="7">
        <v>0</v>
      </c>
      <c r="M240" s="7">
        <v>1.3220000000000001</v>
      </c>
      <c r="N240" s="7">
        <v>0</v>
      </c>
      <c r="O240" s="7">
        <v>0</v>
      </c>
      <c r="P240" s="7">
        <v>2.1419999999999999</v>
      </c>
      <c r="Q240" s="7">
        <v>0.49299999999999999</v>
      </c>
      <c r="R240" s="7">
        <v>0</v>
      </c>
      <c r="S240" s="7">
        <v>6.1529999999999996</v>
      </c>
      <c r="T240" s="7">
        <v>2.8730000000000002</v>
      </c>
      <c r="U240" s="7">
        <v>3.9980000000000002</v>
      </c>
      <c r="V240" s="7">
        <v>0.22500000000000001</v>
      </c>
      <c r="W240" s="7">
        <v>2.0630000000000002</v>
      </c>
      <c r="X240" s="7">
        <v>2.19</v>
      </c>
      <c r="Y240" s="7">
        <v>0.107</v>
      </c>
      <c r="Z240" s="7">
        <v>0</v>
      </c>
      <c r="AA240" s="7">
        <v>2.9329999999999998</v>
      </c>
      <c r="AB240" s="7">
        <v>0.56000000000000005</v>
      </c>
      <c r="AC240" s="7">
        <v>0.35299999999999998</v>
      </c>
      <c r="AD240" s="7">
        <v>0.27</v>
      </c>
      <c r="AE240" s="7">
        <v>4.91</v>
      </c>
      <c r="AF240" s="7">
        <v>11.327999999999999</v>
      </c>
      <c r="AG240" s="7">
        <v>0</v>
      </c>
      <c r="AH240" s="7">
        <v>5.7130000000000001</v>
      </c>
      <c r="AI240" s="7">
        <v>0</v>
      </c>
      <c r="AJ240" s="7">
        <v>0</v>
      </c>
      <c r="AK240" s="7">
        <v>1.2589999999999999</v>
      </c>
      <c r="AL240" s="7">
        <v>31.331</v>
      </c>
      <c r="AM240" s="7">
        <v>26.067</v>
      </c>
      <c r="AN240" s="7">
        <v>0.83199999999999996</v>
      </c>
      <c r="AO240" s="7">
        <v>18.102</v>
      </c>
      <c r="AP240" s="7">
        <v>3.464</v>
      </c>
      <c r="AQ240" s="7">
        <v>9.7650000000000006</v>
      </c>
    </row>
    <row r="241" spans="1:43" x14ac:dyDescent="0.25">
      <c r="A241" t="s">
        <v>177</v>
      </c>
      <c r="B241" s="1" t="s">
        <v>1</v>
      </c>
      <c r="C241" t="s">
        <v>298</v>
      </c>
      <c r="D241" s="22" t="s">
        <v>283</v>
      </c>
      <c r="E241" s="21">
        <v>2018</v>
      </c>
      <c r="F241" s="7">
        <v>113.29989866321</v>
      </c>
      <c r="G241" s="7">
        <v>5.149</v>
      </c>
      <c r="H241" s="7">
        <v>1.353</v>
      </c>
      <c r="I241" s="7">
        <v>1.5329999999999999</v>
      </c>
      <c r="J241" s="7">
        <v>0.44800000000000001</v>
      </c>
      <c r="K241" s="7">
        <v>2.0259999999999998</v>
      </c>
      <c r="L241" s="7">
        <v>0</v>
      </c>
      <c r="M241" s="7">
        <v>1.3180000000000001</v>
      </c>
      <c r="N241" s="7">
        <v>0</v>
      </c>
      <c r="O241" s="7">
        <v>0</v>
      </c>
      <c r="P241" s="7">
        <v>2.8980000000000001</v>
      </c>
      <c r="Q241" s="7">
        <v>0.51200000000000001</v>
      </c>
      <c r="R241" s="7">
        <v>0</v>
      </c>
      <c r="S241" s="7">
        <v>6.37</v>
      </c>
      <c r="T241" s="7">
        <v>3.1659999999999999</v>
      </c>
      <c r="U241" s="7">
        <v>4.4809999999999999</v>
      </c>
      <c r="V241" s="7">
        <v>0.193</v>
      </c>
      <c r="W241" s="7">
        <v>2.141</v>
      </c>
      <c r="X241" s="7">
        <v>2.383</v>
      </c>
      <c r="Y241" s="7">
        <v>0.126</v>
      </c>
      <c r="Z241" s="7">
        <v>0</v>
      </c>
      <c r="AA241" s="7">
        <v>2.2599999999999998</v>
      </c>
      <c r="AB241" s="7">
        <v>0.38500000000000001</v>
      </c>
      <c r="AC241" s="7">
        <v>0.40799999999999997</v>
      </c>
      <c r="AD241" s="7">
        <v>0.26500000000000001</v>
      </c>
      <c r="AE241" s="7">
        <v>5.51</v>
      </c>
      <c r="AF241" s="7">
        <v>9.5690000000000008</v>
      </c>
      <c r="AG241" s="7">
        <v>0</v>
      </c>
      <c r="AH241" s="7">
        <v>5.6219999999999999</v>
      </c>
      <c r="AI241" s="7">
        <v>2.93</v>
      </c>
      <c r="AJ241" s="7">
        <v>0</v>
      </c>
      <c r="AK241" s="7">
        <v>0.69899999999999995</v>
      </c>
      <c r="AL241" s="7">
        <v>34.097000000000001</v>
      </c>
      <c r="AM241" s="7">
        <v>26.949000000000002</v>
      </c>
      <c r="AN241" s="7">
        <v>0.79</v>
      </c>
      <c r="AO241" s="7">
        <v>19.372</v>
      </c>
      <c r="AP241" s="7">
        <v>4.2160000000000002</v>
      </c>
      <c r="AQ241" s="7">
        <v>10.509</v>
      </c>
    </row>
    <row r="242" spans="1:43" x14ac:dyDescent="0.25">
      <c r="A242" t="s">
        <v>178</v>
      </c>
      <c r="B242" s="1" t="s">
        <v>1</v>
      </c>
      <c r="C242" t="s">
        <v>298</v>
      </c>
      <c r="D242" s="22" t="s">
        <v>283</v>
      </c>
      <c r="E242" s="21">
        <v>2018</v>
      </c>
      <c r="F242" s="7">
        <v>127.402919275087</v>
      </c>
      <c r="G242" s="7">
        <v>5.6310000000000002</v>
      </c>
      <c r="H242" s="7">
        <v>1.367</v>
      </c>
      <c r="I242" s="7">
        <v>1.6919999999999999</v>
      </c>
      <c r="J242" s="7">
        <v>0.55600000000000005</v>
      </c>
      <c r="K242" s="7">
        <v>1.599</v>
      </c>
      <c r="L242" s="7">
        <v>0</v>
      </c>
      <c r="M242" s="7">
        <v>1.3169999999999999</v>
      </c>
      <c r="N242" s="7">
        <v>0</v>
      </c>
      <c r="O242" s="7">
        <v>0</v>
      </c>
      <c r="P242" s="7">
        <v>3.1080000000000001</v>
      </c>
      <c r="Q242" s="7">
        <v>0.53500000000000003</v>
      </c>
      <c r="R242" s="7">
        <v>0</v>
      </c>
      <c r="S242" s="7">
        <v>7.0010000000000003</v>
      </c>
      <c r="T242" s="7">
        <v>3.2109999999999999</v>
      </c>
      <c r="U242" s="7">
        <v>4.2619999999999996</v>
      </c>
      <c r="V242" s="7">
        <v>0.21199999999999999</v>
      </c>
      <c r="W242" s="7">
        <v>2.3050000000000002</v>
      </c>
      <c r="X242" s="7">
        <v>2.375</v>
      </c>
      <c r="Y242" s="7">
        <v>0.14000000000000001</v>
      </c>
      <c r="Z242" s="7">
        <v>0</v>
      </c>
      <c r="AA242" s="7">
        <v>3.9910000000000001</v>
      </c>
      <c r="AB242" s="7">
        <v>0.46100000000000002</v>
      </c>
      <c r="AC242" s="7">
        <v>0.439</v>
      </c>
      <c r="AD242" s="7">
        <v>0.188</v>
      </c>
      <c r="AE242" s="7">
        <v>7.4130000000000003</v>
      </c>
      <c r="AF242" s="7">
        <v>13.513999999999999</v>
      </c>
      <c r="AG242" s="7">
        <v>0</v>
      </c>
      <c r="AH242" s="7">
        <v>6.4020000000000001</v>
      </c>
      <c r="AI242" s="7">
        <v>0</v>
      </c>
      <c r="AJ242" s="7">
        <v>0</v>
      </c>
      <c r="AK242" s="7">
        <v>1.3240000000000001</v>
      </c>
      <c r="AL242" s="7">
        <v>35.311</v>
      </c>
      <c r="AM242" s="7">
        <v>32.408000000000001</v>
      </c>
      <c r="AN242" s="7">
        <v>0.91800000000000004</v>
      </c>
      <c r="AO242" s="7">
        <v>20.041</v>
      </c>
      <c r="AP242" s="7">
        <v>4.4249999999999998</v>
      </c>
      <c r="AQ242" s="7">
        <v>10.845000000000001</v>
      </c>
    </row>
    <row r="243" spans="1:43" x14ac:dyDescent="0.25">
      <c r="A243" t="s">
        <v>179</v>
      </c>
      <c r="B243" s="1" t="s">
        <v>1</v>
      </c>
      <c r="C243" t="s">
        <v>298</v>
      </c>
      <c r="D243" s="22" t="s">
        <v>283</v>
      </c>
      <c r="E243" s="21">
        <v>2018</v>
      </c>
      <c r="F243" s="7">
        <v>89.937590040507899</v>
      </c>
      <c r="G243" s="7">
        <v>4.38</v>
      </c>
      <c r="H243" s="7">
        <v>1.1559999999999999</v>
      </c>
      <c r="I243" s="7">
        <v>0.95499999999999996</v>
      </c>
      <c r="J243" s="7">
        <v>0.45300000000000001</v>
      </c>
      <c r="K243" s="7">
        <v>1.32</v>
      </c>
      <c r="L243" s="7">
        <v>0</v>
      </c>
      <c r="M243" s="7">
        <v>1.2509999999999999</v>
      </c>
      <c r="N243" s="7">
        <v>0</v>
      </c>
      <c r="O243" s="7">
        <v>0</v>
      </c>
      <c r="P243" s="7">
        <v>2.512</v>
      </c>
      <c r="Q243" s="7">
        <v>0.39200000000000002</v>
      </c>
      <c r="R243" s="7">
        <v>0</v>
      </c>
      <c r="S243" s="7">
        <v>5.2089999999999996</v>
      </c>
      <c r="T243" s="7">
        <v>2.5379999999999998</v>
      </c>
      <c r="U243" s="7">
        <v>3.331</v>
      </c>
      <c r="V243" s="7">
        <v>0.14000000000000001</v>
      </c>
      <c r="W243" s="7">
        <v>1.871</v>
      </c>
      <c r="X243" s="7">
        <v>2.0710000000000002</v>
      </c>
      <c r="Y243" s="7">
        <v>9.5000000000000001E-2</v>
      </c>
      <c r="Z243" s="7">
        <v>0</v>
      </c>
      <c r="AA243" s="7">
        <v>2.1880000000000002</v>
      </c>
      <c r="AB243" s="7">
        <v>0.34799999999999998</v>
      </c>
      <c r="AC243" s="7">
        <v>0.29099999999999998</v>
      </c>
      <c r="AD243" s="7">
        <v>0.17799999999999999</v>
      </c>
      <c r="AE243" s="7">
        <v>2.9580000000000002</v>
      </c>
      <c r="AF243" s="7">
        <v>6.2670000000000003</v>
      </c>
      <c r="AG243" s="7">
        <v>0</v>
      </c>
      <c r="AH243" s="7">
        <v>4.2300000000000004</v>
      </c>
      <c r="AI243" s="7">
        <v>1.877</v>
      </c>
      <c r="AJ243" s="7">
        <v>0</v>
      </c>
      <c r="AK243" s="7">
        <v>0.94899999999999995</v>
      </c>
      <c r="AL243" s="7">
        <v>27.673999999999999</v>
      </c>
      <c r="AM243" s="7">
        <v>18.337</v>
      </c>
      <c r="AN243" s="7">
        <v>0.66300000000000003</v>
      </c>
      <c r="AO243" s="7">
        <v>15.647</v>
      </c>
      <c r="AP243" s="7">
        <v>3.7629999999999999</v>
      </c>
      <c r="AQ243" s="7">
        <v>8.2639999999999993</v>
      </c>
    </row>
    <row r="244" spans="1:43" x14ac:dyDescent="0.25">
      <c r="A244" t="s">
        <v>180</v>
      </c>
      <c r="B244" s="1" t="s">
        <v>2</v>
      </c>
      <c r="C244" t="s">
        <v>298</v>
      </c>
      <c r="D244" s="22" t="s">
        <v>283</v>
      </c>
      <c r="E244" s="21">
        <v>2018</v>
      </c>
      <c r="F244" s="7">
        <v>76.248425773655001</v>
      </c>
      <c r="G244" s="7">
        <v>3.7570000000000001</v>
      </c>
      <c r="H244" s="7">
        <v>2.2149999999999999</v>
      </c>
      <c r="I244" s="7">
        <v>1.085</v>
      </c>
      <c r="J244" s="7">
        <v>0.28399999999999997</v>
      </c>
      <c r="K244" s="7">
        <v>1.272</v>
      </c>
      <c r="L244" s="7">
        <v>0</v>
      </c>
      <c r="M244" s="7">
        <v>1.048</v>
      </c>
      <c r="N244" s="7">
        <v>0</v>
      </c>
      <c r="O244" s="7">
        <v>0</v>
      </c>
      <c r="P244" s="7">
        <v>1.7629999999999999</v>
      </c>
      <c r="Q244" s="7">
        <v>0.33</v>
      </c>
      <c r="R244" s="7">
        <v>0</v>
      </c>
      <c r="S244" s="7">
        <v>4.3419999999999996</v>
      </c>
      <c r="T244" s="7">
        <v>1.897</v>
      </c>
      <c r="U244" s="7">
        <v>3.3260000000000001</v>
      </c>
      <c r="V244" s="7">
        <v>0.13600000000000001</v>
      </c>
      <c r="W244" s="7">
        <v>1.82</v>
      </c>
      <c r="X244" s="7">
        <v>1.7390000000000001</v>
      </c>
      <c r="Y244" s="7">
        <v>8.5999999999999993E-2</v>
      </c>
      <c r="Z244" s="7">
        <v>0</v>
      </c>
      <c r="AA244" s="7">
        <v>2.3130000000000002</v>
      </c>
      <c r="AB244" s="7">
        <v>0.32500000000000001</v>
      </c>
      <c r="AC244" s="7">
        <v>0.23599999999999999</v>
      </c>
      <c r="AD244" s="7">
        <v>0.08</v>
      </c>
      <c r="AE244" s="7">
        <v>3.1579999999999999</v>
      </c>
      <c r="AF244" s="7">
        <v>6.9779999999999998</v>
      </c>
      <c r="AG244" s="7">
        <v>0</v>
      </c>
      <c r="AH244" s="7">
        <v>2.7229999999999999</v>
      </c>
      <c r="AI244" s="7">
        <v>1.736</v>
      </c>
      <c r="AJ244" s="7">
        <v>0</v>
      </c>
      <c r="AK244" s="7">
        <v>0.55600000000000005</v>
      </c>
      <c r="AL244" s="7">
        <v>25.1</v>
      </c>
      <c r="AM244" s="7">
        <v>17.548999999999999</v>
      </c>
      <c r="AN244" s="7">
        <v>0.69899999999999995</v>
      </c>
      <c r="AO244" s="7">
        <v>13.676</v>
      </c>
      <c r="AP244" s="7">
        <v>2.8109999999999999</v>
      </c>
      <c r="AQ244" s="7">
        <v>8.6129999999999995</v>
      </c>
    </row>
    <row r="245" spans="1:43" x14ac:dyDescent="0.25">
      <c r="A245" t="s">
        <v>181</v>
      </c>
      <c r="B245" s="1" t="s">
        <v>2</v>
      </c>
      <c r="C245" t="s">
        <v>298</v>
      </c>
      <c r="D245" s="22" t="s">
        <v>283</v>
      </c>
      <c r="E245" s="21">
        <v>2018</v>
      </c>
      <c r="F245" s="7">
        <v>85.701477926339606</v>
      </c>
      <c r="G245" s="7">
        <v>3.8010000000000002</v>
      </c>
      <c r="H245" s="7">
        <v>1.827</v>
      </c>
      <c r="I245" s="7">
        <v>1.379</v>
      </c>
      <c r="J245" s="7">
        <v>0.32700000000000001</v>
      </c>
      <c r="K245" s="7">
        <v>1.478</v>
      </c>
      <c r="L245" s="7">
        <v>0</v>
      </c>
      <c r="M245" s="7">
        <v>1.135</v>
      </c>
      <c r="N245" s="7">
        <v>0</v>
      </c>
      <c r="O245" s="7">
        <v>0</v>
      </c>
      <c r="P245" s="7">
        <v>1.627</v>
      </c>
      <c r="Q245" s="7">
        <v>0.38100000000000001</v>
      </c>
      <c r="R245" s="7">
        <v>0</v>
      </c>
      <c r="S245" s="7">
        <v>4.5579999999999998</v>
      </c>
      <c r="T245" s="7">
        <v>2.198</v>
      </c>
      <c r="U245" s="7">
        <v>3.7040000000000002</v>
      </c>
      <c r="V245" s="7">
        <v>0.18099999999999999</v>
      </c>
      <c r="W245" s="7">
        <v>1.843</v>
      </c>
      <c r="X245" s="7">
        <v>1.8660000000000001</v>
      </c>
      <c r="Y245" s="7">
        <v>0.09</v>
      </c>
      <c r="Z245" s="7">
        <v>0</v>
      </c>
      <c r="AA245" s="7">
        <v>1.964</v>
      </c>
      <c r="AB245" s="7">
        <v>0.40600000000000003</v>
      </c>
      <c r="AC245" s="7">
        <v>0.28299999999999997</v>
      </c>
      <c r="AD245" s="7">
        <v>0.1</v>
      </c>
      <c r="AE245" s="7">
        <v>3.7970000000000002</v>
      </c>
      <c r="AF245" s="7">
        <v>8.1419999999999995</v>
      </c>
      <c r="AG245" s="7">
        <v>0</v>
      </c>
      <c r="AH245" s="7">
        <v>3.9049999999999998</v>
      </c>
      <c r="AI245" s="7">
        <v>2.0790000000000002</v>
      </c>
      <c r="AJ245" s="7">
        <v>0</v>
      </c>
      <c r="AK245" s="7">
        <v>0.46500000000000002</v>
      </c>
      <c r="AL245" s="7">
        <v>26.395</v>
      </c>
      <c r="AM245" s="7">
        <v>20.675999999999998</v>
      </c>
      <c r="AN245" s="7">
        <v>0.78300000000000003</v>
      </c>
      <c r="AO245" s="7">
        <v>14.821</v>
      </c>
      <c r="AP245" s="7">
        <v>2.762</v>
      </c>
      <c r="AQ245" s="7">
        <v>8.8119999999999994</v>
      </c>
    </row>
    <row r="246" spans="1:43" x14ac:dyDescent="0.25">
      <c r="A246" t="s">
        <v>182</v>
      </c>
      <c r="B246" s="1" t="s">
        <v>2</v>
      </c>
      <c r="C246" t="s">
        <v>298</v>
      </c>
      <c r="D246" s="22" t="s">
        <v>283</v>
      </c>
      <c r="E246" s="21">
        <v>2018</v>
      </c>
      <c r="F246" s="7">
        <v>79.819040199481293</v>
      </c>
      <c r="G246" s="7">
        <v>3.6269999999999998</v>
      </c>
      <c r="H246" s="7">
        <v>1.48</v>
      </c>
      <c r="I246" s="7">
        <v>1.157</v>
      </c>
      <c r="J246" s="7">
        <v>0.33700000000000002</v>
      </c>
      <c r="K246" s="7">
        <v>1.389</v>
      </c>
      <c r="L246" s="7">
        <v>0</v>
      </c>
      <c r="M246" s="7">
        <v>1.093</v>
      </c>
      <c r="N246" s="7">
        <v>0.20599999999999999</v>
      </c>
      <c r="O246" s="7">
        <v>0</v>
      </c>
      <c r="P246" s="7">
        <v>2.371</v>
      </c>
      <c r="Q246" s="7">
        <v>0.33100000000000002</v>
      </c>
      <c r="R246" s="7">
        <v>0</v>
      </c>
      <c r="S246" s="7">
        <v>4.49</v>
      </c>
      <c r="T246" s="7">
        <v>1.9870000000000001</v>
      </c>
      <c r="U246" s="7">
        <v>3.214</v>
      </c>
      <c r="V246" s="7">
        <v>0.14599999999999999</v>
      </c>
      <c r="W246" s="7">
        <v>1.722</v>
      </c>
      <c r="X246" s="7">
        <v>1.732</v>
      </c>
      <c r="Y246" s="7">
        <v>8.2000000000000003E-2</v>
      </c>
      <c r="Z246" s="7">
        <v>0</v>
      </c>
      <c r="AA246" s="7">
        <v>1.913</v>
      </c>
      <c r="AB246" s="7">
        <v>0.39700000000000002</v>
      </c>
      <c r="AC246" s="7">
        <v>0.23100000000000001</v>
      </c>
      <c r="AD246" s="7">
        <v>0</v>
      </c>
      <c r="AE246" s="7">
        <v>2.5339999999999998</v>
      </c>
      <c r="AF246" s="7">
        <v>5.8940000000000001</v>
      </c>
      <c r="AG246" s="7">
        <v>0</v>
      </c>
      <c r="AH246" s="7">
        <v>3.08</v>
      </c>
      <c r="AI246" s="7">
        <v>1.6259999999999999</v>
      </c>
      <c r="AJ246" s="7">
        <v>0</v>
      </c>
      <c r="AK246" s="7">
        <v>0.46200000000000002</v>
      </c>
      <c r="AL246" s="7">
        <v>25.364000000000001</v>
      </c>
      <c r="AM246" s="7">
        <v>15.675000000000001</v>
      </c>
      <c r="AN246" s="7">
        <v>0.61799999999999999</v>
      </c>
      <c r="AO246" s="7">
        <v>13.704000000000001</v>
      </c>
      <c r="AP246" s="7">
        <v>3.67</v>
      </c>
      <c r="AQ246" s="7">
        <v>7.99</v>
      </c>
    </row>
    <row r="247" spans="1:43" x14ac:dyDescent="0.25">
      <c r="A247" t="s">
        <v>183</v>
      </c>
      <c r="B247" s="1" t="s">
        <v>2</v>
      </c>
      <c r="C247" t="s">
        <v>298</v>
      </c>
      <c r="D247" s="22" t="s">
        <v>283</v>
      </c>
      <c r="E247" s="21">
        <v>2018</v>
      </c>
      <c r="F247" s="7">
        <v>70.159369649474399</v>
      </c>
      <c r="G247" s="7">
        <v>2.97</v>
      </c>
      <c r="H247" s="7">
        <v>0.63200000000000001</v>
      </c>
      <c r="I247" s="7">
        <v>0.81299999999999994</v>
      </c>
      <c r="J247" s="7">
        <v>0.317</v>
      </c>
      <c r="K247" s="7">
        <v>1.2869999999999999</v>
      </c>
      <c r="L247" s="7">
        <v>0</v>
      </c>
      <c r="M247" s="7">
        <v>0.94599999999999995</v>
      </c>
      <c r="N247" s="7">
        <v>0</v>
      </c>
      <c r="O247" s="7">
        <v>0</v>
      </c>
      <c r="P247" s="7">
        <v>1.7509999999999999</v>
      </c>
      <c r="Q247" s="7">
        <v>0.28100000000000003</v>
      </c>
      <c r="R247" s="7">
        <v>0</v>
      </c>
      <c r="S247" s="7">
        <v>3.8639999999999999</v>
      </c>
      <c r="T247" s="7">
        <v>2.0139999999999998</v>
      </c>
      <c r="U247" s="7">
        <v>2.6259999999999999</v>
      </c>
      <c r="V247" s="7">
        <v>0.108</v>
      </c>
      <c r="W247" s="7">
        <v>1.431</v>
      </c>
      <c r="X247" s="7">
        <v>1.57</v>
      </c>
      <c r="Y247" s="7">
        <v>7.2999999999999995E-2</v>
      </c>
      <c r="Z247" s="7">
        <v>0</v>
      </c>
      <c r="AA247" s="7">
        <v>2.1560000000000001</v>
      </c>
      <c r="AB247" s="7">
        <v>0.34</v>
      </c>
      <c r="AC247" s="7">
        <v>0.26100000000000001</v>
      </c>
      <c r="AD247" s="7">
        <v>0</v>
      </c>
      <c r="AE247" s="7">
        <v>3.4089999999999998</v>
      </c>
      <c r="AF247" s="7">
        <v>6.1219999999999999</v>
      </c>
      <c r="AG247" s="7">
        <v>0</v>
      </c>
      <c r="AH247" s="7">
        <v>3.2610000000000001</v>
      </c>
      <c r="AI247" s="7">
        <v>1.5840000000000001</v>
      </c>
      <c r="AJ247" s="7">
        <v>0</v>
      </c>
      <c r="AK247" s="7">
        <v>0.52300000000000002</v>
      </c>
      <c r="AL247" s="7">
        <v>20.683</v>
      </c>
      <c r="AM247" s="7">
        <v>17.132999999999999</v>
      </c>
      <c r="AN247" s="7">
        <v>0.82799999999999996</v>
      </c>
      <c r="AO247" s="7">
        <v>11.967000000000001</v>
      </c>
      <c r="AP247" s="7">
        <v>2.6970000000000001</v>
      </c>
      <c r="AQ247" s="7">
        <v>6.0190000000000001</v>
      </c>
    </row>
    <row r="248" spans="1:43" x14ac:dyDescent="0.25">
      <c r="A248" t="s">
        <v>184</v>
      </c>
      <c r="B248" s="1" t="s">
        <v>839</v>
      </c>
      <c r="C248" t="s">
        <v>283</v>
      </c>
      <c r="D248" s="22" t="s">
        <v>286</v>
      </c>
      <c r="E248" s="21">
        <v>2018</v>
      </c>
      <c r="F248" s="7">
        <v>312.20880853160998</v>
      </c>
      <c r="G248" s="7">
        <v>14.303000000000001</v>
      </c>
      <c r="H248" s="7">
        <v>2.0339999999999998</v>
      </c>
      <c r="I248" s="7">
        <v>2.9060000000000001</v>
      </c>
      <c r="J248" s="7">
        <v>2.21</v>
      </c>
      <c r="K248" s="7">
        <v>4.2069999999999999</v>
      </c>
      <c r="L248" s="7">
        <v>0.28999999999999998</v>
      </c>
      <c r="M248" s="7">
        <v>3.7530000000000001</v>
      </c>
      <c r="N248" s="7">
        <v>0</v>
      </c>
      <c r="O248" s="7">
        <v>0</v>
      </c>
      <c r="P248" s="7">
        <v>8.0860000000000003</v>
      </c>
      <c r="Q248" s="7">
        <v>1.6419999999999999</v>
      </c>
      <c r="R248" s="7">
        <v>7.0999999999999994E-2</v>
      </c>
      <c r="S248" s="7">
        <v>15.356999999999999</v>
      </c>
      <c r="T248" s="7">
        <v>8.7929999999999993</v>
      </c>
      <c r="U248" s="7">
        <v>7.9470000000000001</v>
      </c>
      <c r="V248" s="7">
        <v>0.53300000000000003</v>
      </c>
      <c r="W248" s="7">
        <v>4.7910000000000004</v>
      </c>
      <c r="X248" s="7">
        <v>6.1219999999999999</v>
      </c>
      <c r="Y248" s="7">
        <v>0.44500000000000001</v>
      </c>
      <c r="Z248" s="7">
        <v>0</v>
      </c>
      <c r="AA248" s="7">
        <v>6.25</v>
      </c>
      <c r="AB248" s="7">
        <v>0</v>
      </c>
      <c r="AC248" s="7">
        <v>1.8220000000000001</v>
      </c>
      <c r="AD248" s="7">
        <v>0</v>
      </c>
      <c r="AE248" s="7">
        <v>15.381</v>
      </c>
      <c r="AF248" s="7">
        <v>28.696999999999999</v>
      </c>
      <c r="AG248" s="7">
        <v>0</v>
      </c>
      <c r="AH248" s="7">
        <v>22.593</v>
      </c>
      <c r="AI248" s="7">
        <v>4.3129999999999997</v>
      </c>
      <c r="AJ248" s="7">
        <v>0</v>
      </c>
      <c r="AK248" s="7">
        <v>2.4860000000000002</v>
      </c>
      <c r="AL248" s="7">
        <v>83.49</v>
      </c>
      <c r="AM248" s="7">
        <v>79.055999999999997</v>
      </c>
      <c r="AN248" s="7">
        <v>0.94699999999999995</v>
      </c>
      <c r="AO248" s="7">
        <v>45.701000000000001</v>
      </c>
      <c r="AP248" s="7">
        <v>11.839</v>
      </c>
      <c r="AQ248" s="7">
        <v>25.95</v>
      </c>
    </row>
    <row r="249" spans="1:43" x14ac:dyDescent="0.25">
      <c r="A249" t="s">
        <v>185</v>
      </c>
      <c r="B249" s="1" t="s">
        <v>839</v>
      </c>
      <c r="C249" t="s">
        <v>283</v>
      </c>
      <c r="D249" s="22" t="s">
        <v>286</v>
      </c>
      <c r="E249" s="21">
        <v>2018</v>
      </c>
      <c r="F249" s="7">
        <v>204.303788188586</v>
      </c>
      <c r="G249" s="7">
        <v>9.35</v>
      </c>
      <c r="H249" s="7">
        <v>1.5089999999999999</v>
      </c>
      <c r="I249" s="7">
        <v>1.9239999999999999</v>
      </c>
      <c r="J249" s="7">
        <v>1.39</v>
      </c>
      <c r="K249" s="7">
        <v>2.5640000000000001</v>
      </c>
      <c r="L249" s="7">
        <v>0.28399999999999997</v>
      </c>
      <c r="M249" s="7">
        <v>2.4169999999999998</v>
      </c>
      <c r="N249" s="7">
        <v>0</v>
      </c>
      <c r="O249" s="7">
        <v>0</v>
      </c>
      <c r="P249" s="7">
        <v>5.5170000000000003</v>
      </c>
      <c r="Q249" s="7">
        <v>1.034</v>
      </c>
      <c r="R249" s="7">
        <v>3.5999999999999997E-2</v>
      </c>
      <c r="S249" s="7">
        <v>9.7149999999999999</v>
      </c>
      <c r="T249" s="7">
        <v>5.6820000000000004</v>
      </c>
      <c r="U249" s="7">
        <v>5.1029999999999998</v>
      </c>
      <c r="V249" s="7">
        <v>0.33900000000000002</v>
      </c>
      <c r="W249" s="7">
        <v>3.097</v>
      </c>
      <c r="X249" s="7">
        <v>4.0069999999999997</v>
      </c>
      <c r="Y249" s="7">
        <v>0.372</v>
      </c>
      <c r="Z249" s="7">
        <v>0</v>
      </c>
      <c r="AA249" s="7">
        <v>4.7270000000000003</v>
      </c>
      <c r="AB249" s="7">
        <v>0.50900000000000001</v>
      </c>
      <c r="AC249" s="7">
        <v>0.79</v>
      </c>
      <c r="AD249" s="7">
        <v>0.249</v>
      </c>
      <c r="AE249" s="7">
        <v>8.8309999999999995</v>
      </c>
      <c r="AF249" s="7">
        <v>18.838000000000001</v>
      </c>
      <c r="AG249" s="7">
        <v>0</v>
      </c>
      <c r="AH249" s="7">
        <v>14.692</v>
      </c>
      <c r="AI249" s="7">
        <v>2.56</v>
      </c>
      <c r="AJ249" s="7">
        <v>0</v>
      </c>
      <c r="AK249" s="7">
        <v>3.2210000000000001</v>
      </c>
      <c r="AL249" s="7">
        <v>54.34</v>
      </c>
      <c r="AM249" s="7">
        <v>51.195999999999998</v>
      </c>
      <c r="AN249" s="7">
        <v>0.94199999999999995</v>
      </c>
      <c r="AO249" s="7">
        <v>29.385000000000002</v>
      </c>
      <c r="AP249" s="7">
        <v>7.9340000000000002</v>
      </c>
      <c r="AQ249" s="7">
        <v>17.021000000000001</v>
      </c>
    </row>
    <row r="250" spans="1:43" x14ac:dyDescent="0.25">
      <c r="A250" t="s">
        <v>186</v>
      </c>
      <c r="B250" s="1" t="s">
        <v>839</v>
      </c>
      <c r="C250" t="s">
        <v>283</v>
      </c>
      <c r="D250" s="22" t="s">
        <v>286</v>
      </c>
      <c r="E250" s="21">
        <v>2018</v>
      </c>
      <c r="F250" s="7">
        <v>406.82756566844802</v>
      </c>
      <c r="G250" s="7">
        <v>17.37</v>
      </c>
      <c r="H250" s="7">
        <v>2.202</v>
      </c>
      <c r="I250" s="7">
        <v>3.4</v>
      </c>
      <c r="J250" s="7">
        <v>3.1749999999999998</v>
      </c>
      <c r="K250" s="7">
        <v>5.0090000000000003</v>
      </c>
      <c r="L250" s="7">
        <v>5.7000000000000002E-2</v>
      </c>
      <c r="M250" s="7">
        <v>4.8550000000000004</v>
      </c>
      <c r="N250" s="7">
        <v>0</v>
      </c>
      <c r="O250" s="7">
        <v>0</v>
      </c>
      <c r="P250" s="7">
        <v>8.7799999999999994</v>
      </c>
      <c r="Q250" s="7">
        <v>2.4239999999999999</v>
      </c>
      <c r="R250" s="7">
        <v>8.5999999999999993E-2</v>
      </c>
      <c r="S250" s="7">
        <v>20.006</v>
      </c>
      <c r="T250" s="7">
        <v>13.596</v>
      </c>
      <c r="U250" s="7">
        <v>11.263999999999999</v>
      </c>
      <c r="V250" s="7">
        <v>0.67700000000000005</v>
      </c>
      <c r="W250" s="7">
        <v>5.74</v>
      </c>
      <c r="X250" s="7">
        <v>8.1920000000000002</v>
      </c>
      <c r="Y250" s="7">
        <v>0.39900000000000002</v>
      </c>
      <c r="Z250" s="7">
        <v>0</v>
      </c>
      <c r="AA250" s="7">
        <v>10.055999999999999</v>
      </c>
      <c r="AB250" s="7">
        <v>0</v>
      </c>
      <c r="AC250" s="7">
        <v>2.5139999999999998</v>
      </c>
      <c r="AD250" s="7">
        <v>0</v>
      </c>
      <c r="AE250" s="7">
        <v>23.468</v>
      </c>
      <c r="AF250" s="7">
        <v>37.591000000000001</v>
      </c>
      <c r="AG250" s="7">
        <v>0</v>
      </c>
      <c r="AH250" s="7">
        <v>30.523</v>
      </c>
      <c r="AI250" s="7">
        <v>0</v>
      </c>
      <c r="AJ250" s="7">
        <v>5.6050000000000004</v>
      </c>
      <c r="AK250" s="7">
        <v>3.4809999999999999</v>
      </c>
      <c r="AL250" s="7">
        <v>107.232</v>
      </c>
      <c r="AM250" s="7">
        <v>109.75700000000001</v>
      </c>
      <c r="AN250" s="7">
        <v>1.024</v>
      </c>
      <c r="AO250" s="7">
        <v>62.384</v>
      </c>
      <c r="AP250" s="7">
        <v>13.635</v>
      </c>
      <c r="AQ250" s="7">
        <v>31.213000000000001</v>
      </c>
    </row>
    <row r="251" spans="1:43" x14ac:dyDescent="0.25">
      <c r="A251" t="s">
        <v>187</v>
      </c>
      <c r="B251" s="1" t="s">
        <v>839</v>
      </c>
      <c r="C251" t="s">
        <v>283</v>
      </c>
      <c r="D251" s="22" t="s">
        <v>286</v>
      </c>
      <c r="E251" s="21">
        <v>2018</v>
      </c>
      <c r="F251" s="7">
        <v>397.96161172815198</v>
      </c>
      <c r="G251" s="7">
        <v>16.420000000000002</v>
      </c>
      <c r="H251" s="7">
        <v>2.4340000000000002</v>
      </c>
      <c r="I251" s="7">
        <v>3.2269999999999999</v>
      </c>
      <c r="J251" s="7">
        <v>2.976</v>
      </c>
      <c r="K251" s="7">
        <v>4.9989999999999997</v>
      </c>
      <c r="L251" s="7">
        <v>0.317</v>
      </c>
      <c r="M251" s="7">
        <v>4.649</v>
      </c>
      <c r="N251" s="7">
        <v>0</v>
      </c>
      <c r="O251" s="7">
        <v>0</v>
      </c>
      <c r="P251" s="7">
        <v>9.0090000000000003</v>
      </c>
      <c r="Q251" s="7">
        <v>2.1030000000000002</v>
      </c>
      <c r="R251" s="7">
        <v>0.08</v>
      </c>
      <c r="S251" s="7">
        <v>17.917999999999999</v>
      </c>
      <c r="T251" s="7">
        <v>13.919</v>
      </c>
      <c r="U251" s="7">
        <v>10.362</v>
      </c>
      <c r="V251" s="7">
        <v>0.61599999999999999</v>
      </c>
      <c r="W251" s="7">
        <v>5.5010000000000003</v>
      </c>
      <c r="X251" s="7">
        <v>8.2690000000000001</v>
      </c>
      <c r="Y251" s="7">
        <v>0.746</v>
      </c>
      <c r="Z251" s="7">
        <v>0</v>
      </c>
      <c r="AA251" s="7">
        <v>7.6239999999999997</v>
      </c>
      <c r="AB251" s="7">
        <v>0</v>
      </c>
      <c r="AC251" s="7">
        <v>2.496</v>
      </c>
      <c r="AD251" s="7">
        <v>0</v>
      </c>
      <c r="AE251" s="7">
        <v>22.972000000000001</v>
      </c>
      <c r="AF251" s="7">
        <v>37.883000000000003</v>
      </c>
      <c r="AG251" s="7">
        <v>0</v>
      </c>
      <c r="AH251" s="7">
        <v>28.257000000000001</v>
      </c>
      <c r="AI251" s="7">
        <v>0</v>
      </c>
      <c r="AJ251" s="7">
        <v>4.8090000000000002</v>
      </c>
      <c r="AK251" s="7">
        <v>5.2469999999999999</v>
      </c>
      <c r="AL251" s="7">
        <v>103.545</v>
      </c>
      <c r="AM251" s="7">
        <v>104.041</v>
      </c>
      <c r="AN251" s="7">
        <v>1.0049999999999999</v>
      </c>
      <c r="AO251" s="7">
        <v>59.514000000000003</v>
      </c>
      <c r="AP251" s="7">
        <v>13.657999999999999</v>
      </c>
      <c r="AQ251" s="7">
        <v>30.373000000000001</v>
      </c>
    </row>
    <row r="252" spans="1:43" x14ac:dyDescent="0.25">
      <c r="A252" t="s">
        <v>188</v>
      </c>
      <c r="B252" s="1" t="s">
        <v>830</v>
      </c>
      <c r="C252" t="s">
        <v>283</v>
      </c>
      <c r="D252" s="22" t="s">
        <v>286</v>
      </c>
      <c r="E252" s="21">
        <v>2018</v>
      </c>
      <c r="F252" s="7">
        <v>353.84091426689901</v>
      </c>
      <c r="G252" s="7">
        <v>12.75</v>
      </c>
      <c r="H252" s="7">
        <v>2.1120000000000001</v>
      </c>
      <c r="I252" s="7">
        <v>3.0550000000000002</v>
      </c>
      <c r="J252" s="7">
        <v>2.61</v>
      </c>
      <c r="K252" s="7">
        <v>4.4349999999999996</v>
      </c>
      <c r="L252" s="7">
        <v>0.38900000000000001</v>
      </c>
      <c r="M252" s="7">
        <v>4.0049999999999999</v>
      </c>
      <c r="N252" s="7">
        <v>0</v>
      </c>
      <c r="O252" s="7">
        <v>0</v>
      </c>
      <c r="P252" s="7">
        <v>7.7110000000000003</v>
      </c>
      <c r="Q252" s="7">
        <v>1.82</v>
      </c>
      <c r="R252" s="7">
        <v>8.6999999999999994E-2</v>
      </c>
      <c r="S252" s="7">
        <v>15.263999999999999</v>
      </c>
      <c r="T252" s="7">
        <v>10.244</v>
      </c>
      <c r="U252" s="7">
        <v>8.2439999999999998</v>
      </c>
      <c r="V252" s="7">
        <v>0.58899999999999997</v>
      </c>
      <c r="W252" s="7">
        <v>4.8410000000000002</v>
      </c>
      <c r="X252" s="7">
        <v>5.8890000000000002</v>
      </c>
      <c r="Y252" s="7">
        <v>0.40100000000000002</v>
      </c>
      <c r="Z252" s="7">
        <v>0</v>
      </c>
      <c r="AA252" s="7">
        <v>7.8860000000000001</v>
      </c>
      <c r="AB252" s="7">
        <v>0</v>
      </c>
      <c r="AC252" s="7">
        <v>2.25</v>
      </c>
      <c r="AD252" s="7">
        <v>0.497</v>
      </c>
      <c r="AE252" s="7">
        <v>15.212999999999999</v>
      </c>
      <c r="AF252" s="7">
        <v>28.664999999999999</v>
      </c>
      <c r="AG252" s="7">
        <v>0</v>
      </c>
      <c r="AH252" s="7">
        <v>25.074999999999999</v>
      </c>
      <c r="AI252" s="7">
        <v>4.9059999999999997</v>
      </c>
      <c r="AJ252" s="7">
        <v>0</v>
      </c>
      <c r="AK252" s="7">
        <v>5.2190000000000003</v>
      </c>
      <c r="AL252" s="7">
        <v>84.445999999999998</v>
      </c>
      <c r="AM252" s="7">
        <v>84.492000000000004</v>
      </c>
      <c r="AN252" s="7">
        <v>1.0009999999999999</v>
      </c>
      <c r="AO252" s="7">
        <v>47.378999999999998</v>
      </c>
      <c r="AP252" s="7">
        <v>11.715999999999999</v>
      </c>
      <c r="AQ252" s="7">
        <v>25.350999999999999</v>
      </c>
    </row>
    <row r="253" spans="1:43" x14ac:dyDescent="0.25">
      <c r="A253" t="s">
        <v>189</v>
      </c>
      <c r="B253" s="1" t="s">
        <v>830</v>
      </c>
      <c r="C253" t="s">
        <v>283</v>
      </c>
      <c r="D253" s="22" t="s">
        <v>286</v>
      </c>
      <c r="E253" s="21">
        <v>2018</v>
      </c>
      <c r="F253" s="7">
        <v>293.14082343855</v>
      </c>
      <c r="G253" s="7">
        <v>12.861000000000001</v>
      </c>
      <c r="H253" s="7">
        <v>2.4900000000000002</v>
      </c>
      <c r="I253" s="7">
        <v>3.3540000000000001</v>
      </c>
      <c r="J253" s="7">
        <v>2.1190000000000002</v>
      </c>
      <c r="K253" s="7">
        <v>4.3</v>
      </c>
      <c r="L253" s="7">
        <v>0.247</v>
      </c>
      <c r="M253" s="7">
        <v>3.9430000000000001</v>
      </c>
      <c r="N253" s="7">
        <v>0</v>
      </c>
      <c r="O253" s="7">
        <v>0</v>
      </c>
      <c r="P253" s="7">
        <v>7.7469999999999999</v>
      </c>
      <c r="Q253" s="7">
        <v>1.607</v>
      </c>
      <c r="R253" s="7">
        <v>0.129</v>
      </c>
      <c r="S253" s="7">
        <v>14.113</v>
      </c>
      <c r="T253" s="7">
        <v>8.734</v>
      </c>
      <c r="U253" s="7">
        <v>8.1</v>
      </c>
      <c r="V253" s="7">
        <v>0.54600000000000004</v>
      </c>
      <c r="W253" s="7">
        <v>4.6379999999999999</v>
      </c>
      <c r="X253" s="7">
        <v>5.593</v>
      </c>
      <c r="Y253" s="7">
        <v>0.33900000000000002</v>
      </c>
      <c r="Z253" s="7">
        <v>0</v>
      </c>
      <c r="AA253" s="7">
        <v>5.8520000000000003</v>
      </c>
      <c r="AB253" s="7">
        <v>0.59699999999999998</v>
      </c>
      <c r="AC253" s="7">
        <v>1.345</v>
      </c>
      <c r="AD253" s="7">
        <v>0.44400000000000001</v>
      </c>
      <c r="AE253" s="7">
        <v>9.8190000000000008</v>
      </c>
      <c r="AF253" s="7">
        <v>26.748000000000001</v>
      </c>
      <c r="AG253" s="7">
        <v>0</v>
      </c>
      <c r="AH253" s="7">
        <v>21.96</v>
      </c>
      <c r="AI253" s="7">
        <v>4.5209999999999999</v>
      </c>
      <c r="AJ253" s="7">
        <v>0</v>
      </c>
      <c r="AK253" s="7">
        <v>3.09</v>
      </c>
      <c r="AL253" s="7">
        <v>80.86</v>
      </c>
      <c r="AM253" s="7">
        <v>71.286000000000001</v>
      </c>
      <c r="AN253" s="7">
        <v>0.88200000000000001</v>
      </c>
      <c r="AO253" s="7">
        <v>43.798999999999999</v>
      </c>
      <c r="AP253" s="7">
        <v>11.69</v>
      </c>
      <c r="AQ253" s="7">
        <v>25.370999999999999</v>
      </c>
    </row>
    <row r="254" spans="1:43" x14ac:dyDescent="0.25">
      <c r="A254" t="s">
        <v>190</v>
      </c>
      <c r="B254" s="1" t="s">
        <v>830</v>
      </c>
      <c r="C254" t="s">
        <v>283</v>
      </c>
      <c r="D254" s="22" t="s">
        <v>286</v>
      </c>
      <c r="E254" s="21">
        <v>2018</v>
      </c>
      <c r="F254" s="7">
        <v>265.30754957318601</v>
      </c>
      <c r="G254" s="7">
        <v>10.721</v>
      </c>
      <c r="H254" s="7">
        <v>1.9359999999999999</v>
      </c>
      <c r="I254" s="7">
        <v>2.738</v>
      </c>
      <c r="J254" s="7">
        <v>1.94</v>
      </c>
      <c r="K254" s="7">
        <v>3.5670000000000002</v>
      </c>
      <c r="L254" s="7">
        <v>0.124</v>
      </c>
      <c r="M254" s="7">
        <v>3.0870000000000002</v>
      </c>
      <c r="N254" s="7">
        <v>0</v>
      </c>
      <c r="O254" s="7">
        <v>0</v>
      </c>
      <c r="P254" s="7">
        <v>6.3540000000000001</v>
      </c>
      <c r="Q254" s="7">
        <v>1.3009999999999999</v>
      </c>
      <c r="R254" s="7">
        <v>5.0999999999999997E-2</v>
      </c>
      <c r="S254" s="7">
        <v>12.295999999999999</v>
      </c>
      <c r="T254" s="7">
        <v>7.4119999999999999</v>
      </c>
      <c r="U254" s="7">
        <v>6.4329999999999998</v>
      </c>
      <c r="V254" s="7">
        <v>0.42399999999999999</v>
      </c>
      <c r="W254" s="7">
        <v>3.7330000000000001</v>
      </c>
      <c r="X254" s="7">
        <v>4.5389999999999997</v>
      </c>
      <c r="Y254" s="7">
        <v>0.215</v>
      </c>
      <c r="Z254" s="7">
        <v>0</v>
      </c>
      <c r="AA254" s="7">
        <v>5.6520000000000001</v>
      </c>
      <c r="AB254" s="7">
        <v>0.50700000000000001</v>
      </c>
      <c r="AC254" s="7">
        <v>1.075</v>
      </c>
      <c r="AD254" s="7">
        <v>0.318</v>
      </c>
      <c r="AE254" s="7">
        <v>11.509</v>
      </c>
      <c r="AF254" s="7">
        <v>26.451000000000001</v>
      </c>
      <c r="AG254" s="7">
        <v>0</v>
      </c>
      <c r="AH254" s="7">
        <v>20.047999999999998</v>
      </c>
      <c r="AI254" s="7">
        <v>0</v>
      </c>
      <c r="AJ254" s="7">
        <v>3.6779999999999999</v>
      </c>
      <c r="AK254" s="7">
        <v>3.9209999999999998</v>
      </c>
      <c r="AL254" s="7">
        <v>66.870999999999995</v>
      </c>
      <c r="AM254" s="7">
        <v>69.238</v>
      </c>
      <c r="AN254" s="7">
        <v>1.0349999999999999</v>
      </c>
      <c r="AO254" s="7">
        <v>36.404000000000003</v>
      </c>
      <c r="AP254" s="7">
        <v>9.4410000000000007</v>
      </c>
      <c r="AQ254" s="7">
        <v>21.026</v>
      </c>
    </row>
    <row r="255" spans="1:43" x14ac:dyDescent="0.25">
      <c r="A255" t="s">
        <v>191</v>
      </c>
      <c r="B255" s="1" t="s">
        <v>830</v>
      </c>
      <c r="C255" t="s">
        <v>283</v>
      </c>
      <c r="D255" s="22" t="s">
        <v>286</v>
      </c>
      <c r="E255" s="21">
        <v>2018</v>
      </c>
      <c r="F255" s="7">
        <v>292.89653346745598</v>
      </c>
      <c r="G255" s="7">
        <v>12.824</v>
      </c>
      <c r="H255" s="7">
        <v>2.387</v>
      </c>
      <c r="I255" s="7">
        <v>3.5310000000000001</v>
      </c>
      <c r="J255" s="7">
        <v>2.0379999999999998</v>
      </c>
      <c r="K255" s="7">
        <v>5.3109999999999999</v>
      </c>
      <c r="L255" s="7">
        <v>0.14199999999999999</v>
      </c>
      <c r="M255" s="7">
        <v>3.8450000000000002</v>
      </c>
      <c r="N255" s="7">
        <v>0.28599999999999998</v>
      </c>
      <c r="O255" s="7">
        <v>0</v>
      </c>
      <c r="P255" s="7">
        <v>7.9139999999999997</v>
      </c>
      <c r="Q255" s="7">
        <v>1.621</v>
      </c>
      <c r="R255" s="7">
        <v>9.0999999999999998E-2</v>
      </c>
      <c r="S255" s="7">
        <v>14.813000000000001</v>
      </c>
      <c r="T255" s="7">
        <v>8.8620000000000001</v>
      </c>
      <c r="U255" s="7">
        <v>8.1229999999999993</v>
      </c>
      <c r="V255" s="7">
        <v>0.54100000000000004</v>
      </c>
      <c r="W255" s="7">
        <v>4.742</v>
      </c>
      <c r="X255" s="7">
        <v>5.6139999999999999</v>
      </c>
      <c r="Y255" s="7">
        <v>0.32200000000000001</v>
      </c>
      <c r="Z255" s="7">
        <v>0</v>
      </c>
      <c r="AA255" s="7">
        <v>6.3959999999999999</v>
      </c>
      <c r="AB255" s="7">
        <v>0.64900000000000002</v>
      </c>
      <c r="AC255" s="7">
        <v>1.286</v>
      </c>
      <c r="AD255" s="7">
        <v>0.42199999999999999</v>
      </c>
      <c r="AE255" s="7">
        <v>12.33</v>
      </c>
      <c r="AF255" s="7">
        <v>28.352</v>
      </c>
      <c r="AG255" s="7">
        <v>0</v>
      </c>
      <c r="AH255" s="7">
        <v>21.556999999999999</v>
      </c>
      <c r="AI255" s="7">
        <v>0</v>
      </c>
      <c r="AJ255" s="7">
        <v>4.2069999999999999</v>
      </c>
      <c r="AK255" s="7">
        <v>2.625</v>
      </c>
      <c r="AL255" s="7">
        <v>83.007000000000005</v>
      </c>
      <c r="AM255" s="7">
        <v>75.198999999999998</v>
      </c>
      <c r="AN255" s="7">
        <v>0.90600000000000003</v>
      </c>
      <c r="AO255" s="7">
        <v>44.728999999999999</v>
      </c>
      <c r="AP255" s="7">
        <v>12.045</v>
      </c>
      <c r="AQ255" s="7">
        <v>26.233000000000001</v>
      </c>
    </row>
    <row r="256" spans="1:43" x14ac:dyDescent="0.25">
      <c r="A256" t="s">
        <v>192</v>
      </c>
      <c r="B256" s="1" t="s">
        <v>840</v>
      </c>
      <c r="C256" t="s">
        <v>283</v>
      </c>
      <c r="D256" s="22" t="s">
        <v>286</v>
      </c>
      <c r="E256" s="21">
        <v>2018</v>
      </c>
      <c r="F256" s="7">
        <v>182.276610842488</v>
      </c>
      <c r="G256" s="7">
        <v>8.3030000000000008</v>
      </c>
      <c r="H256" s="7">
        <v>3.1760000000000002</v>
      </c>
      <c r="I256" s="7">
        <v>3.1030000000000002</v>
      </c>
      <c r="J256" s="7">
        <v>1.1399999999999999</v>
      </c>
      <c r="K256" s="7">
        <v>3.5550000000000002</v>
      </c>
      <c r="L256" s="7">
        <v>8.4000000000000005E-2</v>
      </c>
      <c r="M256" s="7">
        <v>2.1890000000000001</v>
      </c>
      <c r="N256" s="7">
        <v>0</v>
      </c>
      <c r="O256" s="7">
        <v>0</v>
      </c>
      <c r="P256" s="7">
        <v>3.51</v>
      </c>
      <c r="Q256" s="7">
        <v>0.754</v>
      </c>
      <c r="R256" s="7">
        <v>4.2000000000000003E-2</v>
      </c>
      <c r="S256" s="7">
        <v>8.5879999999999992</v>
      </c>
      <c r="T256" s="7">
        <v>4.7720000000000002</v>
      </c>
      <c r="U256" s="7">
        <v>5.55</v>
      </c>
      <c r="V256" s="7">
        <v>0.34300000000000003</v>
      </c>
      <c r="W256" s="7">
        <v>2.9079999999999999</v>
      </c>
      <c r="X256" s="7">
        <v>3.4849999999999999</v>
      </c>
      <c r="Y256" s="7">
        <v>0.218</v>
      </c>
      <c r="Z256" s="7">
        <v>0</v>
      </c>
      <c r="AA256" s="7">
        <v>7.9509999999999996</v>
      </c>
      <c r="AB256" s="7">
        <v>0.70199999999999996</v>
      </c>
      <c r="AC256" s="7">
        <v>0.51900000000000002</v>
      </c>
      <c r="AD256" s="7">
        <v>0.379</v>
      </c>
      <c r="AE256" s="7">
        <v>8.57</v>
      </c>
      <c r="AF256" s="7">
        <v>16.914999999999999</v>
      </c>
      <c r="AG256" s="7">
        <v>0</v>
      </c>
      <c r="AH256" s="7">
        <v>10.669</v>
      </c>
      <c r="AI256" s="7">
        <v>2.585</v>
      </c>
      <c r="AJ256" s="7">
        <v>0</v>
      </c>
      <c r="AK256" s="7">
        <v>2.0390000000000001</v>
      </c>
      <c r="AL256" s="7">
        <v>51.72</v>
      </c>
      <c r="AM256" s="7">
        <v>48.29</v>
      </c>
      <c r="AN256" s="7">
        <v>0.93400000000000005</v>
      </c>
      <c r="AO256" s="7">
        <v>26.66</v>
      </c>
      <c r="AP256" s="7">
        <v>5.6989999999999998</v>
      </c>
      <c r="AQ256" s="7">
        <v>19.361000000000001</v>
      </c>
    </row>
    <row r="257" spans="1:43" x14ac:dyDescent="0.25">
      <c r="A257" t="s">
        <v>193</v>
      </c>
      <c r="B257" s="1" t="s">
        <v>840</v>
      </c>
      <c r="C257" t="s">
        <v>283</v>
      </c>
      <c r="D257" s="22" t="s">
        <v>286</v>
      </c>
      <c r="E257" s="21">
        <v>2018</v>
      </c>
      <c r="F257" s="7">
        <v>259.66099931734101</v>
      </c>
      <c r="G257" s="7">
        <v>12.164</v>
      </c>
      <c r="H257" s="7">
        <v>3.7949999999999999</v>
      </c>
      <c r="I257" s="7">
        <v>4.2439999999999998</v>
      </c>
      <c r="J257" s="7">
        <v>1.706</v>
      </c>
      <c r="K257" s="7">
        <v>5.24</v>
      </c>
      <c r="L257" s="7">
        <v>0.219</v>
      </c>
      <c r="M257" s="7">
        <v>3.7280000000000002</v>
      </c>
      <c r="N257" s="7">
        <v>0</v>
      </c>
      <c r="O257" s="7">
        <v>0</v>
      </c>
      <c r="P257" s="7">
        <v>4.7770000000000001</v>
      </c>
      <c r="Q257" s="7">
        <v>1.2529999999999999</v>
      </c>
      <c r="R257" s="7">
        <v>6.4000000000000001E-2</v>
      </c>
      <c r="S257" s="7">
        <v>13.385</v>
      </c>
      <c r="T257" s="7">
        <v>10.09</v>
      </c>
      <c r="U257" s="7">
        <v>9.2539999999999996</v>
      </c>
      <c r="V257" s="7">
        <v>0.52100000000000002</v>
      </c>
      <c r="W257" s="7">
        <v>4.0410000000000004</v>
      </c>
      <c r="X257" s="7">
        <v>5.6959999999999997</v>
      </c>
      <c r="Y257" s="7">
        <v>0.33200000000000002</v>
      </c>
      <c r="Z257" s="7">
        <v>0</v>
      </c>
      <c r="AA257" s="7">
        <v>7.8819999999999997</v>
      </c>
      <c r="AB257" s="7">
        <v>2.153</v>
      </c>
      <c r="AC257" s="7">
        <v>0</v>
      </c>
      <c r="AD257" s="7">
        <v>0.45</v>
      </c>
      <c r="AE257" s="7">
        <v>11.567</v>
      </c>
      <c r="AF257" s="7">
        <v>29.093</v>
      </c>
      <c r="AG257" s="7">
        <v>0</v>
      </c>
      <c r="AH257" s="7">
        <v>14.762</v>
      </c>
      <c r="AI257" s="7">
        <v>0</v>
      </c>
      <c r="AJ257" s="7">
        <v>0</v>
      </c>
      <c r="AK257" s="7">
        <v>2.972</v>
      </c>
      <c r="AL257" s="7">
        <v>80.509</v>
      </c>
      <c r="AM257" s="7">
        <v>65.906999999999996</v>
      </c>
      <c r="AN257" s="7">
        <v>0.81899999999999995</v>
      </c>
      <c r="AO257" s="7">
        <v>44.636000000000003</v>
      </c>
      <c r="AP257" s="7">
        <v>8.5050000000000008</v>
      </c>
      <c r="AQ257" s="7">
        <v>27.367999999999999</v>
      </c>
    </row>
    <row r="258" spans="1:43" x14ac:dyDescent="0.25">
      <c r="A258" t="s">
        <v>194</v>
      </c>
      <c r="B258" s="1" t="s">
        <v>840</v>
      </c>
      <c r="C258" t="s">
        <v>283</v>
      </c>
      <c r="D258" s="22" t="s">
        <v>286</v>
      </c>
      <c r="E258" s="21">
        <v>2018</v>
      </c>
      <c r="F258" s="7">
        <v>282.56877469862701</v>
      </c>
      <c r="G258" s="7">
        <v>13.305</v>
      </c>
      <c r="H258" s="7">
        <v>3.59</v>
      </c>
      <c r="I258" s="7">
        <v>4.476</v>
      </c>
      <c r="J258" s="7">
        <v>1.605</v>
      </c>
      <c r="K258" s="7">
        <v>5.5919999999999996</v>
      </c>
      <c r="L258" s="7">
        <v>0.17399999999999999</v>
      </c>
      <c r="M258" s="7">
        <v>3.4710000000000001</v>
      </c>
      <c r="N258" s="7">
        <v>0</v>
      </c>
      <c r="O258" s="7">
        <v>0</v>
      </c>
      <c r="P258" s="7">
        <v>4.4359999999999999</v>
      </c>
      <c r="Q258" s="7">
        <v>1.389</v>
      </c>
      <c r="R258" s="7">
        <v>0.08</v>
      </c>
      <c r="S258" s="7">
        <v>14.635999999999999</v>
      </c>
      <c r="T258" s="7">
        <v>9.3290000000000006</v>
      </c>
      <c r="U258" s="7">
        <v>9.891</v>
      </c>
      <c r="V258" s="7">
        <v>0.58199999999999996</v>
      </c>
      <c r="W258" s="7">
        <v>4.266</v>
      </c>
      <c r="X258" s="7">
        <v>5.5039999999999996</v>
      </c>
      <c r="Y258" s="7">
        <v>0.255</v>
      </c>
      <c r="Z258" s="7">
        <v>0</v>
      </c>
      <c r="AA258" s="7">
        <v>7.681</v>
      </c>
      <c r="AB258" s="7">
        <v>1.0329999999999999</v>
      </c>
      <c r="AC258" s="7">
        <v>0.81599999999999995</v>
      </c>
      <c r="AD258" s="7">
        <v>0.51700000000000002</v>
      </c>
      <c r="AE258" s="7">
        <v>14.706</v>
      </c>
      <c r="AF258" s="7">
        <v>29.314</v>
      </c>
      <c r="AG258" s="7">
        <v>0</v>
      </c>
      <c r="AH258" s="7">
        <v>16.756</v>
      </c>
      <c r="AI258" s="7">
        <v>4.5839999999999996</v>
      </c>
      <c r="AJ258" s="7">
        <v>0</v>
      </c>
      <c r="AK258" s="7">
        <v>2.9769999999999999</v>
      </c>
      <c r="AL258" s="7">
        <v>82.581000000000003</v>
      </c>
      <c r="AM258" s="7">
        <v>75.406999999999996</v>
      </c>
      <c r="AN258" s="7">
        <v>0.91300000000000003</v>
      </c>
      <c r="AO258" s="7">
        <v>45.932000000000002</v>
      </c>
      <c r="AP258" s="7">
        <v>7.907</v>
      </c>
      <c r="AQ258" s="7">
        <v>28.742000000000001</v>
      </c>
    </row>
    <row r="259" spans="1:43" x14ac:dyDescent="0.25">
      <c r="A259" t="s">
        <v>195</v>
      </c>
      <c r="B259" s="1" t="s">
        <v>840</v>
      </c>
      <c r="C259" t="s">
        <v>283</v>
      </c>
      <c r="D259" s="22" t="s">
        <v>286</v>
      </c>
      <c r="E259" s="21">
        <v>2018</v>
      </c>
      <c r="F259" s="7">
        <v>211.56301016376699</v>
      </c>
      <c r="G259" s="7">
        <v>9.9589999999999996</v>
      </c>
      <c r="H259" s="7">
        <v>3.8170000000000002</v>
      </c>
      <c r="I259" s="7">
        <v>3.12</v>
      </c>
      <c r="J259" s="7">
        <v>1.202</v>
      </c>
      <c r="K259" s="7">
        <v>3.706</v>
      </c>
      <c r="L259" s="7">
        <v>0.35599999999999998</v>
      </c>
      <c r="M259" s="7">
        <v>2.5710000000000002</v>
      </c>
      <c r="N259" s="7">
        <v>0</v>
      </c>
      <c r="O259" s="7">
        <v>0</v>
      </c>
      <c r="P259" s="7">
        <v>4.2450000000000001</v>
      </c>
      <c r="Q259" s="7">
        <v>0.90800000000000003</v>
      </c>
      <c r="R259" s="7">
        <v>5.0999999999999997E-2</v>
      </c>
      <c r="S259" s="7">
        <v>10.208</v>
      </c>
      <c r="T259" s="7">
        <v>5.8979999999999997</v>
      </c>
      <c r="U259" s="7">
        <v>6.9509999999999996</v>
      </c>
      <c r="V259" s="7">
        <v>0.40200000000000002</v>
      </c>
      <c r="W259" s="7">
        <v>3.5</v>
      </c>
      <c r="X259" s="7">
        <v>4.4950000000000001</v>
      </c>
      <c r="Y259" s="7">
        <v>0.35199999999999998</v>
      </c>
      <c r="Z259" s="7">
        <v>0</v>
      </c>
      <c r="AA259" s="7">
        <v>3.9889999999999999</v>
      </c>
      <c r="AB259" s="7">
        <v>0.66800000000000004</v>
      </c>
      <c r="AC259" s="7">
        <v>0.65800000000000003</v>
      </c>
      <c r="AD259" s="7">
        <v>0.49199999999999999</v>
      </c>
      <c r="AE259" s="7">
        <v>8.5180000000000007</v>
      </c>
      <c r="AF259" s="7">
        <v>20.454999999999998</v>
      </c>
      <c r="AG259" s="7">
        <v>0</v>
      </c>
      <c r="AH259" s="7">
        <v>12.313000000000001</v>
      </c>
      <c r="AI259" s="7">
        <v>3.149</v>
      </c>
      <c r="AJ259" s="7">
        <v>0</v>
      </c>
      <c r="AK259" s="7">
        <v>2.3119999999999998</v>
      </c>
      <c r="AL259" s="7">
        <v>61.741</v>
      </c>
      <c r="AM259" s="7">
        <v>50.241999999999997</v>
      </c>
      <c r="AN259" s="7">
        <v>0.81399999999999995</v>
      </c>
      <c r="AO259" s="7">
        <v>32.765000000000001</v>
      </c>
      <c r="AP259" s="7">
        <v>6.8159999999999998</v>
      </c>
      <c r="AQ259" s="7">
        <v>22.16</v>
      </c>
    </row>
    <row r="260" spans="1:43" x14ac:dyDescent="0.25">
      <c r="A260" t="s">
        <v>196</v>
      </c>
      <c r="B260" s="22" t="s">
        <v>837</v>
      </c>
      <c r="C260" t="s">
        <v>283</v>
      </c>
      <c r="D260" s="22" t="s">
        <v>286</v>
      </c>
      <c r="E260" s="21">
        <v>2018</v>
      </c>
      <c r="F260" s="7">
        <v>190.05946012072101</v>
      </c>
      <c r="G260" s="7">
        <v>7.6760000000000002</v>
      </c>
      <c r="H260" s="7">
        <v>1.2829999999999999</v>
      </c>
      <c r="I260" s="7">
        <v>1.484</v>
      </c>
      <c r="J260" s="7">
        <v>1.2509999999999999</v>
      </c>
      <c r="K260" s="7">
        <v>2.468</v>
      </c>
      <c r="L260" s="7">
        <v>0</v>
      </c>
      <c r="M260" s="7">
        <v>1.8149999999999999</v>
      </c>
      <c r="N260" s="7">
        <v>0</v>
      </c>
      <c r="O260" s="7">
        <v>0</v>
      </c>
      <c r="P260" s="7">
        <v>4.6959999999999997</v>
      </c>
      <c r="Q260" s="7">
        <v>0.85899999999999999</v>
      </c>
      <c r="R260" s="7">
        <v>4.4999999999999998E-2</v>
      </c>
      <c r="S260" s="7">
        <v>8.7949999999999999</v>
      </c>
      <c r="T260" s="7">
        <v>5.1040000000000001</v>
      </c>
      <c r="U260" s="7">
        <v>4.6509999999999998</v>
      </c>
      <c r="V260" s="7">
        <v>0.29399999999999998</v>
      </c>
      <c r="W260" s="7">
        <v>2.601</v>
      </c>
      <c r="X260" s="7">
        <v>3.0350000000000001</v>
      </c>
      <c r="Y260" s="7">
        <v>0.187</v>
      </c>
      <c r="Z260" s="7">
        <v>0</v>
      </c>
      <c r="AA260" s="7">
        <v>6.7050000000000001</v>
      </c>
      <c r="AB260" s="7">
        <v>0.54700000000000004</v>
      </c>
      <c r="AC260" s="7">
        <v>0.53700000000000003</v>
      </c>
      <c r="AD260" s="7">
        <v>0.35599999999999998</v>
      </c>
      <c r="AE260" s="7">
        <v>11.15</v>
      </c>
      <c r="AF260" s="7">
        <v>16.588000000000001</v>
      </c>
      <c r="AG260" s="7">
        <v>0</v>
      </c>
      <c r="AH260" s="7">
        <v>12.865</v>
      </c>
      <c r="AI260" s="7">
        <v>4.18</v>
      </c>
      <c r="AJ260" s="7">
        <v>0</v>
      </c>
      <c r="AK260" s="7">
        <v>2.75</v>
      </c>
      <c r="AL260" s="7">
        <v>46.244</v>
      </c>
      <c r="AM260" s="7">
        <v>52.927999999999997</v>
      </c>
      <c r="AN260" s="7">
        <v>1.145</v>
      </c>
      <c r="AO260" s="7">
        <v>25.571000000000002</v>
      </c>
      <c r="AP260" s="7">
        <v>6.5110000000000001</v>
      </c>
      <c r="AQ260" s="7">
        <v>14.162000000000001</v>
      </c>
    </row>
    <row r="261" spans="1:43" x14ac:dyDescent="0.25">
      <c r="A261" t="s">
        <v>197</v>
      </c>
      <c r="B261" s="22" t="s">
        <v>837</v>
      </c>
      <c r="C261" t="s">
        <v>283</v>
      </c>
      <c r="D261" s="22" t="s">
        <v>286</v>
      </c>
      <c r="E261" s="21">
        <v>2018</v>
      </c>
      <c r="F261" s="7">
        <v>177.240936835338</v>
      </c>
      <c r="G261" s="7">
        <v>7.3849999999999998</v>
      </c>
      <c r="H261" s="7">
        <v>1.4259999999999999</v>
      </c>
      <c r="I261" s="7">
        <v>1.5269999999999999</v>
      </c>
      <c r="J261" s="7">
        <v>1.0509999999999999</v>
      </c>
      <c r="K261" s="7">
        <v>2.2440000000000002</v>
      </c>
      <c r="L261" s="7">
        <v>0</v>
      </c>
      <c r="M261" s="7">
        <v>1.9670000000000001</v>
      </c>
      <c r="N261" s="7">
        <v>0</v>
      </c>
      <c r="O261" s="7">
        <v>0</v>
      </c>
      <c r="P261" s="7">
        <v>4.7080000000000002</v>
      </c>
      <c r="Q261" s="7">
        <v>0.82299999999999995</v>
      </c>
      <c r="R261" s="7">
        <v>0</v>
      </c>
      <c r="S261" s="7">
        <v>8.1649999999999991</v>
      </c>
      <c r="T261" s="7">
        <v>5.1479999999999997</v>
      </c>
      <c r="U261" s="7">
        <v>4.3959999999999999</v>
      </c>
      <c r="V261" s="7">
        <v>0.29099999999999998</v>
      </c>
      <c r="W261" s="7">
        <v>2.5790000000000002</v>
      </c>
      <c r="X261" s="7">
        <v>2.996</v>
      </c>
      <c r="Y261" s="7">
        <v>0.157</v>
      </c>
      <c r="Z261" s="7">
        <v>0</v>
      </c>
      <c r="AA261" s="7">
        <v>9.0589999999999993</v>
      </c>
      <c r="AB261" s="7">
        <v>0.49299999999999999</v>
      </c>
      <c r="AC261" s="7">
        <v>0.52400000000000002</v>
      </c>
      <c r="AD261" s="7">
        <v>0.185</v>
      </c>
      <c r="AE261" s="7">
        <v>8.6370000000000005</v>
      </c>
      <c r="AF261" s="7">
        <v>15.122999999999999</v>
      </c>
      <c r="AG261" s="7">
        <v>0</v>
      </c>
      <c r="AH261" s="7">
        <v>13.016999999999999</v>
      </c>
      <c r="AI261" s="7">
        <v>3.0230000000000001</v>
      </c>
      <c r="AJ261" s="7">
        <v>0</v>
      </c>
      <c r="AK261" s="7">
        <v>3.5449999999999999</v>
      </c>
      <c r="AL261" s="7">
        <v>44.863</v>
      </c>
      <c r="AM261" s="7">
        <v>50.061</v>
      </c>
      <c r="AN261" s="7">
        <v>1.1160000000000001</v>
      </c>
      <c r="AO261" s="7">
        <v>24.555</v>
      </c>
      <c r="AP261" s="7">
        <v>6.6749999999999998</v>
      </c>
      <c r="AQ261" s="7">
        <v>13.632999999999999</v>
      </c>
    </row>
    <row r="262" spans="1:43" x14ac:dyDescent="0.25">
      <c r="A262" t="s">
        <v>198</v>
      </c>
      <c r="B262" s="22" t="s">
        <v>837</v>
      </c>
      <c r="C262" t="s">
        <v>283</v>
      </c>
      <c r="D262" s="22" t="s">
        <v>286</v>
      </c>
      <c r="E262" s="21">
        <v>2018</v>
      </c>
      <c r="F262" s="7">
        <v>314.63933206404897</v>
      </c>
      <c r="G262" s="7">
        <v>10.321</v>
      </c>
      <c r="H262" s="7">
        <v>1.86</v>
      </c>
      <c r="I262" s="7">
        <v>2.718</v>
      </c>
      <c r="J262" s="7">
        <v>2.548</v>
      </c>
      <c r="K262" s="7">
        <v>4.79</v>
      </c>
      <c r="L262" s="7">
        <v>0.193</v>
      </c>
      <c r="M262" s="7">
        <v>3.12</v>
      </c>
      <c r="N262" s="7">
        <v>0</v>
      </c>
      <c r="O262" s="7">
        <v>0</v>
      </c>
      <c r="P262" s="7">
        <v>7.4</v>
      </c>
      <c r="Q262" s="7">
        <v>1.855</v>
      </c>
      <c r="R262" s="7">
        <v>6.9000000000000006E-2</v>
      </c>
      <c r="S262" s="7">
        <v>14.042999999999999</v>
      </c>
      <c r="T262" s="7">
        <v>9.7720000000000002</v>
      </c>
      <c r="U262" s="7">
        <v>8.4710000000000001</v>
      </c>
      <c r="V262" s="7">
        <v>0.46</v>
      </c>
      <c r="W262" s="7">
        <v>4.2140000000000004</v>
      </c>
      <c r="X262" s="7">
        <v>5.218</v>
      </c>
      <c r="Y262" s="7">
        <v>0.33700000000000002</v>
      </c>
      <c r="Z262" s="7">
        <v>0</v>
      </c>
      <c r="AA262" s="7">
        <v>11.282</v>
      </c>
      <c r="AB262" s="7">
        <v>0.82699999999999996</v>
      </c>
      <c r="AC262" s="7">
        <v>1.1439999999999999</v>
      </c>
      <c r="AD262" s="7">
        <v>0.44700000000000001</v>
      </c>
      <c r="AE262" s="7">
        <v>18.413</v>
      </c>
      <c r="AF262" s="7">
        <v>26.786000000000001</v>
      </c>
      <c r="AG262" s="7">
        <v>0</v>
      </c>
      <c r="AH262" s="7">
        <v>21.721</v>
      </c>
      <c r="AI262" s="7">
        <v>0</v>
      </c>
      <c r="AJ262" s="7">
        <v>6.625</v>
      </c>
      <c r="AK262" s="7">
        <v>4.09</v>
      </c>
      <c r="AL262" s="7">
        <v>77.388999999999996</v>
      </c>
      <c r="AM262" s="7">
        <v>87.245000000000005</v>
      </c>
      <c r="AN262" s="7">
        <v>1.127</v>
      </c>
      <c r="AO262" s="7">
        <v>44.439</v>
      </c>
      <c r="AP262" s="7">
        <v>10.52</v>
      </c>
      <c r="AQ262" s="7">
        <v>22.43</v>
      </c>
    </row>
    <row r="263" spans="1:43" x14ac:dyDescent="0.25">
      <c r="A263" t="s">
        <v>199</v>
      </c>
      <c r="B263" s="22" t="s">
        <v>837</v>
      </c>
      <c r="C263" t="s">
        <v>283</v>
      </c>
      <c r="D263" s="22" t="s">
        <v>286</v>
      </c>
      <c r="E263" s="21">
        <v>2018</v>
      </c>
      <c r="F263" s="7">
        <v>268.62786719978402</v>
      </c>
      <c r="G263" s="7">
        <v>9.39</v>
      </c>
      <c r="H263" s="7">
        <v>1.9710000000000001</v>
      </c>
      <c r="I263" s="7">
        <v>2.6749999999999998</v>
      </c>
      <c r="J263" s="7">
        <v>1.69</v>
      </c>
      <c r="K263" s="7">
        <v>3.9249999999999998</v>
      </c>
      <c r="L263" s="7">
        <v>0.32800000000000001</v>
      </c>
      <c r="M263" s="7">
        <v>2.6890000000000001</v>
      </c>
      <c r="N263" s="7">
        <v>0</v>
      </c>
      <c r="O263" s="7">
        <v>0</v>
      </c>
      <c r="P263" s="7">
        <v>5.5229999999999997</v>
      </c>
      <c r="Q263" s="7">
        <v>1.5169999999999999</v>
      </c>
      <c r="R263" s="7">
        <v>7.5999999999999998E-2</v>
      </c>
      <c r="S263" s="7">
        <v>12.946999999999999</v>
      </c>
      <c r="T263" s="7">
        <v>9.9369999999999994</v>
      </c>
      <c r="U263" s="7">
        <v>8.4260000000000002</v>
      </c>
      <c r="V263" s="7">
        <v>0.439</v>
      </c>
      <c r="W263" s="7">
        <v>3.7530000000000001</v>
      </c>
      <c r="X263" s="7">
        <v>4.7039999999999997</v>
      </c>
      <c r="Y263" s="7">
        <v>0.32600000000000001</v>
      </c>
      <c r="Z263" s="7">
        <v>0</v>
      </c>
      <c r="AA263" s="7">
        <v>5.3319999999999999</v>
      </c>
      <c r="AB263" s="7">
        <v>0</v>
      </c>
      <c r="AC263" s="7">
        <v>1.754</v>
      </c>
      <c r="AD263" s="7">
        <v>0.72799999999999998</v>
      </c>
      <c r="AE263" s="7">
        <v>11.026</v>
      </c>
      <c r="AF263" s="7">
        <v>20.626999999999999</v>
      </c>
      <c r="AG263" s="7">
        <v>0</v>
      </c>
      <c r="AH263" s="7">
        <v>18.512</v>
      </c>
      <c r="AI263" s="7">
        <v>7.3129999999999997</v>
      </c>
      <c r="AJ263" s="7">
        <v>0</v>
      </c>
      <c r="AK263" s="7">
        <v>2.847</v>
      </c>
      <c r="AL263" s="7">
        <v>70.316000000000003</v>
      </c>
      <c r="AM263" s="7">
        <v>65.292000000000002</v>
      </c>
      <c r="AN263" s="7">
        <v>0.92900000000000005</v>
      </c>
      <c r="AO263" s="7">
        <v>42.125</v>
      </c>
      <c r="AP263" s="7">
        <v>8.2119999999999997</v>
      </c>
      <c r="AQ263" s="7">
        <v>19.978999999999999</v>
      </c>
    </row>
    <row r="264" spans="1:43" x14ac:dyDescent="0.25">
      <c r="A264" t="s">
        <v>200</v>
      </c>
      <c r="B264" s="22" t="s">
        <v>831</v>
      </c>
      <c r="C264" t="s">
        <v>283</v>
      </c>
      <c r="D264" s="22" t="s">
        <v>286</v>
      </c>
      <c r="E264" s="21">
        <v>2018</v>
      </c>
      <c r="F264" s="7">
        <v>253.87799167067101</v>
      </c>
      <c r="G264" s="7">
        <v>7.2220000000000004</v>
      </c>
      <c r="H264" s="7">
        <v>1.208</v>
      </c>
      <c r="I264" s="7">
        <v>2.34</v>
      </c>
      <c r="J264" s="7">
        <v>1.4750000000000001</v>
      </c>
      <c r="K264" s="7">
        <v>2.968</v>
      </c>
      <c r="L264" s="7">
        <v>0.29499999999999998</v>
      </c>
      <c r="M264" s="7">
        <v>2.4620000000000002</v>
      </c>
      <c r="N264" s="7">
        <v>0</v>
      </c>
      <c r="O264" s="7">
        <v>0</v>
      </c>
      <c r="P264" s="7">
        <v>4.3220000000000001</v>
      </c>
      <c r="Q264" s="7">
        <v>1.1000000000000001</v>
      </c>
      <c r="R264" s="7">
        <v>6.6000000000000003E-2</v>
      </c>
      <c r="S264" s="7">
        <v>11.22</v>
      </c>
      <c r="T264" s="7">
        <v>6.4109999999999996</v>
      </c>
      <c r="U264" s="7">
        <v>7.4649999999999999</v>
      </c>
      <c r="V264" s="7">
        <v>0.40899999999999997</v>
      </c>
      <c r="W264" s="7">
        <v>3.2370000000000001</v>
      </c>
      <c r="X264" s="7">
        <v>4.2569999999999997</v>
      </c>
      <c r="Y264" s="7">
        <v>0.29399999999999998</v>
      </c>
      <c r="Z264" s="7">
        <v>0</v>
      </c>
      <c r="AA264" s="7">
        <v>4.4790000000000001</v>
      </c>
      <c r="AB264" s="7">
        <v>0.56699999999999995</v>
      </c>
      <c r="AC264" s="7">
        <v>0.748</v>
      </c>
      <c r="AD264" s="7">
        <v>0.33300000000000002</v>
      </c>
      <c r="AE264" s="7">
        <v>14.945</v>
      </c>
      <c r="AF264" s="7">
        <v>20.901</v>
      </c>
      <c r="AG264" s="7">
        <v>0</v>
      </c>
      <c r="AH264" s="7">
        <v>12.638999999999999</v>
      </c>
      <c r="AI264" s="7">
        <v>5.0090000000000003</v>
      </c>
      <c r="AJ264" s="7">
        <v>0</v>
      </c>
      <c r="AK264" s="7">
        <v>2.1059999999999999</v>
      </c>
      <c r="AL264" s="7">
        <v>56.750999999999998</v>
      </c>
      <c r="AM264" s="7">
        <v>59.621000000000002</v>
      </c>
      <c r="AN264" s="7">
        <v>1.0509999999999999</v>
      </c>
      <c r="AO264" s="7">
        <v>34.459000000000003</v>
      </c>
      <c r="AP264" s="7">
        <v>6.7839999999999998</v>
      </c>
      <c r="AQ264" s="7">
        <v>15.507999999999999</v>
      </c>
    </row>
    <row r="265" spans="1:43" x14ac:dyDescent="0.25">
      <c r="A265" t="s">
        <v>201</v>
      </c>
      <c r="B265" s="22" t="s">
        <v>831</v>
      </c>
      <c r="C265" t="s">
        <v>283</v>
      </c>
      <c r="D265" s="22" t="s">
        <v>286</v>
      </c>
      <c r="E265" s="21">
        <v>2018</v>
      </c>
      <c r="F265" s="7">
        <v>421.76201073081103</v>
      </c>
      <c r="G265" s="7">
        <v>12.494999999999999</v>
      </c>
      <c r="H265" s="7">
        <v>1.9690000000000001</v>
      </c>
      <c r="I265" s="7">
        <v>4.0119999999999996</v>
      </c>
      <c r="J265" s="7">
        <v>3.1669999999999998</v>
      </c>
      <c r="K265" s="7">
        <v>5.83</v>
      </c>
      <c r="L265" s="7">
        <v>0.23200000000000001</v>
      </c>
      <c r="M265" s="7">
        <v>4.1790000000000003</v>
      </c>
      <c r="N265" s="7">
        <v>0</v>
      </c>
      <c r="O265" s="7">
        <v>0</v>
      </c>
      <c r="P265" s="7">
        <v>8.9649999999999999</v>
      </c>
      <c r="Q265" s="7">
        <v>2.456</v>
      </c>
      <c r="R265" s="7">
        <v>0.115</v>
      </c>
      <c r="S265" s="7">
        <v>19.635000000000002</v>
      </c>
      <c r="T265" s="7">
        <v>12.012</v>
      </c>
      <c r="U265" s="7">
        <v>12.166</v>
      </c>
      <c r="V265" s="7">
        <v>0.67300000000000004</v>
      </c>
      <c r="W265" s="7">
        <v>5.8940000000000001</v>
      </c>
      <c r="X265" s="7">
        <v>7.024</v>
      </c>
      <c r="Y265" s="7">
        <v>0.78300000000000003</v>
      </c>
      <c r="Z265" s="7">
        <v>0</v>
      </c>
      <c r="AA265" s="7">
        <v>11.519</v>
      </c>
      <c r="AB265" s="7">
        <v>0.83299999999999996</v>
      </c>
      <c r="AC265" s="7">
        <v>1.696</v>
      </c>
      <c r="AD265" s="7">
        <v>0.76</v>
      </c>
      <c r="AE265" s="7">
        <v>23.373000000000001</v>
      </c>
      <c r="AF265" s="7">
        <v>41.804000000000002</v>
      </c>
      <c r="AG265" s="7">
        <v>0</v>
      </c>
      <c r="AH265" s="7">
        <v>25.387</v>
      </c>
      <c r="AI265" s="7">
        <v>0</v>
      </c>
      <c r="AJ265" s="7">
        <v>9.5809999999999995</v>
      </c>
      <c r="AK265" s="7">
        <v>2.5390000000000001</v>
      </c>
      <c r="AL265" s="7">
        <v>101.607</v>
      </c>
      <c r="AM265" s="7">
        <v>114.953</v>
      </c>
      <c r="AN265" s="7">
        <v>1.131</v>
      </c>
      <c r="AO265" s="7">
        <v>60.758000000000003</v>
      </c>
      <c r="AP265" s="7">
        <v>13.144</v>
      </c>
      <c r="AQ265" s="7">
        <v>27.704999999999998</v>
      </c>
    </row>
    <row r="266" spans="1:43" x14ac:dyDescent="0.25">
      <c r="A266" t="s">
        <v>202</v>
      </c>
      <c r="B266" s="22" t="s">
        <v>831</v>
      </c>
      <c r="C266" t="s">
        <v>283</v>
      </c>
      <c r="D266" s="22" t="s">
        <v>286</v>
      </c>
      <c r="E266" s="21">
        <v>2018</v>
      </c>
      <c r="F266" s="7">
        <v>179.871260338312</v>
      </c>
      <c r="G266" s="7">
        <v>6.24</v>
      </c>
      <c r="H266" s="7">
        <v>1.125</v>
      </c>
      <c r="I266" s="7">
        <v>1.748</v>
      </c>
      <c r="J266" s="7">
        <v>0.81899999999999995</v>
      </c>
      <c r="K266" s="7">
        <v>2.19</v>
      </c>
      <c r="L266" s="7">
        <v>0</v>
      </c>
      <c r="M266" s="7">
        <v>1.6819999999999999</v>
      </c>
      <c r="N266" s="7">
        <v>0</v>
      </c>
      <c r="O266" s="7">
        <v>0</v>
      </c>
      <c r="P266" s="7">
        <v>3.798</v>
      </c>
      <c r="Q266" s="7">
        <v>0.746</v>
      </c>
      <c r="R266" s="7">
        <v>3.6999999999999998E-2</v>
      </c>
      <c r="S266" s="7">
        <v>8.1039999999999992</v>
      </c>
      <c r="T266" s="7">
        <v>4.4939999999999998</v>
      </c>
      <c r="U266" s="7">
        <v>4.5650000000000004</v>
      </c>
      <c r="V266" s="7">
        <v>0.27600000000000002</v>
      </c>
      <c r="W266" s="7">
        <v>2.5609999999999999</v>
      </c>
      <c r="X266" s="7">
        <v>2.891</v>
      </c>
      <c r="Y266" s="7">
        <v>0.24199999999999999</v>
      </c>
      <c r="Z266" s="7">
        <v>0</v>
      </c>
      <c r="AA266" s="7">
        <v>5.4119999999999999</v>
      </c>
      <c r="AB266" s="7">
        <v>0.45600000000000002</v>
      </c>
      <c r="AC266" s="7">
        <v>0.56499999999999995</v>
      </c>
      <c r="AD266" s="7">
        <v>0.26800000000000002</v>
      </c>
      <c r="AE266" s="7">
        <v>8.6509999999999998</v>
      </c>
      <c r="AF266" s="7">
        <v>17.045999999999999</v>
      </c>
      <c r="AG266" s="7">
        <v>0</v>
      </c>
      <c r="AH266" s="7">
        <v>9.6129999999999995</v>
      </c>
      <c r="AI266" s="7">
        <v>0</v>
      </c>
      <c r="AJ266" s="7">
        <v>3.6619999999999999</v>
      </c>
      <c r="AK266" s="7">
        <v>4.3959999999999999</v>
      </c>
      <c r="AL266" s="7">
        <v>41.518000000000001</v>
      </c>
      <c r="AM266" s="7">
        <v>45.673000000000002</v>
      </c>
      <c r="AN266" s="7">
        <v>1.1000000000000001</v>
      </c>
      <c r="AO266" s="7">
        <v>23.916</v>
      </c>
      <c r="AP266" s="7">
        <v>5.48</v>
      </c>
      <c r="AQ266" s="7">
        <v>12.122</v>
      </c>
    </row>
    <row r="267" spans="1:43" x14ac:dyDescent="0.25">
      <c r="A267" t="s">
        <v>203</v>
      </c>
      <c r="B267" s="22" t="s">
        <v>831</v>
      </c>
      <c r="C267" t="s">
        <v>283</v>
      </c>
      <c r="D267" s="22" t="s">
        <v>286</v>
      </c>
      <c r="E267" s="21">
        <v>2018</v>
      </c>
      <c r="F267" s="7">
        <v>157.458013976492</v>
      </c>
      <c r="G267" s="7">
        <v>5.43</v>
      </c>
      <c r="H267" s="7">
        <v>1.208</v>
      </c>
      <c r="I267" s="7">
        <v>1.8640000000000001</v>
      </c>
      <c r="J267" s="7">
        <v>0.77200000000000002</v>
      </c>
      <c r="K267" s="7">
        <v>2.2349999999999999</v>
      </c>
      <c r="L267" s="7">
        <v>0</v>
      </c>
      <c r="M267" s="7">
        <v>1.6759999999999999</v>
      </c>
      <c r="N267" s="7">
        <v>0</v>
      </c>
      <c r="O267" s="7">
        <v>0</v>
      </c>
      <c r="P267" s="7">
        <v>4.0149999999999997</v>
      </c>
      <c r="Q267" s="7">
        <v>0.68799999999999994</v>
      </c>
      <c r="R267" s="7">
        <v>5.1999999999999998E-2</v>
      </c>
      <c r="S267" s="7">
        <v>7.4980000000000002</v>
      </c>
      <c r="T267" s="7">
        <v>4.2629999999999999</v>
      </c>
      <c r="U267" s="7">
        <v>4.9710000000000001</v>
      </c>
      <c r="V267" s="7">
        <v>0.26500000000000001</v>
      </c>
      <c r="W267" s="7">
        <v>2.4260000000000002</v>
      </c>
      <c r="X267" s="7">
        <v>2.778</v>
      </c>
      <c r="Y267" s="7">
        <v>0.20599999999999999</v>
      </c>
      <c r="Z267" s="7">
        <v>0</v>
      </c>
      <c r="AA267" s="7">
        <v>3.222</v>
      </c>
      <c r="AB267" s="7">
        <v>0.41099999999999998</v>
      </c>
      <c r="AC267" s="7">
        <v>0.502</v>
      </c>
      <c r="AD267" s="7">
        <v>0.33500000000000002</v>
      </c>
      <c r="AE267" s="7">
        <v>6.2519999999999998</v>
      </c>
      <c r="AF267" s="7">
        <v>14.108000000000001</v>
      </c>
      <c r="AG267" s="7">
        <v>0</v>
      </c>
      <c r="AH267" s="7">
        <v>8.2240000000000002</v>
      </c>
      <c r="AI267" s="7">
        <v>3.859</v>
      </c>
      <c r="AJ267" s="7">
        <v>0</v>
      </c>
      <c r="AK267" s="7">
        <v>1.135</v>
      </c>
      <c r="AL267" s="7">
        <v>40.347000000000001</v>
      </c>
      <c r="AM267" s="7">
        <v>36.912999999999997</v>
      </c>
      <c r="AN267" s="7">
        <v>0.91500000000000004</v>
      </c>
      <c r="AO267" s="7">
        <v>23.146999999999998</v>
      </c>
      <c r="AP267" s="7">
        <v>5.6909999999999998</v>
      </c>
      <c r="AQ267" s="7">
        <v>11.509</v>
      </c>
    </row>
    <row r="268" spans="1:43" x14ac:dyDescent="0.25">
      <c r="A268" t="s">
        <v>204</v>
      </c>
      <c r="B268" s="22" t="s">
        <v>838</v>
      </c>
      <c r="C268" t="s">
        <v>283</v>
      </c>
      <c r="D268" s="22" t="s">
        <v>286</v>
      </c>
      <c r="E268" s="21">
        <v>2018</v>
      </c>
      <c r="F268" s="7">
        <v>212.65259559593201</v>
      </c>
      <c r="G268" s="7">
        <v>7.5709999999999997</v>
      </c>
      <c r="H268" s="7">
        <v>1.2470000000000001</v>
      </c>
      <c r="I268" s="7">
        <v>2.1850000000000001</v>
      </c>
      <c r="J268" s="7">
        <v>1.37</v>
      </c>
      <c r="K268" s="7">
        <v>2.5880000000000001</v>
      </c>
      <c r="L268" s="7">
        <v>0.28699999999999998</v>
      </c>
      <c r="M268" s="7">
        <v>2.2719999999999998</v>
      </c>
      <c r="N268" s="7">
        <v>0</v>
      </c>
      <c r="O268" s="7">
        <v>0</v>
      </c>
      <c r="P268" s="7">
        <v>4.6280000000000001</v>
      </c>
      <c r="Q268" s="7">
        <v>0.96199999999999997</v>
      </c>
      <c r="R268" s="7">
        <v>6.6000000000000003E-2</v>
      </c>
      <c r="S268" s="7">
        <v>8.8330000000000002</v>
      </c>
      <c r="T268" s="7">
        <v>5.3769999999999998</v>
      </c>
      <c r="U268" s="7">
        <v>5.5119999999999996</v>
      </c>
      <c r="V268" s="7">
        <v>0.49099999999999999</v>
      </c>
      <c r="W268" s="7">
        <v>3.17</v>
      </c>
      <c r="X268" s="7">
        <v>3.7229999999999999</v>
      </c>
      <c r="Y268" s="7">
        <v>0.307</v>
      </c>
      <c r="Z268" s="7">
        <v>0</v>
      </c>
      <c r="AA268" s="7">
        <v>11.15</v>
      </c>
      <c r="AB268" s="7">
        <v>0.89700000000000002</v>
      </c>
      <c r="AC268" s="7">
        <v>0.754</v>
      </c>
      <c r="AD268" s="7">
        <v>0.441</v>
      </c>
      <c r="AE268" s="7">
        <v>9.3360000000000003</v>
      </c>
      <c r="AF268" s="7">
        <v>17.739000000000001</v>
      </c>
      <c r="AG268" s="7">
        <v>0</v>
      </c>
      <c r="AH268" s="7">
        <v>14.185</v>
      </c>
      <c r="AI268" s="7">
        <v>0</v>
      </c>
      <c r="AJ268" s="7">
        <v>3.5950000000000002</v>
      </c>
      <c r="AK268" s="7">
        <v>2.7429999999999999</v>
      </c>
      <c r="AL268" s="7">
        <v>50.588999999999999</v>
      </c>
      <c r="AM268" s="7">
        <v>58.097000000000001</v>
      </c>
      <c r="AN268" s="7">
        <v>1.1479999999999999</v>
      </c>
      <c r="AO268" s="7">
        <v>28.440999999999999</v>
      </c>
      <c r="AP268" s="7">
        <v>6.9</v>
      </c>
      <c r="AQ268" s="7">
        <v>15.247999999999999</v>
      </c>
    </row>
    <row r="269" spans="1:43" x14ac:dyDescent="0.25">
      <c r="A269" t="s">
        <v>205</v>
      </c>
      <c r="B269" s="22" t="s">
        <v>838</v>
      </c>
      <c r="C269" t="s">
        <v>283</v>
      </c>
      <c r="D269" s="22" t="s">
        <v>286</v>
      </c>
      <c r="E269" s="21">
        <v>2018</v>
      </c>
      <c r="F269" s="7">
        <v>172.05300715249001</v>
      </c>
      <c r="G269" s="7">
        <v>6.2409999999999997</v>
      </c>
      <c r="H269" s="7">
        <v>0.83699999999999997</v>
      </c>
      <c r="I269" s="7">
        <v>1.3340000000000001</v>
      </c>
      <c r="J269" s="7">
        <v>0.92</v>
      </c>
      <c r="K269" s="7">
        <v>2.1360000000000001</v>
      </c>
      <c r="L269" s="7">
        <v>0</v>
      </c>
      <c r="M269" s="7">
        <v>1.75</v>
      </c>
      <c r="N269" s="7">
        <v>0</v>
      </c>
      <c r="O269" s="7">
        <v>0</v>
      </c>
      <c r="P269" s="7">
        <v>3.56</v>
      </c>
      <c r="Q269" s="7">
        <v>0.88800000000000001</v>
      </c>
      <c r="R269" s="7">
        <v>5.1999999999999998E-2</v>
      </c>
      <c r="S269" s="7">
        <v>7.5259999999999998</v>
      </c>
      <c r="T269" s="7">
        <v>4.327</v>
      </c>
      <c r="U269" s="7">
        <v>4.0179999999999998</v>
      </c>
      <c r="V269" s="7">
        <v>0.31900000000000001</v>
      </c>
      <c r="W269" s="7">
        <v>2.4039999999999999</v>
      </c>
      <c r="X269" s="7">
        <v>2.673</v>
      </c>
      <c r="Y269" s="7">
        <v>0.17</v>
      </c>
      <c r="Z269" s="7">
        <v>0</v>
      </c>
      <c r="AA269" s="7">
        <v>7.5309999999999997</v>
      </c>
      <c r="AB269" s="7">
        <v>0.56599999999999995</v>
      </c>
      <c r="AC269" s="7">
        <v>0.46899999999999997</v>
      </c>
      <c r="AD269" s="7">
        <v>0.251</v>
      </c>
      <c r="AE269" s="7">
        <v>7.3289999999999997</v>
      </c>
      <c r="AF269" s="7">
        <v>15.189</v>
      </c>
      <c r="AG269" s="7">
        <v>0</v>
      </c>
      <c r="AH269" s="7">
        <v>13.409000000000001</v>
      </c>
      <c r="AI269" s="7">
        <v>0</v>
      </c>
      <c r="AJ269" s="7">
        <v>3.0779999999999998</v>
      </c>
      <c r="AK269" s="7">
        <v>2.1909999999999998</v>
      </c>
      <c r="AL269" s="7">
        <v>39.155000000000001</v>
      </c>
      <c r="AM269" s="7">
        <v>47.822000000000003</v>
      </c>
      <c r="AN269" s="7">
        <v>1.2210000000000001</v>
      </c>
      <c r="AO269" s="7">
        <v>22.376999999999999</v>
      </c>
      <c r="AP269" s="7">
        <v>5.31</v>
      </c>
      <c r="AQ269" s="7">
        <v>11.468</v>
      </c>
    </row>
    <row r="270" spans="1:43" x14ac:dyDescent="0.25">
      <c r="A270" t="s">
        <v>206</v>
      </c>
      <c r="B270" s="22" t="s">
        <v>838</v>
      </c>
      <c r="C270" t="s">
        <v>283</v>
      </c>
      <c r="D270" s="22" t="s">
        <v>286</v>
      </c>
      <c r="E270" s="21">
        <v>2018</v>
      </c>
      <c r="F270" s="7">
        <v>211.088435385308</v>
      </c>
      <c r="G270" s="7">
        <v>7.343</v>
      </c>
      <c r="H270" s="7">
        <v>1</v>
      </c>
      <c r="I270" s="7">
        <v>1.847</v>
      </c>
      <c r="J270" s="7">
        <v>1.5429999999999999</v>
      </c>
      <c r="K270" s="7">
        <v>2.4420000000000002</v>
      </c>
      <c r="L270" s="7">
        <v>0</v>
      </c>
      <c r="M270" s="7">
        <v>2.177</v>
      </c>
      <c r="N270" s="7">
        <v>0</v>
      </c>
      <c r="O270" s="7">
        <v>0</v>
      </c>
      <c r="P270" s="7">
        <v>4.3899999999999997</v>
      </c>
      <c r="Q270" s="7">
        <v>1.131</v>
      </c>
      <c r="R270" s="7">
        <v>0</v>
      </c>
      <c r="S270" s="7">
        <v>9.0749999999999993</v>
      </c>
      <c r="T270" s="7">
        <v>5.9290000000000003</v>
      </c>
      <c r="U270" s="7">
        <v>5.34</v>
      </c>
      <c r="V270" s="7">
        <v>0.33700000000000002</v>
      </c>
      <c r="W270" s="7">
        <v>2.9529999999999998</v>
      </c>
      <c r="X270" s="7">
        <v>3.5630000000000002</v>
      </c>
      <c r="Y270" s="7">
        <v>0.17299999999999999</v>
      </c>
      <c r="Z270" s="7">
        <v>0</v>
      </c>
      <c r="AA270" s="7">
        <v>9.1519999999999992</v>
      </c>
      <c r="AB270" s="7">
        <v>0.60299999999999998</v>
      </c>
      <c r="AC270" s="7">
        <v>0.71899999999999997</v>
      </c>
      <c r="AD270" s="7">
        <v>0.39700000000000002</v>
      </c>
      <c r="AE270" s="7">
        <v>10.701000000000001</v>
      </c>
      <c r="AF270" s="7">
        <v>18.641999999999999</v>
      </c>
      <c r="AG270" s="7">
        <v>0</v>
      </c>
      <c r="AH270" s="7">
        <v>15.852</v>
      </c>
      <c r="AI270" s="7">
        <v>3.3610000000000002</v>
      </c>
      <c r="AJ270" s="7">
        <v>0</v>
      </c>
      <c r="AK270" s="7">
        <v>3.2850000000000001</v>
      </c>
      <c r="AL270" s="7">
        <v>49.243000000000002</v>
      </c>
      <c r="AM270" s="7">
        <v>59.427</v>
      </c>
      <c r="AN270" s="7">
        <v>1.2070000000000001</v>
      </c>
      <c r="AO270" s="7">
        <v>28.501000000000001</v>
      </c>
      <c r="AP270" s="7">
        <v>6.5670000000000002</v>
      </c>
      <c r="AQ270" s="7">
        <v>14.175000000000001</v>
      </c>
    </row>
    <row r="271" spans="1:43" x14ac:dyDescent="0.25">
      <c r="A271" t="s">
        <v>207</v>
      </c>
      <c r="B271" s="22" t="s">
        <v>838</v>
      </c>
      <c r="C271" t="s">
        <v>283</v>
      </c>
      <c r="D271" s="22" t="s">
        <v>286</v>
      </c>
      <c r="E271" s="21">
        <v>2018</v>
      </c>
      <c r="F271" s="7">
        <v>346.39247659279198</v>
      </c>
      <c r="G271" s="7">
        <v>9.32</v>
      </c>
      <c r="H271" s="7">
        <v>1.1990000000000001</v>
      </c>
      <c r="I271" s="7">
        <v>2.95</v>
      </c>
      <c r="J271" s="7">
        <v>2.0019999999999998</v>
      </c>
      <c r="K271" s="7">
        <v>4.7009999999999996</v>
      </c>
      <c r="L271" s="7">
        <v>0.223</v>
      </c>
      <c r="M271" s="7">
        <v>2.9729999999999999</v>
      </c>
      <c r="N271" s="7">
        <v>0</v>
      </c>
      <c r="O271" s="7">
        <v>0</v>
      </c>
      <c r="P271" s="7">
        <v>4.9720000000000004</v>
      </c>
      <c r="Q271" s="7">
        <v>1.7470000000000001</v>
      </c>
      <c r="R271" s="7">
        <v>0.09</v>
      </c>
      <c r="S271" s="7">
        <v>13.223000000000001</v>
      </c>
      <c r="T271" s="7">
        <v>9.1989999999999998</v>
      </c>
      <c r="U271" s="7">
        <v>8.6969999999999992</v>
      </c>
      <c r="V271" s="7">
        <v>0.54100000000000004</v>
      </c>
      <c r="W271" s="7">
        <v>4.5860000000000003</v>
      </c>
      <c r="X271" s="7">
        <v>5.5339999999999998</v>
      </c>
      <c r="Y271" s="7">
        <v>0.375</v>
      </c>
      <c r="Z271" s="7">
        <v>0</v>
      </c>
      <c r="AA271" s="7">
        <v>16.248000000000001</v>
      </c>
      <c r="AB271" s="7">
        <v>0.79500000000000004</v>
      </c>
      <c r="AC271" s="7">
        <v>1.446</v>
      </c>
      <c r="AD271" s="7">
        <v>0.71399999999999997</v>
      </c>
      <c r="AE271" s="7">
        <v>14.432</v>
      </c>
      <c r="AF271" s="7">
        <v>32.640999999999998</v>
      </c>
      <c r="AG271" s="7">
        <v>0</v>
      </c>
      <c r="AH271" s="7">
        <v>28.268999999999998</v>
      </c>
      <c r="AI271" s="7">
        <v>0</v>
      </c>
      <c r="AJ271" s="7">
        <v>5.7160000000000002</v>
      </c>
      <c r="AK271" s="7">
        <v>3.8439999999999999</v>
      </c>
      <c r="AL271" s="7">
        <v>72.331999999999994</v>
      </c>
      <c r="AM271" s="7">
        <v>100.261</v>
      </c>
      <c r="AN271" s="7">
        <v>1.3859999999999999</v>
      </c>
      <c r="AO271" s="7">
        <v>43.991999999999997</v>
      </c>
      <c r="AP271" s="7">
        <v>7.9450000000000003</v>
      </c>
      <c r="AQ271" s="7">
        <v>20.395</v>
      </c>
    </row>
    <row r="272" spans="1:43" x14ac:dyDescent="0.25">
      <c r="A272" t="s">
        <v>208</v>
      </c>
      <c r="B272" s="22" t="s">
        <v>836</v>
      </c>
      <c r="C272" t="s">
        <v>283</v>
      </c>
      <c r="D272" s="22" t="s">
        <v>283</v>
      </c>
      <c r="E272" s="21">
        <v>2018</v>
      </c>
      <c r="F272" s="7">
        <v>56.868907713507497</v>
      </c>
      <c r="G272" s="7">
        <v>3.1669999999999998</v>
      </c>
      <c r="H272" s="7">
        <v>0.67500000000000004</v>
      </c>
      <c r="I272" s="7">
        <v>0.437</v>
      </c>
      <c r="J272" s="7">
        <v>0.22500000000000001</v>
      </c>
      <c r="K272" s="7">
        <v>0.64100000000000001</v>
      </c>
      <c r="L272" s="7">
        <v>0</v>
      </c>
      <c r="M272" s="7">
        <v>0.71899999999999997</v>
      </c>
      <c r="N272" s="7">
        <v>0.104</v>
      </c>
      <c r="O272" s="7">
        <v>0</v>
      </c>
      <c r="P272" s="7">
        <v>1.5489999999999999</v>
      </c>
      <c r="Q272" s="7">
        <v>0.24299999999999999</v>
      </c>
      <c r="R272" s="7">
        <v>3.9E-2</v>
      </c>
      <c r="S272" s="7">
        <v>2.6890000000000001</v>
      </c>
      <c r="T272" s="7">
        <v>1.38</v>
      </c>
      <c r="U272" s="7">
        <v>1.6459999999999999</v>
      </c>
      <c r="V272" s="7">
        <v>8.2000000000000003E-2</v>
      </c>
      <c r="W272" s="7">
        <v>1.0720000000000001</v>
      </c>
      <c r="X272" s="7">
        <v>1.0980000000000001</v>
      </c>
      <c r="Y272" s="7">
        <v>6.6000000000000003E-2</v>
      </c>
      <c r="Z272" s="7">
        <v>0</v>
      </c>
      <c r="AA272" s="7">
        <v>1.208</v>
      </c>
      <c r="AB272" s="7">
        <v>0.46600000000000003</v>
      </c>
      <c r="AC272" s="7">
        <v>0.21099999999999999</v>
      </c>
      <c r="AD272" s="7">
        <v>6.4000000000000001E-2</v>
      </c>
      <c r="AE272" s="7">
        <v>1.835</v>
      </c>
      <c r="AF272" s="7">
        <v>3.738</v>
      </c>
      <c r="AG272" s="7">
        <v>0</v>
      </c>
      <c r="AH272" s="7">
        <v>2.7229999999999999</v>
      </c>
      <c r="AI272" s="7">
        <v>0.99199999999999999</v>
      </c>
      <c r="AJ272" s="7">
        <v>0</v>
      </c>
      <c r="AK272" s="7">
        <v>1.663</v>
      </c>
      <c r="AL272" s="7">
        <v>15.832000000000001</v>
      </c>
      <c r="AM272" s="7">
        <v>11.237</v>
      </c>
      <c r="AN272" s="7">
        <v>0.71</v>
      </c>
      <c r="AO272" s="7">
        <v>8.3149999999999995</v>
      </c>
      <c r="AP272" s="7">
        <v>2.3719999999999999</v>
      </c>
      <c r="AQ272" s="7">
        <v>5.1449999999999996</v>
      </c>
    </row>
    <row r="273" spans="1:43" x14ac:dyDescent="0.25">
      <c r="A273" t="s">
        <v>209</v>
      </c>
      <c r="B273" s="22" t="s">
        <v>836</v>
      </c>
      <c r="C273" t="s">
        <v>283</v>
      </c>
      <c r="D273" s="22" t="s">
        <v>283</v>
      </c>
      <c r="E273" s="21">
        <v>2018</v>
      </c>
      <c r="F273" s="7">
        <v>73.2041518424044</v>
      </c>
      <c r="G273" s="7">
        <v>3.923</v>
      </c>
      <c r="H273" s="7">
        <v>0.68799999999999994</v>
      </c>
      <c r="I273" s="7">
        <v>0.67</v>
      </c>
      <c r="J273" s="7">
        <v>0.38300000000000001</v>
      </c>
      <c r="K273" s="7">
        <v>0.86699999999999999</v>
      </c>
      <c r="L273" s="7">
        <v>0</v>
      </c>
      <c r="M273" s="7">
        <v>1.0189999999999999</v>
      </c>
      <c r="N273" s="7">
        <v>0.27400000000000002</v>
      </c>
      <c r="O273" s="7">
        <v>0</v>
      </c>
      <c r="P273" s="7">
        <v>1.9</v>
      </c>
      <c r="Q273" s="7">
        <v>0.33300000000000002</v>
      </c>
      <c r="R273" s="7">
        <v>5.3999999999999999E-2</v>
      </c>
      <c r="S273" s="7">
        <v>3.6680000000000001</v>
      </c>
      <c r="T273" s="7">
        <v>1.8959999999999999</v>
      </c>
      <c r="U273" s="7">
        <v>2.2120000000000002</v>
      </c>
      <c r="V273" s="7">
        <v>0.14099999999999999</v>
      </c>
      <c r="W273" s="7">
        <v>1.3759999999999999</v>
      </c>
      <c r="X273" s="7">
        <v>1.456</v>
      </c>
      <c r="Y273" s="7">
        <v>7.3999999999999996E-2</v>
      </c>
      <c r="Z273" s="7">
        <v>0</v>
      </c>
      <c r="AA273" s="7">
        <v>1.946</v>
      </c>
      <c r="AB273" s="7">
        <v>0.41499999999999998</v>
      </c>
      <c r="AC273" s="7">
        <v>0.29299999999999998</v>
      </c>
      <c r="AD273" s="7">
        <v>6.8000000000000005E-2</v>
      </c>
      <c r="AE273" s="7">
        <v>3.077</v>
      </c>
      <c r="AF273" s="7">
        <v>5.3470000000000004</v>
      </c>
      <c r="AG273" s="7">
        <v>0</v>
      </c>
      <c r="AH273" s="7">
        <v>4.37</v>
      </c>
      <c r="AI273" s="7">
        <v>1.5649999999999999</v>
      </c>
      <c r="AJ273" s="7">
        <v>0</v>
      </c>
      <c r="AK273" s="7">
        <v>0.52300000000000002</v>
      </c>
      <c r="AL273" s="7">
        <v>20.934000000000001</v>
      </c>
      <c r="AM273" s="7">
        <v>17.081</v>
      </c>
      <c r="AN273" s="7">
        <v>0.81599999999999995</v>
      </c>
      <c r="AO273" s="7">
        <v>11.21</v>
      </c>
      <c r="AP273" s="7">
        <v>3.1930000000000001</v>
      </c>
      <c r="AQ273" s="7">
        <v>6.5309999999999997</v>
      </c>
    </row>
    <row r="274" spans="1:43" x14ac:dyDescent="0.25">
      <c r="A274" t="s">
        <v>210</v>
      </c>
      <c r="B274" s="22" t="s">
        <v>836</v>
      </c>
      <c r="C274" t="s">
        <v>283</v>
      </c>
      <c r="D274" s="22" t="s">
        <v>283</v>
      </c>
      <c r="E274" s="21">
        <v>2018</v>
      </c>
      <c r="F274" s="7">
        <v>55.988494290971701</v>
      </c>
      <c r="G274" s="7">
        <v>2.6070000000000002</v>
      </c>
      <c r="H274" s="7">
        <v>0.42</v>
      </c>
      <c r="I274" s="7">
        <v>0.501</v>
      </c>
      <c r="J274" s="7">
        <v>0.22800000000000001</v>
      </c>
      <c r="K274" s="7">
        <v>0.68500000000000005</v>
      </c>
      <c r="L274" s="7">
        <v>0.14599999999999999</v>
      </c>
      <c r="M274" s="7">
        <v>0.74099999999999999</v>
      </c>
      <c r="N274" s="7">
        <v>0</v>
      </c>
      <c r="O274" s="7">
        <v>0</v>
      </c>
      <c r="P274" s="7">
        <v>1.37</v>
      </c>
      <c r="Q274" s="7">
        <v>0.28000000000000003</v>
      </c>
      <c r="R274" s="7">
        <v>0</v>
      </c>
      <c r="S274" s="7">
        <v>2.5089999999999999</v>
      </c>
      <c r="T274" s="7">
        <v>1.5669999999999999</v>
      </c>
      <c r="U274" s="7">
        <v>1.7330000000000001</v>
      </c>
      <c r="V274" s="7">
        <v>0.108</v>
      </c>
      <c r="W274" s="7">
        <v>0.95499999999999996</v>
      </c>
      <c r="X274" s="7">
        <v>1.151</v>
      </c>
      <c r="Y274" s="7">
        <v>9.0999999999999998E-2</v>
      </c>
      <c r="Z274" s="7">
        <v>0</v>
      </c>
      <c r="AA274" s="7">
        <v>1.3440000000000001</v>
      </c>
      <c r="AB274" s="7">
        <v>0.54400000000000004</v>
      </c>
      <c r="AC274" s="7">
        <v>0.24199999999999999</v>
      </c>
      <c r="AD274" s="7">
        <v>5.8000000000000003E-2</v>
      </c>
      <c r="AE274" s="7">
        <v>1.7829999999999999</v>
      </c>
      <c r="AF274" s="7">
        <v>4.54</v>
      </c>
      <c r="AG274" s="7">
        <v>0</v>
      </c>
      <c r="AH274" s="7">
        <v>3.5579999999999998</v>
      </c>
      <c r="AI274" s="7">
        <v>1.262</v>
      </c>
      <c r="AJ274" s="7">
        <v>0</v>
      </c>
      <c r="AK274" s="7">
        <v>0.56200000000000006</v>
      </c>
      <c r="AL274" s="7">
        <v>15.092000000000001</v>
      </c>
      <c r="AM274" s="7">
        <v>13.331</v>
      </c>
      <c r="AN274" s="7">
        <v>0.88300000000000001</v>
      </c>
      <c r="AO274" s="7">
        <v>8.3940000000000001</v>
      </c>
      <c r="AP274" s="7">
        <v>2.1110000000000002</v>
      </c>
      <c r="AQ274" s="7">
        <v>4.5869999999999997</v>
      </c>
    </row>
    <row r="275" spans="1:43" x14ac:dyDescent="0.25">
      <c r="A275" t="s">
        <v>211</v>
      </c>
      <c r="B275" s="22" t="s">
        <v>836</v>
      </c>
      <c r="C275" t="s">
        <v>283</v>
      </c>
      <c r="D275" s="22" t="s">
        <v>283</v>
      </c>
      <c r="E275" s="21">
        <v>2018</v>
      </c>
      <c r="F275" s="7">
        <v>64.763447491992693</v>
      </c>
      <c r="G275" s="7">
        <v>3.133</v>
      </c>
      <c r="H275" s="7">
        <v>0.45400000000000001</v>
      </c>
      <c r="I275" s="7">
        <v>0.496</v>
      </c>
      <c r="J275" s="7">
        <v>0.32200000000000001</v>
      </c>
      <c r="K275" s="7">
        <v>0.77600000000000002</v>
      </c>
      <c r="L275" s="7">
        <v>0</v>
      </c>
      <c r="M275" s="7">
        <v>0.90400000000000003</v>
      </c>
      <c r="N275" s="7">
        <v>8.7999999999999995E-2</v>
      </c>
      <c r="O275" s="7">
        <v>0</v>
      </c>
      <c r="P275" s="7">
        <v>1.4550000000000001</v>
      </c>
      <c r="Q275" s="7">
        <v>0.27200000000000002</v>
      </c>
      <c r="R275" s="7">
        <v>0</v>
      </c>
      <c r="S275" s="7">
        <v>3.2410000000000001</v>
      </c>
      <c r="T275" s="7">
        <v>1.7989999999999999</v>
      </c>
      <c r="U275" s="7">
        <v>1.996</v>
      </c>
      <c r="V275" s="7">
        <v>0.106</v>
      </c>
      <c r="W275" s="7">
        <v>1.1859999999999999</v>
      </c>
      <c r="X275" s="7">
        <v>1.3129999999999999</v>
      </c>
      <c r="Y275" s="7">
        <v>0.09</v>
      </c>
      <c r="Z275" s="7">
        <v>0</v>
      </c>
      <c r="AA275" s="7">
        <v>1.829</v>
      </c>
      <c r="AB275" s="7">
        <v>0.40500000000000003</v>
      </c>
      <c r="AC275" s="7">
        <v>0.42599999999999999</v>
      </c>
      <c r="AD275" s="7">
        <v>0</v>
      </c>
      <c r="AE275" s="7">
        <v>2.1589999999999998</v>
      </c>
      <c r="AF275" s="7">
        <v>5.367</v>
      </c>
      <c r="AG275" s="7">
        <v>0</v>
      </c>
      <c r="AH275" s="7">
        <v>4.0110000000000001</v>
      </c>
      <c r="AI275" s="7">
        <v>1.482</v>
      </c>
      <c r="AJ275" s="7">
        <v>0</v>
      </c>
      <c r="AK275" s="7">
        <v>0.41199999999999998</v>
      </c>
      <c r="AL275" s="7">
        <v>17.631</v>
      </c>
      <c r="AM275" s="7">
        <v>15.679</v>
      </c>
      <c r="AN275" s="7">
        <v>0.88900000000000001</v>
      </c>
      <c r="AO275" s="7">
        <v>10.003</v>
      </c>
      <c r="AP275" s="7">
        <v>2.4470000000000001</v>
      </c>
      <c r="AQ275" s="7">
        <v>5.181</v>
      </c>
    </row>
    <row r="276" spans="1:43" x14ac:dyDescent="0.25">
      <c r="A276" t="s">
        <v>212</v>
      </c>
      <c r="B276" s="22" t="s">
        <v>832</v>
      </c>
      <c r="C276" t="s">
        <v>286</v>
      </c>
      <c r="D276" s="22" t="s">
        <v>286</v>
      </c>
      <c r="E276" s="21">
        <v>2018</v>
      </c>
      <c r="F276" s="7">
        <v>57.4739543846092</v>
      </c>
      <c r="G276" s="7">
        <v>2.0110000000000001</v>
      </c>
      <c r="H276" s="7">
        <v>0.54</v>
      </c>
      <c r="I276" s="7">
        <v>0.35599999999999998</v>
      </c>
      <c r="J276" s="7">
        <v>0.19600000000000001</v>
      </c>
      <c r="K276" s="7">
        <v>0.45400000000000001</v>
      </c>
      <c r="L276" s="7">
        <v>0</v>
      </c>
      <c r="M276" s="7">
        <v>0.54600000000000004</v>
      </c>
      <c r="N276" s="7">
        <v>0</v>
      </c>
      <c r="O276" s="7">
        <v>0</v>
      </c>
      <c r="P276" s="7">
        <v>1.3380000000000001</v>
      </c>
      <c r="Q276" s="7">
        <v>0.14399999999999999</v>
      </c>
      <c r="R276" s="7">
        <v>0</v>
      </c>
      <c r="S276" s="7">
        <v>2.202</v>
      </c>
      <c r="T276" s="7">
        <v>1.0049999999999999</v>
      </c>
      <c r="U276" s="7">
        <v>1.3959999999999999</v>
      </c>
      <c r="V276" s="7">
        <v>5.2999999999999999E-2</v>
      </c>
      <c r="W276" s="7">
        <v>0.88700000000000001</v>
      </c>
      <c r="X276" s="7">
        <v>0.83399999999999996</v>
      </c>
      <c r="Y276" s="7">
        <v>4.2999999999999997E-2</v>
      </c>
      <c r="Z276" s="7">
        <v>0</v>
      </c>
      <c r="AA276" s="7">
        <v>3.867</v>
      </c>
      <c r="AB276" s="7">
        <v>0.32900000000000001</v>
      </c>
      <c r="AC276" s="7">
        <v>0.125</v>
      </c>
      <c r="AD276" s="7">
        <v>0</v>
      </c>
      <c r="AE276" s="7">
        <v>3.5990000000000002</v>
      </c>
      <c r="AF276" s="7">
        <v>4.282</v>
      </c>
      <c r="AG276" s="7">
        <v>0</v>
      </c>
      <c r="AH276" s="7">
        <v>4.1529999999999996</v>
      </c>
      <c r="AI276" s="7">
        <v>0.96499999999999997</v>
      </c>
      <c r="AJ276" s="7">
        <v>0</v>
      </c>
      <c r="AK276" s="7">
        <v>0.47099999999999997</v>
      </c>
      <c r="AL276" s="7">
        <v>12.005000000000001</v>
      </c>
      <c r="AM276" s="7">
        <v>17.32</v>
      </c>
      <c r="AN276" s="7">
        <v>1.4430000000000001</v>
      </c>
      <c r="AO276" s="7">
        <v>6.5640000000000001</v>
      </c>
      <c r="AP276" s="7">
        <v>1.8839999999999999</v>
      </c>
      <c r="AQ276" s="7">
        <v>3.5569999999999999</v>
      </c>
    </row>
    <row r="277" spans="1:43" x14ac:dyDescent="0.25">
      <c r="A277" t="s">
        <v>262</v>
      </c>
      <c r="B277" s="22" t="s">
        <v>832</v>
      </c>
      <c r="C277" t="s">
        <v>286</v>
      </c>
      <c r="D277" s="22" t="s">
        <v>286</v>
      </c>
      <c r="E277" s="21">
        <v>2018</v>
      </c>
      <c r="F277" s="7">
        <v>80.623809325613095</v>
      </c>
      <c r="G277" s="7">
        <v>3.34</v>
      </c>
      <c r="H277" s="7">
        <v>0.92200000000000004</v>
      </c>
      <c r="I277" s="7">
        <v>0.70799999999999996</v>
      </c>
      <c r="J277" s="7">
        <v>0.45</v>
      </c>
      <c r="K277" s="7">
        <v>0.871</v>
      </c>
      <c r="L277" s="7">
        <v>0</v>
      </c>
      <c r="M277" s="7">
        <v>1.0569999999999999</v>
      </c>
      <c r="N277" s="7">
        <v>0.218</v>
      </c>
      <c r="O277" s="7">
        <v>0</v>
      </c>
      <c r="P277" s="7">
        <v>1.7749999999999999</v>
      </c>
      <c r="Q277" s="7">
        <v>0.38200000000000001</v>
      </c>
      <c r="R277" s="7">
        <v>0.04</v>
      </c>
      <c r="S277" s="7">
        <v>3.8620000000000001</v>
      </c>
      <c r="T277" s="7">
        <v>1.9930000000000001</v>
      </c>
      <c r="U277" s="7">
        <v>2.3889999999999998</v>
      </c>
      <c r="V277" s="7">
        <v>0.14199999999999999</v>
      </c>
      <c r="W277" s="7">
        <v>1.3680000000000001</v>
      </c>
      <c r="X277" s="7">
        <v>1.333</v>
      </c>
      <c r="Y277" s="7">
        <v>6.4000000000000001E-2</v>
      </c>
      <c r="Z277" s="7">
        <v>0</v>
      </c>
      <c r="AA277" s="7">
        <v>4.2519999999999998</v>
      </c>
      <c r="AB277" s="7">
        <v>0</v>
      </c>
      <c r="AC277" s="7">
        <v>0.35299999999999998</v>
      </c>
      <c r="AD277" s="7">
        <v>0</v>
      </c>
      <c r="AE277" s="7">
        <v>3.29</v>
      </c>
      <c r="AF277" s="7">
        <v>5.6479999999999997</v>
      </c>
      <c r="AG277" s="7">
        <v>0</v>
      </c>
      <c r="AH277" s="7">
        <v>4.3540000000000001</v>
      </c>
      <c r="AI277" s="7">
        <v>1.7250000000000001</v>
      </c>
      <c r="AJ277" s="7">
        <v>0</v>
      </c>
      <c r="AK277" s="7">
        <v>0.59799999999999998</v>
      </c>
      <c r="AL277" s="7">
        <v>20.914000000000001</v>
      </c>
      <c r="AM277" s="7">
        <v>19.622</v>
      </c>
      <c r="AN277" s="7">
        <v>0.93799999999999994</v>
      </c>
      <c r="AO277" s="7">
        <v>11.573</v>
      </c>
      <c r="AP277" s="7">
        <v>3.05</v>
      </c>
      <c r="AQ277" s="7">
        <v>6.2910000000000004</v>
      </c>
    </row>
    <row r="278" spans="1:43" x14ac:dyDescent="0.25">
      <c r="A278" t="s">
        <v>213</v>
      </c>
      <c r="B278" s="22" t="s">
        <v>832</v>
      </c>
      <c r="C278" t="s">
        <v>286</v>
      </c>
      <c r="D278" s="22" t="s">
        <v>286</v>
      </c>
      <c r="E278" s="21">
        <v>2018</v>
      </c>
      <c r="F278" s="7">
        <v>67.121973324665603</v>
      </c>
      <c r="G278" s="7">
        <v>2.125</v>
      </c>
      <c r="H278" s="7">
        <v>0.58399999999999996</v>
      </c>
      <c r="I278" s="7">
        <v>0.55900000000000005</v>
      </c>
      <c r="J278" s="7">
        <v>0.23100000000000001</v>
      </c>
      <c r="K278" s="7">
        <v>0.58499999999999996</v>
      </c>
      <c r="L278" s="7">
        <v>0</v>
      </c>
      <c r="M278" s="7">
        <v>0.63800000000000001</v>
      </c>
      <c r="N278" s="7">
        <v>0</v>
      </c>
      <c r="O278" s="7">
        <v>0</v>
      </c>
      <c r="P278" s="7">
        <v>1.2709999999999999</v>
      </c>
      <c r="Q278" s="7">
        <v>0.186</v>
      </c>
      <c r="R278" s="7">
        <v>0</v>
      </c>
      <c r="S278" s="7">
        <v>2.35</v>
      </c>
      <c r="T278" s="7">
        <v>1.3680000000000001</v>
      </c>
      <c r="U278" s="7">
        <v>1.7050000000000001</v>
      </c>
      <c r="V278" s="7">
        <v>9.2999999999999999E-2</v>
      </c>
      <c r="W278" s="7">
        <v>0.96199999999999997</v>
      </c>
      <c r="X278" s="7">
        <v>0.92400000000000004</v>
      </c>
      <c r="Y278" s="7">
        <v>3.5999999999999997E-2</v>
      </c>
      <c r="Z278" s="7">
        <v>0</v>
      </c>
      <c r="AA278" s="7">
        <v>6.86</v>
      </c>
      <c r="AB278" s="7">
        <v>0.54700000000000004</v>
      </c>
      <c r="AC278" s="7">
        <v>0</v>
      </c>
      <c r="AD278" s="7">
        <v>5.8000000000000003E-2</v>
      </c>
      <c r="AE278" s="7">
        <v>3.65</v>
      </c>
      <c r="AF278" s="7">
        <v>6.0209999999999999</v>
      </c>
      <c r="AG278" s="7">
        <v>0</v>
      </c>
      <c r="AH278" s="7">
        <v>3.8119999999999998</v>
      </c>
      <c r="AI278" s="7">
        <v>1.5660000000000001</v>
      </c>
      <c r="AJ278" s="7">
        <v>0</v>
      </c>
      <c r="AK278" s="7">
        <v>0.55700000000000005</v>
      </c>
      <c r="AL278" s="7">
        <v>13.617000000000001</v>
      </c>
      <c r="AM278" s="7">
        <v>22.513999999999999</v>
      </c>
      <c r="AN278" s="7">
        <v>1.653</v>
      </c>
      <c r="AO278" s="7">
        <v>7.6239999999999997</v>
      </c>
      <c r="AP278" s="7">
        <v>1.909</v>
      </c>
      <c r="AQ278" s="7">
        <v>4.0839999999999996</v>
      </c>
    </row>
    <row r="279" spans="1:43" x14ac:dyDescent="0.25">
      <c r="A279" t="s">
        <v>214</v>
      </c>
      <c r="B279" s="22" t="s">
        <v>832</v>
      </c>
      <c r="C279" t="s">
        <v>286</v>
      </c>
      <c r="D279" s="22" t="s">
        <v>286</v>
      </c>
      <c r="E279" s="21">
        <v>2018</v>
      </c>
      <c r="F279" s="7">
        <v>53.5630026983726</v>
      </c>
      <c r="G279" s="7">
        <v>1.7909999999999999</v>
      </c>
      <c r="H279" s="7">
        <v>0.48299999999999998</v>
      </c>
      <c r="I279" s="7">
        <v>0.41099999999999998</v>
      </c>
      <c r="J279" s="7">
        <v>0.19</v>
      </c>
      <c r="K279" s="7">
        <v>0.53600000000000003</v>
      </c>
      <c r="L279" s="7">
        <v>0</v>
      </c>
      <c r="M279" s="7">
        <v>0.629</v>
      </c>
      <c r="N279" s="7">
        <v>0</v>
      </c>
      <c r="O279" s="7">
        <v>0</v>
      </c>
      <c r="P279" s="7">
        <v>1.425</v>
      </c>
      <c r="Q279" s="7">
        <v>0.151</v>
      </c>
      <c r="R279" s="7">
        <v>0</v>
      </c>
      <c r="S279" s="7">
        <v>1.9450000000000001</v>
      </c>
      <c r="T279" s="7">
        <v>1.1559999999999999</v>
      </c>
      <c r="U279" s="7">
        <v>1.5580000000000001</v>
      </c>
      <c r="V279" s="7">
        <v>5.1999999999999998E-2</v>
      </c>
      <c r="W279" s="7">
        <v>0.85</v>
      </c>
      <c r="X279" s="7">
        <v>0.87</v>
      </c>
      <c r="Y279" s="7">
        <v>2.7E-2</v>
      </c>
      <c r="Z279" s="7">
        <v>0</v>
      </c>
      <c r="AA279" s="7">
        <v>2.7440000000000002</v>
      </c>
      <c r="AB279" s="7">
        <v>0.315</v>
      </c>
      <c r="AC279" s="7">
        <v>0.19800000000000001</v>
      </c>
      <c r="AD279" s="7">
        <v>7.4999999999999997E-2</v>
      </c>
      <c r="AE279" s="7">
        <v>1.9430000000000001</v>
      </c>
      <c r="AF279" s="7">
        <v>3.2549999999999999</v>
      </c>
      <c r="AG279" s="7">
        <v>0</v>
      </c>
      <c r="AH279" s="7">
        <v>3.27</v>
      </c>
      <c r="AI279" s="7">
        <v>1.5229999999999999</v>
      </c>
      <c r="AJ279" s="7">
        <v>0</v>
      </c>
      <c r="AK279" s="7">
        <v>0.24199999999999999</v>
      </c>
      <c r="AL279" s="7">
        <v>12.074</v>
      </c>
      <c r="AM279" s="7">
        <v>13.323</v>
      </c>
      <c r="AN279" s="7">
        <v>1.103</v>
      </c>
      <c r="AO279" s="7">
        <v>6.609</v>
      </c>
      <c r="AP279" s="7">
        <v>2.0539999999999998</v>
      </c>
      <c r="AQ279" s="7">
        <v>3.411</v>
      </c>
    </row>
    <row r="280" spans="1:43" x14ac:dyDescent="0.25">
      <c r="A280" t="s">
        <v>215</v>
      </c>
      <c r="B280" s="22" t="s">
        <v>820</v>
      </c>
      <c r="C280" t="s">
        <v>286</v>
      </c>
      <c r="D280" s="22" t="s">
        <v>283</v>
      </c>
      <c r="E280" s="21">
        <v>2018</v>
      </c>
      <c r="F280" s="7">
        <v>17.912142374849601</v>
      </c>
      <c r="G280" s="7">
        <v>1.0529999999999999</v>
      </c>
      <c r="H280" s="7">
        <v>0.316</v>
      </c>
      <c r="I280" s="7">
        <v>0.15</v>
      </c>
      <c r="J280" s="7">
        <v>7.3999999999999996E-2</v>
      </c>
      <c r="K280" s="7">
        <v>0.33800000000000002</v>
      </c>
      <c r="L280" s="7">
        <v>0</v>
      </c>
      <c r="M280" s="7">
        <v>0.29799999999999999</v>
      </c>
      <c r="N280" s="7">
        <v>0</v>
      </c>
      <c r="O280" s="7">
        <v>0</v>
      </c>
      <c r="P280" s="7">
        <v>0.54</v>
      </c>
      <c r="Q280" s="7">
        <v>5.3999999999999999E-2</v>
      </c>
      <c r="R280" s="7">
        <v>0</v>
      </c>
      <c r="S280" s="7">
        <v>0.84099999999999997</v>
      </c>
      <c r="T280" s="7">
        <v>0.39</v>
      </c>
      <c r="U280" s="7">
        <v>0.57999999999999996</v>
      </c>
      <c r="V280" s="7">
        <v>3.2000000000000001E-2</v>
      </c>
      <c r="W280" s="7">
        <v>0.36799999999999999</v>
      </c>
      <c r="X280" s="7">
        <v>0.34599999999999997</v>
      </c>
      <c r="Y280" s="7">
        <v>0</v>
      </c>
      <c r="Z280" s="7">
        <v>0.157</v>
      </c>
      <c r="AA280" s="7">
        <v>0.41299999999999998</v>
      </c>
      <c r="AB280" s="7">
        <v>0</v>
      </c>
      <c r="AC280" s="7">
        <v>0.14799999999999999</v>
      </c>
      <c r="AD280" s="7">
        <v>0</v>
      </c>
      <c r="AE280" s="7">
        <v>0.97499999999999998</v>
      </c>
      <c r="AF280" s="7">
        <v>1.349</v>
      </c>
      <c r="AG280" s="7">
        <v>0</v>
      </c>
      <c r="AH280" s="7">
        <v>0.97799999999999998</v>
      </c>
      <c r="AI280" s="7">
        <v>0.39700000000000002</v>
      </c>
      <c r="AJ280" s="7">
        <v>0</v>
      </c>
      <c r="AK280" s="7">
        <v>8.7999999999999995E-2</v>
      </c>
      <c r="AL280" s="7">
        <v>5.5369999999999999</v>
      </c>
      <c r="AM280" s="7">
        <v>4.26</v>
      </c>
      <c r="AN280" s="7">
        <v>0.76900000000000002</v>
      </c>
      <c r="AO280" s="7">
        <v>2.7679999999999998</v>
      </c>
      <c r="AP280" s="7">
        <v>0.83799999999999997</v>
      </c>
      <c r="AQ280" s="7">
        <v>1.931</v>
      </c>
    </row>
    <row r="281" spans="1:43" x14ac:dyDescent="0.25">
      <c r="A281" t="s">
        <v>216</v>
      </c>
      <c r="B281" s="22" t="s">
        <v>820</v>
      </c>
      <c r="C281" t="s">
        <v>286</v>
      </c>
      <c r="D281" s="22" t="s">
        <v>283</v>
      </c>
      <c r="E281" s="21">
        <v>2018</v>
      </c>
      <c r="F281" s="7">
        <v>19.8762888198677</v>
      </c>
      <c r="G281" s="7">
        <v>1.083</v>
      </c>
      <c r="H281" s="7">
        <v>0.30599999999999999</v>
      </c>
      <c r="I281" s="7">
        <v>0.16300000000000001</v>
      </c>
      <c r="J281" s="7">
        <v>7.8E-2</v>
      </c>
      <c r="K281" s="7">
        <v>0.36699999999999999</v>
      </c>
      <c r="L281" s="7">
        <v>0</v>
      </c>
      <c r="M281" s="7">
        <v>0.309</v>
      </c>
      <c r="N281" s="7">
        <v>0</v>
      </c>
      <c r="O281" s="7">
        <v>0</v>
      </c>
      <c r="P281" s="7">
        <v>0.52600000000000002</v>
      </c>
      <c r="Q281" s="7">
        <v>7.2999999999999995E-2</v>
      </c>
      <c r="R281" s="7">
        <v>0</v>
      </c>
      <c r="S281" s="7">
        <v>0.95499999999999996</v>
      </c>
      <c r="T281" s="7">
        <v>0.439</v>
      </c>
      <c r="U281" s="7">
        <v>0.64600000000000002</v>
      </c>
      <c r="V281" s="7">
        <v>3.5999999999999997E-2</v>
      </c>
      <c r="W281" s="7">
        <v>0.39900000000000002</v>
      </c>
      <c r="X281" s="7">
        <v>0.36299999999999999</v>
      </c>
      <c r="Y281" s="7">
        <v>0</v>
      </c>
      <c r="Z281" s="7">
        <v>0</v>
      </c>
      <c r="AA281" s="7">
        <v>0.55800000000000005</v>
      </c>
      <c r="AB281" s="7">
        <v>0</v>
      </c>
      <c r="AC281" s="7">
        <v>8.7999999999999995E-2</v>
      </c>
      <c r="AD281" s="7">
        <v>0</v>
      </c>
      <c r="AE281" s="7">
        <v>1.0589999999999999</v>
      </c>
      <c r="AF281" s="7">
        <v>1.597</v>
      </c>
      <c r="AG281" s="7">
        <v>0</v>
      </c>
      <c r="AH281" s="7">
        <v>1.1619999999999999</v>
      </c>
      <c r="AI281" s="7">
        <v>0.46899999999999997</v>
      </c>
      <c r="AJ281" s="7">
        <v>0</v>
      </c>
      <c r="AK281" s="7">
        <v>9.2999999999999999E-2</v>
      </c>
      <c r="AL281" s="7">
        <v>5.7430000000000003</v>
      </c>
      <c r="AM281" s="7">
        <v>4.9329999999999998</v>
      </c>
      <c r="AN281" s="7">
        <v>0.85899999999999999</v>
      </c>
      <c r="AO281" s="7">
        <v>2.911</v>
      </c>
      <c r="AP281" s="7">
        <v>0.83499999999999996</v>
      </c>
      <c r="AQ281" s="7">
        <v>1.9970000000000001</v>
      </c>
    </row>
    <row r="282" spans="1:43" x14ac:dyDescent="0.25">
      <c r="A282" t="s">
        <v>217</v>
      </c>
      <c r="B282" s="22" t="s">
        <v>820</v>
      </c>
      <c r="C282" t="s">
        <v>286</v>
      </c>
      <c r="D282" s="22" t="s">
        <v>283</v>
      </c>
      <c r="E282" s="21">
        <v>2018</v>
      </c>
      <c r="F282" s="7">
        <v>25.037607017812899</v>
      </c>
      <c r="G282" s="7">
        <v>1.19</v>
      </c>
      <c r="H282" s="7">
        <v>0.34799999999999998</v>
      </c>
      <c r="I282" s="7">
        <v>0.30599999999999999</v>
      </c>
      <c r="J282" s="7">
        <v>6.6000000000000003E-2</v>
      </c>
      <c r="K282" s="7">
        <v>0.374</v>
      </c>
      <c r="L282" s="7">
        <v>0</v>
      </c>
      <c r="M282" s="7">
        <v>0.35599999999999998</v>
      </c>
      <c r="N282" s="7">
        <v>0</v>
      </c>
      <c r="O282" s="7">
        <v>0</v>
      </c>
      <c r="P282" s="7">
        <v>0.58599999999999997</v>
      </c>
      <c r="Q282" s="7">
        <v>0.115</v>
      </c>
      <c r="R282" s="7">
        <v>0</v>
      </c>
      <c r="S282" s="7">
        <v>1.0820000000000001</v>
      </c>
      <c r="T282" s="7">
        <v>0.53400000000000003</v>
      </c>
      <c r="U282" s="7">
        <v>0.76500000000000001</v>
      </c>
      <c r="V282" s="7">
        <v>3.5999999999999997E-2</v>
      </c>
      <c r="W282" s="7">
        <v>0.44700000000000001</v>
      </c>
      <c r="X282" s="7">
        <v>0.44</v>
      </c>
      <c r="Y282" s="7">
        <v>0</v>
      </c>
      <c r="Z282" s="7">
        <v>0</v>
      </c>
      <c r="AA282" s="7">
        <v>0.69599999999999995</v>
      </c>
      <c r="AB282" s="7">
        <v>0</v>
      </c>
      <c r="AC282" s="7">
        <v>6.2E-2</v>
      </c>
      <c r="AD282" s="7">
        <v>0</v>
      </c>
      <c r="AE282" s="7">
        <v>1.7949999999999999</v>
      </c>
      <c r="AF282" s="7">
        <v>2.4</v>
      </c>
      <c r="AG282" s="7">
        <v>0</v>
      </c>
      <c r="AH282" s="7">
        <v>1.222</v>
      </c>
      <c r="AI282" s="7">
        <v>0.67700000000000005</v>
      </c>
      <c r="AJ282" s="7">
        <v>0</v>
      </c>
      <c r="AK282" s="7">
        <v>0.14199999999999999</v>
      </c>
      <c r="AL282" s="7">
        <v>6.6449999999999996</v>
      </c>
      <c r="AM282" s="7">
        <v>6.8520000000000003</v>
      </c>
      <c r="AN282" s="7">
        <v>1.0309999999999999</v>
      </c>
      <c r="AO282" s="7">
        <v>3.419</v>
      </c>
      <c r="AP282" s="7">
        <v>0.94199999999999995</v>
      </c>
      <c r="AQ282" s="7">
        <v>2.2839999999999998</v>
      </c>
    </row>
    <row r="283" spans="1:43" x14ac:dyDescent="0.25">
      <c r="A283" t="s">
        <v>263</v>
      </c>
      <c r="B283" s="22" t="s">
        <v>820</v>
      </c>
      <c r="C283" t="s">
        <v>286</v>
      </c>
      <c r="D283" s="22" t="s">
        <v>283</v>
      </c>
      <c r="E283" s="21">
        <v>2018</v>
      </c>
      <c r="F283" s="7">
        <v>22.170122607314099</v>
      </c>
      <c r="G283" s="7">
        <v>1.2230000000000001</v>
      </c>
      <c r="H283" s="7">
        <v>0.34599999999999997</v>
      </c>
      <c r="I283" s="7">
        <v>0.21</v>
      </c>
      <c r="J283" s="7">
        <v>9.9000000000000005E-2</v>
      </c>
      <c r="K283" s="7">
        <v>0.38400000000000001</v>
      </c>
      <c r="L283" s="7">
        <v>0</v>
      </c>
      <c r="M283" s="7">
        <v>0.36499999999999999</v>
      </c>
      <c r="N283" s="7">
        <v>0</v>
      </c>
      <c r="O283" s="7">
        <v>0</v>
      </c>
      <c r="P283" s="7">
        <v>0.59699999999999998</v>
      </c>
      <c r="Q283" s="7">
        <v>5.8999999999999997E-2</v>
      </c>
      <c r="R283" s="7">
        <v>0</v>
      </c>
      <c r="S283" s="7">
        <v>1.0069999999999999</v>
      </c>
      <c r="T283" s="7">
        <v>0.47</v>
      </c>
      <c r="U283" s="7">
        <v>0.67300000000000004</v>
      </c>
      <c r="V283" s="7">
        <v>3.2000000000000001E-2</v>
      </c>
      <c r="W283" s="7">
        <v>0.42499999999999999</v>
      </c>
      <c r="X283" s="7">
        <v>0.41</v>
      </c>
      <c r="Y283" s="7">
        <v>0</v>
      </c>
      <c r="Z283" s="7">
        <v>0</v>
      </c>
      <c r="AA283" s="7">
        <v>0.78700000000000003</v>
      </c>
      <c r="AB283" s="7">
        <v>0</v>
      </c>
      <c r="AC283" s="7">
        <v>6.4000000000000001E-2</v>
      </c>
      <c r="AD283" s="7">
        <v>0</v>
      </c>
      <c r="AE283" s="7">
        <v>1.0609999999999999</v>
      </c>
      <c r="AF283" s="7">
        <v>1.831</v>
      </c>
      <c r="AG283" s="7">
        <v>0</v>
      </c>
      <c r="AH283" s="7">
        <v>1.4650000000000001</v>
      </c>
      <c r="AI283" s="7">
        <v>0.47499999999999998</v>
      </c>
      <c r="AJ283" s="7">
        <v>0</v>
      </c>
      <c r="AK283" s="7">
        <v>0.125</v>
      </c>
      <c r="AL283" s="7">
        <v>6.3</v>
      </c>
      <c r="AM283" s="7">
        <v>5.6829999999999998</v>
      </c>
      <c r="AN283" s="7">
        <v>0.90200000000000002</v>
      </c>
      <c r="AO283" s="7">
        <v>3.0760000000000001</v>
      </c>
      <c r="AP283" s="7">
        <v>0.96199999999999997</v>
      </c>
      <c r="AQ283" s="7">
        <v>2.262</v>
      </c>
    </row>
    <row r="284" spans="1:43" x14ac:dyDescent="0.25">
      <c r="A284" t="s">
        <v>230</v>
      </c>
      <c r="B284" s="22" t="s">
        <v>7</v>
      </c>
      <c r="C284" t="s">
        <v>283</v>
      </c>
      <c r="D284" s="22" t="s">
        <v>286</v>
      </c>
      <c r="E284" s="21">
        <v>2018</v>
      </c>
      <c r="F284" s="7">
        <v>238.30248211752701</v>
      </c>
      <c r="G284" s="7">
        <v>9.4019999999999992</v>
      </c>
      <c r="H284" s="7">
        <v>1.704</v>
      </c>
      <c r="I284" s="7">
        <v>2.6309999999999998</v>
      </c>
      <c r="J284" s="7">
        <v>1.1559999999999999</v>
      </c>
      <c r="K284" s="7">
        <v>4.3470000000000004</v>
      </c>
      <c r="L284" s="7">
        <v>0.17399999999999999</v>
      </c>
      <c r="M284" s="7">
        <v>3.1059999999999999</v>
      </c>
      <c r="N284" s="7">
        <v>0</v>
      </c>
      <c r="O284" s="7">
        <v>0</v>
      </c>
      <c r="P284" s="7">
        <v>4.0650000000000004</v>
      </c>
      <c r="Q284" s="7">
        <v>1.405</v>
      </c>
      <c r="R284" s="7">
        <v>0.14599999999999999</v>
      </c>
      <c r="S284" s="7">
        <v>13.321</v>
      </c>
      <c r="T284" s="7">
        <v>6.7169999999999996</v>
      </c>
      <c r="U284" s="7">
        <v>8.5890000000000004</v>
      </c>
      <c r="V284" s="7">
        <v>0.40200000000000002</v>
      </c>
      <c r="W284" s="7">
        <v>3.9990000000000001</v>
      </c>
      <c r="X284" s="7">
        <v>4.4379999999999997</v>
      </c>
      <c r="Y284" s="7">
        <v>0.23</v>
      </c>
      <c r="Z284" s="7">
        <v>0</v>
      </c>
      <c r="AA284" s="7">
        <v>6.5620000000000003</v>
      </c>
      <c r="AB284" s="7">
        <v>0.58099999999999996</v>
      </c>
      <c r="AC284" s="7">
        <v>0.77600000000000002</v>
      </c>
      <c r="AD284" s="7">
        <v>0.35399999999999998</v>
      </c>
      <c r="AE284" s="7">
        <v>8.0500000000000007</v>
      </c>
      <c r="AF284" s="7">
        <v>19.338000000000001</v>
      </c>
      <c r="AG284" s="7">
        <v>0</v>
      </c>
      <c r="AH284" s="7">
        <v>13.997</v>
      </c>
      <c r="AI284" s="7">
        <v>5.3949999999999996</v>
      </c>
      <c r="AJ284" s="7">
        <v>0</v>
      </c>
      <c r="AK284" s="7">
        <v>1.5760000000000001</v>
      </c>
      <c r="AL284" s="7">
        <v>65.831999999999994</v>
      </c>
      <c r="AM284" s="7">
        <v>55.052999999999997</v>
      </c>
      <c r="AN284" s="7">
        <v>0.83599999999999997</v>
      </c>
      <c r="AO284" s="7">
        <v>39.247</v>
      </c>
      <c r="AP284" s="7">
        <v>7.1710000000000003</v>
      </c>
      <c r="AQ284" s="7">
        <v>19.414000000000001</v>
      </c>
    </row>
    <row r="285" spans="1:43" x14ac:dyDescent="0.25">
      <c r="A285" t="s">
        <v>231</v>
      </c>
      <c r="B285" s="22" t="s">
        <v>7</v>
      </c>
      <c r="C285" t="s">
        <v>283</v>
      </c>
      <c r="D285" s="22" t="s">
        <v>286</v>
      </c>
      <c r="E285" s="21">
        <v>2018</v>
      </c>
      <c r="F285" s="7">
        <v>137.959108807104</v>
      </c>
      <c r="G285" s="7">
        <v>6.915</v>
      </c>
      <c r="H285" s="7">
        <v>2.0569999999999999</v>
      </c>
      <c r="I285" s="7">
        <v>1.82</v>
      </c>
      <c r="J285" s="7">
        <v>0.70399999999999996</v>
      </c>
      <c r="K285" s="7">
        <v>2.4860000000000002</v>
      </c>
      <c r="L285" s="7">
        <v>0</v>
      </c>
      <c r="M285" s="7">
        <v>2.17</v>
      </c>
      <c r="N285" s="7">
        <v>0</v>
      </c>
      <c r="O285" s="7">
        <v>0</v>
      </c>
      <c r="P285" s="7">
        <v>3.1890000000000001</v>
      </c>
      <c r="Q285" s="7">
        <v>0.69499999999999995</v>
      </c>
      <c r="R285" s="7">
        <v>3.7999999999999999E-2</v>
      </c>
      <c r="S285" s="7">
        <v>7.9649999999999999</v>
      </c>
      <c r="T285" s="7">
        <v>3.8730000000000002</v>
      </c>
      <c r="U285" s="7">
        <v>5.585</v>
      </c>
      <c r="V285" s="7">
        <v>0.253</v>
      </c>
      <c r="W285" s="7">
        <v>2.5750000000000002</v>
      </c>
      <c r="X285" s="7">
        <v>3.008</v>
      </c>
      <c r="Y285" s="7">
        <v>0.13800000000000001</v>
      </c>
      <c r="Z285" s="7">
        <v>0</v>
      </c>
      <c r="AA285" s="7">
        <v>2.214</v>
      </c>
      <c r="AB285" s="7">
        <v>0.49099999999999999</v>
      </c>
      <c r="AC285" s="7">
        <v>0.49399999999999999</v>
      </c>
      <c r="AD285" s="7">
        <v>0.33200000000000002</v>
      </c>
      <c r="AE285" s="7">
        <v>3.2010000000000001</v>
      </c>
      <c r="AF285" s="7">
        <v>11.335000000000001</v>
      </c>
      <c r="AG285" s="7">
        <v>0</v>
      </c>
      <c r="AH285" s="7">
        <v>7.0060000000000002</v>
      </c>
      <c r="AI285" s="7">
        <v>2.5950000000000002</v>
      </c>
      <c r="AJ285" s="7">
        <v>0</v>
      </c>
      <c r="AK285" s="7">
        <v>0.73899999999999999</v>
      </c>
      <c r="AL285" s="7">
        <v>43.470999999999997</v>
      </c>
      <c r="AM285" s="7">
        <v>27.667999999999999</v>
      </c>
      <c r="AN285" s="7">
        <v>0.63600000000000001</v>
      </c>
      <c r="AO285" s="7">
        <v>24.13</v>
      </c>
      <c r="AP285" s="7">
        <v>5.359</v>
      </c>
      <c r="AQ285" s="7">
        <v>13.981999999999999</v>
      </c>
    </row>
    <row r="286" spans="1:43" x14ac:dyDescent="0.25">
      <c r="A286" t="s">
        <v>232</v>
      </c>
      <c r="B286" s="22" t="s">
        <v>7</v>
      </c>
      <c r="C286" t="s">
        <v>283</v>
      </c>
      <c r="D286" s="22" t="s">
        <v>286</v>
      </c>
      <c r="E286" s="21">
        <v>2018</v>
      </c>
      <c r="F286" s="7">
        <v>142.54311192979699</v>
      </c>
      <c r="G286" s="7">
        <v>6.431</v>
      </c>
      <c r="H286" s="7">
        <v>1.796</v>
      </c>
      <c r="I286" s="7">
        <v>1.7829999999999999</v>
      </c>
      <c r="J286" s="7">
        <v>0.626</v>
      </c>
      <c r="K286" s="7">
        <v>2.7759999999999998</v>
      </c>
      <c r="L286" s="7">
        <v>0.10199999999999999</v>
      </c>
      <c r="M286" s="7">
        <v>1.841</v>
      </c>
      <c r="N286" s="7">
        <v>0</v>
      </c>
      <c r="O286" s="7">
        <v>0</v>
      </c>
      <c r="P286" s="7">
        <v>2.4929999999999999</v>
      </c>
      <c r="Q286" s="7">
        <v>0.71799999999999997</v>
      </c>
      <c r="R286" s="7">
        <v>0</v>
      </c>
      <c r="S286" s="7">
        <v>7.2679999999999998</v>
      </c>
      <c r="T286" s="7">
        <v>4.1079999999999997</v>
      </c>
      <c r="U286" s="7">
        <v>5.335</v>
      </c>
      <c r="V286" s="7">
        <v>0.24199999999999999</v>
      </c>
      <c r="W286" s="7">
        <v>2.3220000000000001</v>
      </c>
      <c r="X286" s="7">
        <v>2.7559999999999998</v>
      </c>
      <c r="Y286" s="7">
        <v>0.112</v>
      </c>
      <c r="Z286" s="7">
        <v>0</v>
      </c>
      <c r="AA286" s="7">
        <v>3.1360000000000001</v>
      </c>
      <c r="AB286" s="7">
        <v>0.42199999999999999</v>
      </c>
      <c r="AC286" s="7">
        <v>0.47399999999999998</v>
      </c>
      <c r="AD286" s="7">
        <v>0.36199999999999999</v>
      </c>
      <c r="AE286" s="7">
        <v>5.1130000000000004</v>
      </c>
      <c r="AF286" s="7">
        <v>12.631</v>
      </c>
      <c r="AG286" s="7">
        <v>0</v>
      </c>
      <c r="AH286" s="7">
        <v>8.7780000000000005</v>
      </c>
      <c r="AI286" s="7">
        <v>2.5049999999999999</v>
      </c>
      <c r="AJ286" s="7">
        <v>0</v>
      </c>
      <c r="AK286" s="7">
        <v>1.4410000000000001</v>
      </c>
      <c r="AL286" s="7">
        <v>40.709000000000003</v>
      </c>
      <c r="AM286" s="7">
        <v>33.420999999999999</v>
      </c>
      <c r="AN286" s="7">
        <v>0.82099999999999995</v>
      </c>
      <c r="AO286" s="7">
        <v>22.861000000000001</v>
      </c>
      <c r="AP286" s="7">
        <v>4.3339999999999996</v>
      </c>
      <c r="AQ286" s="7">
        <v>13.513999999999999</v>
      </c>
    </row>
    <row r="287" spans="1:43" x14ac:dyDescent="0.25">
      <c r="A287" t="s">
        <v>233</v>
      </c>
      <c r="B287" s="22" t="s">
        <v>7</v>
      </c>
      <c r="C287" t="s">
        <v>283</v>
      </c>
      <c r="D287" s="22" t="s">
        <v>286</v>
      </c>
      <c r="E287" s="21">
        <v>2018</v>
      </c>
      <c r="F287" s="7">
        <v>210.096985205111</v>
      </c>
      <c r="G287" s="7">
        <v>8.8580000000000005</v>
      </c>
      <c r="H287" s="7">
        <v>1.9730000000000001</v>
      </c>
      <c r="I287" s="7">
        <v>2.1190000000000002</v>
      </c>
      <c r="J287" s="7">
        <v>1.0049999999999999</v>
      </c>
      <c r="K287" s="7">
        <v>3.4780000000000002</v>
      </c>
      <c r="L287" s="7">
        <v>0</v>
      </c>
      <c r="M287" s="7">
        <v>2.6139999999999999</v>
      </c>
      <c r="N287" s="7">
        <v>0</v>
      </c>
      <c r="O287" s="7">
        <v>0</v>
      </c>
      <c r="P287" s="7">
        <v>3.7320000000000002</v>
      </c>
      <c r="Q287" s="7">
        <v>1.206</v>
      </c>
      <c r="R287" s="7">
        <v>0.158</v>
      </c>
      <c r="S287" s="7">
        <v>12.004</v>
      </c>
      <c r="T287" s="7">
        <v>5.8659999999999997</v>
      </c>
      <c r="U287" s="7">
        <v>7.3369999999999997</v>
      </c>
      <c r="V287" s="7">
        <v>0.378</v>
      </c>
      <c r="W287" s="7">
        <v>3.5070000000000001</v>
      </c>
      <c r="X287" s="7">
        <v>3.9860000000000002</v>
      </c>
      <c r="Y287" s="7">
        <v>0.13100000000000001</v>
      </c>
      <c r="Z287" s="7">
        <v>0</v>
      </c>
      <c r="AA287" s="7">
        <v>5.9260000000000002</v>
      </c>
      <c r="AB287" s="7">
        <v>0.502</v>
      </c>
      <c r="AC287" s="7">
        <v>0.64700000000000002</v>
      </c>
      <c r="AD287" s="7">
        <v>0.35599999999999998</v>
      </c>
      <c r="AE287" s="7">
        <v>10.179</v>
      </c>
      <c r="AF287" s="7">
        <v>18.454000000000001</v>
      </c>
      <c r="AG287" s="7">
        <v>0</v>
      </c>
      <c r="AH287" s="7">
        <v>14.122999999999999</v>
      </c>
      <c r="AI287" s="7">
        <v>0</v>
      </c>
      <c r="AJ287" s="7">
        <v>3.411</v>
      </c>
      <c r="AK287" s="7">
        <v>1.68</v>
      </c>
      <c r="AL287" s="7">
        <v>58.351999999999997</v>
      </c>
      <c r="AM287" s="7">
        <v>53.597999999999999</v>
      </c>
      <c r="AN287" s="7">
        <v>0.91900000000000004</v>
      </c>
      <c r="AO287" s="7">
        <v>34.573</v>
      </c>
      <c r="AP287" s="7">
        <v>6.3460000000000001</v>
      </c>
      <c r="AQ287" s="7">
        <v>17.433</v>
      </c>
    </row>
    <row r="288" spans="1:43" x14ac:dyDescent="0.25">
      <c r="A288" t="s">
        <v>234</v>
      </c>
      <c r="B288" s="22" t="s">
        <v>8</v>
      </c>
      <c r="C288" t="s">
        <v>283</v>
      </c>
      <c r="D288" s="22" t="s">
        <v>283</v>
      </c>
      <c r="E288" s="21">
        <v>2018</v>
      </c>
      <c r="F288" s="7">
        <v>124.52645695999399</v>
      </c>
      <c r="G288" s="7">
        <v>6.6669999999999998</v>
      </c>
      <c r="H288" s="7">
        <v>1.9770000000000001</v>
      </c>
      <c r="I288" s="7">
        <v>1.2689999999999999</v>
      </c>
      <c r="J288" s="7">
        <v>0.63900000000000001</v>
      </c>
      <c r="K288" s="7">
        <v>1.613</v>
      </c>
      <c r="L288" s="7">
        <v>0</v>
      </c>
      <c r="M288" s="7">
        <v>1.4610000000000001</v>
      </c>
      <c r="N288" s="7">
        <v>0</v>
      </c>
      <c r="O288" s="7">
        <v>0</v>
      </c>
      <c r="P288" s="7">
        <v>3.5219999999999998</v>
      </c>
      <c r="Q288" s="7">
        <v>0.47599999999999998</v>
      </c>
      <c r="R288" s="7">
        <v>0</v>
      </c>
      <c r="S288" s="7">
        <v>5.9829999999999997</v>
      </c>
      <c r="T288" s="7">
        <v>2.742</v>
      </c>
      <c r="U288" s="7">
        <v>3.7160000000000002</v>
      </c>
      <c r="V288" s="7">
        <v>0.20100000000000001</v>
      </c>
      <c r="W288" s="7">
        <v>2.113</v>
      </c>
      <c r="X288" s="7">
        <v>2.2749999999999999</v>
      </c>
      <c r="Y288" s="7">
        <v>9.9000000000000005E-2</v>
      </c>
      <c r="Z288" s="7">
        <v>0</v>
      </c>
      <c r="AA288" s="7">
        <v>5.4569999999999999</v>
      </c>
      <c r="AB288" s="7">
        <v>0.47</v>
      </c>
      <c r="AC288" s="7">
        <v>0.35799999999999998</v>
      </c>
      <c r="AD288" s="7">
        <v>0.27600000000000002</v>
      </c>
      <c r="AE288" s="7">
        <v>4.2050000000000001</v>
      </c>
      <c r="AF288" s="7">
        <v>9.2430000000000003</v>
      </c>
      <c r="AG288" s="7">
        <v>0</v>
      </c>
      <c r="AH288" s="7">
        <v>9.907</v>
      </c>
      <c r="AI288" s="7">
        <v>2.2440000000000002</v>
      </c>
      <c r="AJ288" s="7">
        <v>0</v>
      </c>
      <c r="AK288" s="7">
        <v>1.855</v>
      </c>
      <c r="AL288" s="7">
        <v>34.753</v>
      </c>
      <c r="AM288" s="7">
        <v>32.159999999999997</v>
      </c>
      <c r="AN288" s="7">
        <v>0.92500000000000004</v>
      </c>
      <c r="AO288" s="7">
        <v>17.605</v>
      </c>
      <c r="AP288" s="7">
        <v>4.9829999999999997</v>
      </c>
      <c r="AQ288" s="7">
        <v>12.164999999999999</v>
      </c>
    </row>
    <row r="289" spans="1:43" x14ac:dyDescent="0.25">
      <c r="A289" t="s">
        <v>235</v>
      </c>
      <c r="B289" s="22" t="s">
        <v>8</v>
      </c>
      <c r="C289" t="s">
        <v>283</v>
      </c>
      <c r="D289" s="22" t="s">
        <v>283</v>
      </c>
      <c r="E289" s="21">
        <v>2018</v>
      </c>
      <c r="F289" s="7">
        <v>199.294382641119</v>
      </c>
      <c r="G289" s="7">
        <v>9.5690000000000008</v>
      </c>
      <c r="H289" s="7">
        <v>1.9550000000000001</v>
      </c>
      <c r="I289" s="7">
        <v>2.2549999999999999</v>
      </c>
      <c r="J289" s="7">
        <v>1.284</v>
      </c>
      <c r="K289" s="7">
        <v>2.97</v>
      </c>
      <c r="L289" s="7">
        <v>0.104</v>
      </c>
      <c r="M289" s="7">
        <v>2.4740000000000002</v>
      </c>
      <c r="N289" s="7">
        <v>0</v>
      </c>
      <c r="O289" s="7">
        <v>0</v>
      </c>
      <c r="P289" s="7">
        <v>4.1820000000000004</v>
      </c>
      <c r="Q289" s="7">
        <v>0.9</v>
      </c>
      <c r="R289" s="7">
        <v>6.2E-2</v>
      </c>
      <c r="S289" s="7">
        <v>10.599</v>
      </c>
      <c r="T289" s="7">
        <v>5.165</v>
      </c>
      <c r="U289" s="7">
        <v>6.9770000000000003</v>
      </c>
      <c r="V289" s="7">
        <v>0.35099999999999998</v>
      </c>
      <c r="W289" s="7">
        <v>3.3250000000000002</v>
      </c>
      <c r="X289" s="7">
        <v>3.8</v>
      </c>
      <c r="Y289" s="7">
        <v>0.121</v>
      </c>
      <c r="Z289" s="7">
        <v>0</v>
      </c>
      <c r="AA289" s="7">
        <v>5.2290000000000001</v>
      </c>
      <c r="AB289" s="7">
        <v>0.46</v>
      </c>
      <c r="AC289" s="7">
        <v>0.67400000000000004</v>
      </c>
      <c r="AD289" s="7">
        <v>0.32300000000000001</v>
      </c>
      <c r="AE289" s="7">
        <v>8.5670000000000002</v>
      </c>
      <c r="AF289" s="7">
        <v>17.675999999999998</v>
      </c>
      <c r="AG289" s="7">
        <v>0</v>
      </c>
      <c r="AH289" s="7">
        <v>12.96</v>
      </c>
      <c r="AI289" s="7">
        <v>4.2930000000000001</v>
      </c>
      <c r="AJ289" s="7">
        <v>0</v>
      </c>
      <c r="AK289" s="7">
        <v>1.766</v>
      </c>
      <c r="AL289" s="7">
        <v>56.093000000000004</v>
      </c>
      <c r="AM289" s="7">
        <v>50.182000000000002</v>
      </c>
      <c r="AN289" s="7">
        <v>0.89500000000000002</v>
      </c>
      <c r="AO289" s="7">
        <v>31.3</v>
      </c>
      <c r="AP289" s="7">
        <v>6.6559999999999997</v>
      </c>
      <c r="AQ289" s="7">
        <v>18.137</v>
      </c>
    </row>
    <row r="290" spans="1:43" x14ac:dyDescent="0.25">
      <c r="A290" t="s">
        <v>236</v>
      </c>
      <c r="B290" s="22" t="s">
        <v>8</v>
      </c>
      <c r="C290" t="s">
        <v>283</v>
      </c>
      <c r="D290" s="22" t="s">
        <v>283</v>
      </c>
      <c r="E290" s="21">
        <v>2018</v>
      </c>
      <c r="F290" s="7">
        <v>277.813486382326</v>
      </c>
      <c r="G290" s="7">
        <v>10.183999999999999</v>
      </c>
      <c r="H290" s="7">
        <v>1.903</v>
      </c>
      <c r="I290" s="7">
        <v>2.214</v>
      </c>
      <c r="J290" s="7">
        <v>1.633</v>
      </c>
      <c r="K290" s="7">
        <v>2.927</v>
      </c>
      <c r="L290" s="7">
        <v>0.151</v>
      </c>
      <c r="M290" s="7">
        <v>3.0329999999999999</v>
      </c>
      <c r="N290" s="7">
        <v>0</v>
      </c>
      <c r="O290" s="7">
        <v>0</v>
      </c>
      <c r="P290" s="7">
        <v>4.4870000000000001</v>
      </c>
      <c r="Q290" s="7">
        <v>1.2929999999999999</v>
      </c>
      <c r="R290" s="7">
        <v>8.2000000000000003E-2</v>
      </c>
      <c r="S290" s="7">
        <v>13.476000000000001</v>
      </c>
      <c r="T290" s="7">
        <v>6.944</v>
      </c>
      <c r="U290" s="7">
        <v>8.532</v>
      </c>
      <c r="V290" s="7">
        <v>0.46700000000000003</v>
      </c>
      <c r="W290" s="7">
        <v>4.2009999999999996</v>
      </c>
      <c r="X290" s="7">
        <v>4.8689999999999998</v>
      </c>
      <c r="Y290" s="7">
        <v>0.153</v>
      </c>
      <c r="Z290" s="7">
        <v>0</v>
      </c>
      <c r="AA290" s="7">
        <v>10.022</v>
      </c>
      <c r="AB290" s="7">
        <v>0.63800000000000001</v>
      </c>
      <c r="AC290" s="7">
        <v>0.871</v>
      </c>
      <c r="AD290" s="7">
        <v>0.46600000000000003</v>
      </c>
      <c r="AE290" s="7">
        <v>17.437999999999999</v>
      </c>
      <c r="AF290" s="7">
        <v>21.677</v>
      </c>
      <c r="AG290" s="7">
        <v>0</v>
      </c>
      <c r="AH290" s="7">
        <v>17.728999999999999</v>
      </c>
      <c r="AI290" s="7">
        <v>4.8460000000000001</v>
      </c>
      <c r="AJ290" s="7">
        <v>0</v>
      </c>
      <c r="AK290" s="7">
        <v>3.1429999999999998</v>
      </c>
      <c r="AL290" s="7">
        <v>66.549000000000007</v>
      </c>
      <c r="AM290" s="7">
        <v>73.686999999999998</v>
      </c>
      <c r="AN290" s="7">
        <v>1.107</v>
      </c>
      <c r="AO290" s="7">
        <v>40.017000000000003</v>
      </c>
      <c r="AP290" s="7">
        <v>7.52</v>
      </c>
      <c r="AQ290" s="7">
        <v>19.012</v>
      </c>
    </row>
    <row r="291" spans="1:43" x14ac:dyDescent="0.25">
      <c r="A291" t="s">
        <v>237</v>
      </c>
      <c r="B291" s="22" t="s">
        <v>8</v>
      </c>
      <c r="C291" t="s">
        <v>283</v>
      </c>
      <c r="D291" s="22" t="s">
        <v>283</v>
      </c>
      <c r="E291" s="21">
        <v>2018</v>
      </c>
      <c r="F291" s="7">
        <v>213.47331483407899</v>
      </c>
      <c r="G291" s="7">
        <v>7.8120000000000003</v>
      </c>
      <c r="H291" s="7">
        <v>1.619</v>
      </c>
      <c r="I291" s="7">
        <v>1.9390000000000001</v>
      </c>
      <c r="J291" s="7">
        <v>1.177</v>
      </c>
      <c r="K291" s="7">
        <v>2.6419999999999999</v>
      </c>
      <c r="L291" s="7">
        <v>0.154</v>
      </c>
      <c r="M291" s="7">
        <v>2.214</v>
      </c>
      <c r="N291" s="7">
        <v>0</v>
      </c>
      <c r="O291" s="7">
        <v>0</v>
      </c>
      <c r="P291" s="7">
        <v>3.4470000000000001</v>
      </c>
      <c r="Q291" s="7">
        <v>0.82099999999999995</v>
      </c>
      <c r="R291" s="7">
        <v>0</v>
      </c>
      <c r="S291" s="7">
        <v>8.8450000000000006</v>
      </c>
      <c r="T291" s="7">
        <v>5.1210000000000004</v>
      </c>
      <c r="U291" s="7">
        <v>6.0439999999999996</v>
      </c>
      <c r="V291" s="7">
        <v>0.33400000000000002</v>
      </c>
      <c r="W291" s="7">
        <v>2.9460000000000002</v>
      </c>
      <c r="X291" s="7">
        <v>3.5019999999999998</v>
      </c>
      <c r="Y291" s="7">
        <v>0.17699999999999999</v>
      </c>
      <c r="Z291" s="7">
        <v>0</v>
      </c>
      <c r="AA291" s="7">
        <v>6.5519999999999996</v>
      </c>
      <c r="AB291" s="7">
        <v>0.56499999999999995</v>
      </c>
      <c r="AC291" s="7">
        <v>0.73199999999999998</v>
      </c>
      <c r="AD291" s="7">
        <v>0.36499999999999999</v>
      </c>
      <c r="AE291" s="7">
        <v>13.010999999999999</v>
      </c>
      <c r="AF291" s="7">
        <v>23.178000000000001</v>
      </c>
      <c r="AG291" s="7">
        <v>0</v>
      </c>
      <c r="AH291" s="7">
        <v>14.597</v>
      </c>
      <c r="AI291" s="7">
        <v>0</v>
      </c>
      <c r="AJ291" s="7">
        <v>4.0289999999999999</v>
      </c>
      <c r="AK291" s="7">
        <v>3.528</v>
      </c>
      <c r="AL291" s="7">
        <v>48.793999999999997</v>
      </c>
      <c r="AM291" s="7">
        <v>63.029000000000003</v>
      </c>
      <c r="AN291" s="7">
        <v>1.292</v>
      </c>
      <c r="AO291" s="7">
        <v>27.79</v>
      </c>
      <c r="AP291" s="7">
        <v>5.6609999999999996</v>
      </c>
      <c r="AQ291" s="7">
        <v>15.343</v>
      </c>
    </row>
    <row r="292" spans="1:43" x14ac:dyDescent="0.25">
      <c r="A292" t="s">
        <v>238</v>
      </c>
      <c r="B292" s="22" t="s">
        <v>825</v>
      </c>
      <c r="C292" t="s">
        <v>283</v>
      </c>
      <c r="D292" s="22" t="s">
        <v>286</v>
      </c>
      <c r="E292" s="21">
        <v>2018</v>
      </c>
      <c r="F292" s="7">
        <v>128.22673526619701</v>
      </c>
      <c r="G292" s="7">
        <v>6.1319999999999997</v>
      </c>
      <c r="H292" s="7">
        <v>1.83</v>
      </c>
      <c r="I292" s="7">
        <v>1.1439999999999999</v>
      </c>
      <c r="J292" s="7">
        <v>0.44600000000000001</v>
      </c>
      <c r="K292" s="7">
        <v>1.395</v>
      </c>
      <c r="L292" s="7">
        <v>0</v>
      </c>
      <c r="M292" s="7">
        <v>1.2170000000000001</v>
      </c>
      <c r="N292" s="7">
        <v>0</v>
      </c>
      <c r="O292" s="7">
        <v>0</v>
      </c>
      <c r="P292" s="7">
        <v>3.3109999999999999</v>
      </c>
      <c r="Q292" s="7">
        <v>0.32800000000000001</v>
      </c>
      <c r="R292" s="7">
        <v>0</v>
      </c>
      <c r="S292" s="7">
        <v>5.7409999999999997</v>
      </c>
      <c r="T292" s="7">
        <v>2.452</v>
      </c>
      <c r="U292" s="7">
        <v>3.2530000000000001</v>
      </c>
      <c r="V292" s="7">
        <v>0.18</v>
      </c>
      <c r="W292" s="7">
        <v>2.0670000000000002</v>
      </c>
      <c r="X292" s="7">
        <v>2.1259999999999999</v>
      </c>
      <c r="Y292" s="7">
        <v>0.109</v>
      </c>
      <c r="Z292" s="7">
        <v>0</v>
      </c>
      <c r="AA292" s="7">
        <v>10.696</v>
      </c>
      <c r="AB292" s="7">
        <v>0.57799999999999996</v>
      </c>
      <c r="AC292" s="7">
        <v>0.27900000000000003</v>
      </c>
      <c r="AD292" s="7">
        <v>0.158</v>
      </c>
      <c r="AE292" s="7">
        <v>3.823</v>
      </c>
      <c r="AF292" s="7">
        <v>7.9690000000000003</v>
      </c>
      <c r="AG292" s="7">
        <v>0</v>
      </c>
      <c r="AH292" s="7">
        <v>12.071</v>
      </c>
      <c r="AI292" s="7">
        <v>2.6219999999999999</v>
      </c>
      <c r="AJ292" s="7">
        <v>0</v>
      </c>
      <c r="AK292" s="7">
        <v>2.6240000000000001</v>
      </c>
      <c r="AL292" s="7">
        <v>31.731000000000002</v>
      </c>
      <c r="AM292" s="7">
        <v>38.195999999999998</v>
      </c>
      <c r="AN292" s="7">
        <v>1.204</v>
      </c>
      <c r="AO292" s="7">
        <v>16.256</v>
      </c>
      <c r="AP292" s="7">
        <v>4.5279999999999996</v>
      </c>
      <c r="AQ292" s="7">
        <v>10.946999999999999</v>
      </c>
    </row>
    <row r="293" spans="1:43" x14ac:dyDescent="0.25">
      <c r="A293" t="s">
        <v>239</v>
      </c>
      <c r="B293" s="22" t="s">
        <v>825</v>
      </c>
      <c r="C293" t="s">
        <v>283</v>
      </c>
      <c r="D293" s="22" t="s">
        <v>286</v>
      </c>
      <c r="E293" s="21">
        <v>2018</v>
      </c>
      <c r="F293" s="7">
        <v>188.667097546213</v>
      </c>
      <c r="G293" s="7">
        <v>9.3339999999999996</v>
      </c>
      <c r="H293" s="7">
        <v>2.1709999999999998</v>
      </c>
      <c r="I293" s="7">
        <v>1.6839999999999999</v>
      </c>
      <c r="J293" s="7">
        <v>1.004</v>
      </c>
      <c r="K293" s="7">
        <v>2.0779999999999998</v>
      </c>
      <c r="L293" s="7">
        <v>0</v>
      </c>
      <c r="M293" s="7">
        <v>2.141</v>
      </c>
      <c r="N293" s="7">
        <v>0</v>
      </c>
      <c r="O293" s="7">
        <v>0</v>
      </c>
      <c r="P293" s="7">
        <v>4.3310000000000004</v>
      </c>
      <c r="Q293" s="7">
        <v>0.83099999999999996</v>
      </c>
      <c r="R293" s="7">
        <v>6.6000000000000003E-2</v>
      </c>
      <c r="S293" s="7">
        <v>10.458</v>
      </c>
      <c r="T293" s="7">
        <v>4.6710000000000003</v>
      </c>
      <c r="U293" s="7">
        <v>5.5490000000000004</v>
      </c>
      <c r="V293" s="7">
        <v>0.36499999999999999</v>
      </c>
      <c r="W293" s="7">
        <v>3.2770000000000001</v>
      </c>
      <c r="X293" s="7">
        <v>3.3879999999999999</v>
      </c>
      <c r="Y293" s="7">
        <v>0.16300000000000001</v>
      </c>
      <c r="Z293" s="7">
        <v>0</v>
      </c>
      <c r="AA293" s="7">
        <v>7.3289999999999997</v>
      </c>
      <c r="AB293" s="7">
        <v>0.67300000000000004</v>
      </c>
      <c r="AC293" s="7">
        <v>0.46300000000000002</v>
      </c>
      <c r="AD293" s="7">
        <v>0.21299999999999999</v>
      </c>
      <c r="AE293" s="7">
        <v>8.2409999999999997</v>
      </c>
      <c r="AF293" s="7">
        <v>18.413</v>
      </c>
      <c r="AG293" s="7">
        <v>0</v>
      </c>
      <c r="AH293" s="7">
        <v>11.523999999999999</v>
      </c>
      <c r="AI293" s="7">
        <v>4.1479999999999997</v>
      </c>
      <c r="AJ293" s="7">
        <v>0</v>
      </c>
      <c r="AK293" s="7">
        <v>2.08</v>
      </c>
      <c r="AL293" s="7">
        <v>51.511000000000003</v>
      </c>
      <c r="AM293" s="7">
        <v>51.003999999999998</v>
      </c>
      <c r="AN293" s="7">
        <v>0.99</v>
      </c>
      <c r="AO293" s="7">
        <v>28.768000000000001</v>
      </c>
      <c r="AP293" s="7">
        <v>6.4720000000000004</v>
      </c>
      <c r="AQ293" s="7">
        <v>16.271000000000001</v>
      </c>
    </row>
    <row r="294" spans="1:43" x14ac:dyDescent="0.25">
      <c r="A294" t="s">
        <v>240</v>
      </c>
      <c r="B294" s="22" t="s">
        <v>825</v>
      </c>
      <c r="C294" t="s">
        <v>283</v>
      </c>
      <c r="D294" s="22" t="s">
        <v>286</v>
      </c>
      <c r="E294" s="21">
        <v>2018</v>
      </c>
      <c r="F294" s="7">
        <v>128.205849735626</v>
      </c>
      <c r="G294" s="7">
        <v>7.9589999999999996</v>
      </c>
      <c r="H294" s="7">
        <v>2.7770000000000001</v>
      </c>
      <c r="I294" s="7">
        <v>1.252</v>
      </c>
      <c r="J294" s="7">
        <v>0.626</v>
      </c>
      <c r="K294" s="7">
        <v>1.8740000000000001</v>
      </c>
      <c r="L294" s="7">
        <v>0.161</v>
      </c>
      <c r="M294" s="7">
        <v>1.599</v>
      </c>
      <c r="N294" s="7">
        <v>0</v>
      </c>
      <c r="O294" s="7">
        <v>0</v>
      </c>
      <c r="P294" s="7">
        <v>4.0599999999999996</v>
      </c>
      <c r="Q294" s="7">
        <v>0.60399999999999998</v>
      </c>
      <c r="R294" s="7">
        <v>4.7E-2</v>
      </c>
      <c r="S294" s="7">
        <v>7.633</v>
      </c>
      <c r="T294" s="7">
        <v>3.492</v>
      </c>
      <c r="U294" s="7">
        <v>4.3940000000000001</v>
      </c>
      <c r="V294" s="7">
        <v>0.23200000000000001</v>
      </c>
      <c r="W294" s="7">
        <v>2.657</v>
      </c>
      <c r="X294" s="7">
        <v>2.742</v>
      </c>
      <c r="Y294" s="7">
        <v>0.17100000000000001</v>
      </c>
      <c r="Z294" s="7">
        <v>0</v>
      </c>
      <c r="AA294" s="7">
        <v>4.13</v>
      </c>
      <c r="AB294" s="7">
        <v>0.42299999999999999</v>
      </c>
      <c r="AC294" s="7">
        <v>0.38900000000000001</v>
      </c>
      <c r="AD294" s="7">
        <v>0.16900000000000001</v>
      </c>
      <c r="AE294" s="7">
        <v>3.2639999999999998</v>
      </c>
      <c r="AF294" s="7">
        <v>8.5079999999999991</v>
      </c>
      <c r="AG294" s="7">
        <v>0</v>
      </c>
      <c r="AH294" s="7">
        <v>6.3710000000000004</v>
      </c>
      <c r="AI294" s="7">
        <v>2.7149999999999999</v>
      </c>
      <c r="AJ294" s="7">
        <v>0</v>
      </c>
      <c r="AK294" s="7">
        <v>1.7869999999999999</v>
      </c>
      <c r="AL294" s="7">
        <v>42.28</v>
      </c>
      <c r="AM294" s="7">
        <v>25.969000000000001</v>
      </c>
      <c r="AN294" s="7">
        <v>0.61399999999999999</v>
      </c>
      <c r="AO294" s="7">
        <v>21.972000000000001</v>
      </c>
      <c r="AP294" s="7">
        <v>5.6589999999999998</v>
      </c>
      <c r="AQ294" s="7">
        <v>14.648999999999999</v>
      </c>
    </row>
    <row r="295" spans="1:43" x14ac:dyDescent="0.25">
      <c r="A295" s="11" t="s">
        <v>241</v>
      </c>
      <c r="B295" s="22" t="s">
        <v>825</v>
      </c>
      <c r="C295" t="s">
        <v>283</v>
      </c>
      <c r="D295" s="22" t="s">
        <v>286</v>
      </c>
      <c r="E295" s="21">
        <v>2018</v>
      </c>
      <c r="F295" s="13">
        <v>95.006299686121693</v>
      </c>
      <c r="G295" s="7">
        <v>4.3109999999999999</v>
      </c>
      <c r="H295" s="7">
        <v>1.343</v>
      </c>
      <c r="I295" s="7">
        <v>0.78700000000000003</v>
      </c>
      <c r="J295" s="7">
        <v>0.42799999999999999</v>
      </c>
      <c r="K295" s="7">
        <v>1.0980000000000001</v>
      </c>
      <c r="L295" s="7">
        <v>0</v>
      </c>
      <c r="M295" s="7">
        <v>0.873</v>
      </c>
      <c r="N295" s="7">
        <v>0.111</v>
      </c>
      <c r="O295" s="7">
        <v>0</v>
      </c>
      <c r="P295" s="7">
        <v>2.1419999999999999</v>
      </c>
      <c r="Q295" s="7">
        <v>0.33200000000000002</v>
      </c>
      <c r="R295" s="7">
        <v>0</v>
      </c>
      <c r="S295" s="7">
        <v>3.9350000000000001</v>
      </c>
      <c r="T295" s="7">
        <v>2.1749999999999998</v>
      </c>
      <c r="U295" s="7">
        <v>2.3370000000000002</v>
      </c>
      <c r="V295" s="7">
        <v>0.14199999999999999</v>
      </c>
      <c r="W295" s="7">
        <v>1.3620000000000001</v>
      </c>
      <c r="X295" s="7">
        <v>1.5349999999999999</v>
      </c>
      <c r="Y295" s="7">
        <v>6.8000000000000005E-2</v>
      </c>
      <c r="Z295" s="7">
        <v>0</v>
      </c>
      <c r="AA295" s="7">
        <v>9.5890000000000004</v>
      </c>
      <c r="AB295" s="7">
        <v>0.44700000000000001</v>
      </c>
      <c r="AC295" s="7">
        <v>0.20599999999999999</v>
      </c>
      <c r="AD295" s="7">
        <v>9.0999999999999998E-2</v>
      </c>
      <c r="AE295" s="7">
        <v>3.4220000000000002</v>
      </c>
      <c r="AF295" s="7">
        <v>6.5209999999999999</v>
      </c>
      <c r="AG295" s="7">
        <v>0</v>
      </c>
      <c r="AH295" s="7">
        <v>8.0660000000000007</v>
      </c>
      <c r="AI295" s="7">
        <v>2.4089999999999998</v>
      </c>
      <c r="AJ295" s="7">
        <v>0</v>
      </c>
      <c r="AK295" s="7">
        <v>1.0760000000000001</v>
      </c>
      <c r="AL295" s="7">
        <v>22.978999999999999</v>
      </c>
      <c r="AM295" s="7">
        <v>30.751000000000001</v>
      </c>
      <c r="AN295" s="7">
        <v>1.3380000000000001</v>
      </c>
      <c r="AO295" s="7">
        <v>11.885999999999999</v>
      </c>
      <c r="AP295" s="7">
        <v>3.1259999999999999</v>
      </c>
      <c r="AQ295" s="7">
        <v>7.9669999999999996</v>
      </c>
    </row>
    <row r="296" spans="1:43" x14ac:dyDescent="0.25">
      <c r="A296" t="s">
        <v>264</v>
      </c>
      <c r="B296" s="22" t="s">
        <v>826</v>
      </c>
      <c r="C296" t="s">
        <v>283</v>
      </c>
      <c r="D296" s="22" t="s">
        <v>286</v>
      </c>
      <c r="E296" s="21">
        <v>2018</v>
      </c>
      <c r="F296" s="7">
        <v>283.06334289044401</v>
      </c>
      <c r="G296" s="7">
        <v>10.896000000000001</v>
      </c>
      <c r="H296" s="7">
        <v>2.1429999999999998</v>
      </c>
      <c r="I296" s="7">
        <v>2.7930000000000001</v>
      </c>
      <c r="J296" s="7">
        <v>1.7310000000000001</v>
      </c>
      <c r="K296" s="7">
        <v>3.8759999999999999</v>
      </c>
      <c r="L296" s="7">
        <v>0.13100000000000001</v>
      </c>
      <c r="M296" s="7">
        <v>2.8410000000000002</v>
      </c>
      <c r="N296" s="7">
        <v>0</v>
      </c>
      <c r="O296" s="7">
        <v>0</v>
      </c>
      <c r="P296" s="7">
        <v>4.0999999999999996</v>
      </c>
      <c r="Q296" s="7">
        <v>1.57</v>
      </c>
      <c r="R296" s="7">
        <v>0.189</v>
      </c>
      <c r="S296" s="7">
        <v>13.305999999999999</v>
      </c>
      <c r="T296" s="7">
        <v>7.6260000000000003</v>
      </c>
      <c r="U296" s="7">
        <v>9.3859999999999992</v>
      </c>
      <c r="V296" s="7">
        <v>0.48699999999999999</v>
      </c>
      <c r="W296" s="7">
        <v>4.1040000000000001</v>
      </c>
      <c r="X296" s="7">
        <v>5.5469999999999997</v>
      </c>
      <c r="Y296" s="7">
        <v>0.23400000000000001</v>
      </c>
      <c r="Z296" s="7">
        <v>0</v>
      </c>
      <c r="AA296" s="7">
        <v>9.4469999999999992</v>
      </c>
      <c r="AB296" s="7">
        <v>0.64400000000000002</v>
      </c>
      <c r="AC296" s="7">
        <v>1.0269999999999999</v>
      </c>
      <c r="AD296" s="7">
        <v>0.59</v>
      </c>
      <c r="AE296" s="7">
        <v>16.024999999999999</v>
      </c>
      <c r="AF296" s="7">
        <v>25.585000000000001</v>
      </c>
      <c r="AG296" s="7">
        <v>0</v>
      </c>
      <c r="AH296" s="7">
        <v>19.946000000000002</v>
      </c>
      <c r="AI296" s="7">
        <v>5.0039999999999996</v>
      </c>
      <c r="AJ296" s="7">
        <v>0</v>
      </c>
      <c r="AK296" s="7">
        <v>2.7189999999999999</v>
      </c>
      <c r="AL296" s="7">
        <v>70.959999999999994</v>
      </c>
      <c r="AM296" s="7">
        <v>78.268000000000001</v>
      </c>
      <c r="AN296" s="7">
        <v>1.103</v>
      </c>
      <c r="AO296" s="7">
        <v>42.448999999999998</v>
      </c>
      <c r="AP296" s="7">
        <v>6.9409999999999998</v>
      </c>
      <c r="AQ296" s="7">
        <v>21.57</v>
      </c>
    </row>
    <row r="297" spans="1:43" x14ac:dyDescent="0.25">
      <c r="A297" t="s">
        <v>242</v>
      </c>
      <c r="B297" s="22" t="s">
        <v>826</v>
      </c>
      <c r="C297" t="s">
        <v>283</v>
      </c>
      <c r="D297" s="22" t="s">
        <v>286</v>
      </c>
      <c r="E297" s="21">
        <v>2018</v>
      </c>
      <c r="F297" s="7">
        <v>210.46215984010101</v>
      </c>
      <c r="G297" s="7">
        <v>8.0190000000000001</v>
      </c>
      <c r="H297" s="7">
        <v>2.2450000000000001</v>
      </c>
      <c r="I297" s="7">
        <v>1.7410000000000001</v>
      </c>
      <c r="J297" s="7">
        <v>1.0620000000000001</v>
      </c>
      <c r="K297" s="7">
        <v>2.8130000000000002</v>
      </c>
      <c r="L297" s="7">
        <v>0</v>
      </c>
      <c r="M297" s="7">
        <v>1.9970000000000001</v>
      </c>
      <c r="N297" s="7">
        <v>0</v>
      </c>
      <c r="O297" s="7">
        <v>0</v>
      </c>
      <c r="P297" s="7">
        <v>3.0870000000000002</v>
      </c>
      <c r="Q297" s="7">
        <v>0.81200000000000006</v>
      </c>
      <c r="R297" s="7">
        <v>7.4999999999999997E-2</v>
      </c>
      <c r="S297" s="7">
        <v>8.5220000000000002</v>
      </c>
      <c r="T297" s="7">
        <v>4.8390000000000004</v>
      </c>
      <c r="U297" s="7">
        <v>5.9390000000000001</v>
      </c>
      <c r="V297" s="7">
        <v>0.30299999999999999</v>
      </c>
      <c r="W297" s="7">
        <v>2.7850000000000001</v>
      </c>
      <c r="X297" s="7">
        <v>3.5459999999999998</v>
      </c>
      <c r="Y297" s="7">
        <v>0.16</v>
      </c>
      <c r="Z297" s="7">
        <v>0</v>
      </c>
      <c r="AA297" s="7">
        <v>11.891</v>
      </c>
      <c r="AB297" s="7">
        <v>0.57999999999999996</v>
      </c>
      <c r="AC297" s="7">
        <v>0.56200000000000006</v>
      </c>
      <c r="AD297" s="7">
        <v>0.28899999999999998</v>
      </c>
      <c r="AE297" s="7">
        <v>11.872999999999999</v>
      </c>
      <c r="AF297" s="7">
        <v>16.823</v>
      </c>
      <c r="AG297" s="7">
        <v>0</v>
      </c>
      <c r="AH297" s="7">
        <v>13.991</v>
      </c>
      <c r="AI297" s="7">
        <v>3.472</v>
      </c>
      <c r="AJ297" s="7">
        <v>0</v>
      </c>
      <c r="AK297" s="7">
        <v>4.0609999999999999</v>
      </c>
      <c r="AL297" s="7">
        <v>47.945</v>
      </c>
      <c r="AM297" s="7">
        <v>59.481000000000002</v>
      </c>
      <c r="AN297" s="7">
        <v>1.2410000000000001</v>
      </c>
      <c r="AO297" s="7">
        <v>26.981000000000002</v>
      </c>
      <c r="AP297" s="7">
        <v>5.0839999999999996</v>
      </c>
      <c r="AQ297" s="7">
        <v>15.88</v>
      </c>
    </row>
    <row r="298" spans="1:43" x14ac:dyDescent="0.25">
      <c r="A298" t="s">
        <v>245</v>
      </c>
      <c r="B298" s="22" t="s">
        <v>824</v>
      </c>
      <c r="C298" t="s">
        <v>283</v>
      </c>
      <c r="D298" s="22" t="s">
        <v>286</v>
      </c>
      <c r="E298" s="21">
        <v>2018</v>
      </c>
      <c r="F298" s="7">
        <v>141.59250679385201</v>
      </c>
      <c r="G298" s="7">
        <v>6.9720000000000004</v>
      </c>
      <c r="H298" s="7">
        <v>4.0359999999999996</v>
      </c>
      <c r="I298" s="7">
        <v>1.3149999999999999</v>
      </c>
      <c r="J298" s="7">
        <v>0.625</v>
      </c>
      <c r="K298" s="7">
        <v>2.2949999999999999</v>
      </c>
      <c r="L298" s="7">
        <v>0</v>
      </c>
      <c r="M298" s="7">
        <v>1.8420000000000001</v>
      </c>
      <c r="N298" s="7">
        <v>0</v>
      </c>
      <c r="O298" s="7">
        <v>0</v>
      </c>
      <c r="P298" s="7">
        <v>3.3149999999999999</v>
      </c>
      <c r="Q298" s="7">
        <v>0.57999999999999996</v>
      </c>
      <c r="R298" s="7">
        <v>0</v>
      </c>
      <c r="S298" s="7">
        <v>5.4569999999999999</v>
      </c>
      <c r="T298" s="7">
        <v>3.3940000000000001</v>
      </c>
      <c r="U298" s="7">
        <v>4.8559999999999999</v>
      </c>
      <c r="V298" s="7">
        <v>0.20599999999999999</v>
      </c>
      <c r="W298" s="7">
        <v>2.2160000000000002</v>
      </c>
      <c r="X298" s="7">
        <v>2.9140000000000001</v>
      </c>
      <c r="Y298" s="7">
        <v>9.6000000000000002E-2</v>
      </c>
      <c r="Z298" s="7">
        <v>0</v>
      </c>
      <c r="AA298" s="7">
        <v>9.7490000000000006</v>
      </c>
      <c r="AB298" s="7">
        <v>0.47599999999999998</v>
      </c>
      <c r="AC298" s="7">
        <v>0.40400000000000003</v>
      </c>
      <c r="AD298" s="7">
        <v>0.10100000000000001</v>
      </c>
      <c r="AE298" s="7">
        <v>4.8440000000000003</v>
      </c>
      <c r="AF298" s="7">
        <v>13.177</v>
      </c>
      <c r="AG298" s="7">
        <v>0</v>
      </c>
      <c r="AH298" s="7">
        <v>10.669</v>
      </c>
      <c r="AI298" s="7">
        <v>0</v>
      </c>
      <c r="AJ298" s="7">
        <v>1.8480000000000001</v>
      </c>
      <c r="AK298" s="7">
        <v>3.2730000000000001</v>
      </c>
      <c r="AL298" s="7">
        <v>40.119</v>
      </c>
      <c r="AM298" s="7">
        <v>41.268000000000001</v>
      </c>
      <c r="AN298" s="7">
        <v>1.0289999999999999</v>
      </c>
      <c r="AO298" s="7">
        <v>19.719000000000001</v>
      </c>
      <c r="AP298" s="7">
        <v>5.157</v>
      </c>
      <c r="AQ298" s="7">
        <v>15.243</v>
      </c>
    </row>
    <row r="299" spans="1:43" x14ac:dyDescent="0.25">
      <c r="A299" t="s">
        <v>246</v>
      </c>
      <c r="B299" s="22" t="s">
        <v>824</v>
      </c>
      <c r="C299" t="s">
        <v>283</v>
      </c>
      <c r="D299" s="22" t="s">
        <v>286</v>
      </c>
      <c r="E299" s="21">
        <v>2018</v>
      </c>
      <c r="F299" s="7">
        <v>160.85943363862199</v>
      </c>
      <c r="G299" s="7">
        <v>7.2649999999999997</v>
      </c>
      <c r="H299" s="7">
        <v>3.9009999999999998</v>
      </c>
      <c r="I299" s="7">
        <v>1.583</v>
      </c>
      <c r="J299" s="7">
        <v>0.63800000000000001</v>
      </c>
      <c r="K299" s="7">
        <v>3.0960000000000001</v>
      </c>
      <c r="L299" s="7">
        <v>9.8000000000000004E-2</v>
      </c>
      <c r="M299" s="7">
        <v>1.899</v>
      </c>
      <c r="N299" s="7">
        <v>0</v>
      </c>
      <c r="O299" s="7">
        <v>0</v>
      </c>
      <c r="P299" s="7">
        <v>3.7450000000000001</v>
      </c>
      <c r="Q299" s="7">
        <v>0.85199999999999998</v>
      </c>
      <c r="R299" s="7">
        <v>0</v>
      </c>
      <c r="S299" s="7">
        <v>6.6109999999999998</v>
      </c>
      <c r="T299" s="7">
        <v>4.601</v>
      </c>
      <c r="U299" s="7">
        <v>5.8280000000000003</v>
      </c>
      <c r="V299" s="7">
        <v>0.27</v>
      </c>
      <c r="W299" s="7">
        <v>2.621</v>
      </c>
      <c r="X299" s="7">
        <v>3.5739999999999998</v>
      </c>
      <c r="Y299" s="7">
        <v>0.10100000000000001</v>
      </c>
      <c r="Z299" s="7">
        <v>0</v>
      </c>
      <c r="AA299" s="7">
        <v>7.5110000000000001</v>
      </c>
      <c r="AB299" s="7">
        <v>0.44900000000000001</v>
      </c>
      <c r="AC299" s="7">
        <v>0.56799999999999995</v>
      </c>
      <c r="AD299" s="7">
        <v>0.19600000000000001</v>
      </c>
      <c r="AE299" s="7">
        <v>7.12</v>
      </c>
      <c r="AF299" s="7">
        <v>13.82</v>
      </c>
      <c r="AG299" s="7">
        <v>0</v>
      </c>
      <c r="AH299" s="7">
        <v>12.667</v>
      </c>
      <c r="AI299" s="7">
        <v>0</v>
      </c>
      <c r="AJ299" s="7">
        <v>2.2320000000000002</v>
      </c>
      <c r="AK299" s="7">
        <v>2.2010000000000001</v>
      </c>
      <c r="AL299" s="7">
        <v>46.683</v>
      </c>
      <c r="AM299" s="7">
        <v>44.563000000000002</v>
      </c>
      <c r="AN299" s="7">
        <v>0.95499999999999996</v>
      </c>
      <c r="AO299" s="7">
        <v>24.457999999999998</v>
      </c>
      <c r="AP299" s="7">
        <v>5.6440000000000001</v>
      </c>
      <c r="AQ299" s="7">
        <v>16.581</v>
      </c>
    </row>
    <row r="300" spans="1:43" x14ac:dyDescent="0.25">
      <c r="A300" t="s">
        <v>247</v>
      </c>
      <c r="B300" s="22" t="s">
        <v>824</v>
      </c>
      <c r="C300" t="s">
        <v>283</v>
      </c>
      <c r="D300" s="22" t="s">
        <v>286</v>
      </c>
      <c r="E300" s="21">
        <v>2018</v>
      </c>
      <c r="F300" s="7">
        <v>207.754289916022</v>
      </c>
      <c r="G300" s="7">
        <v>8.7260000000000009</v>
      </c>
      <c r="H300" s="7">
        <v>2.2429999999999999</v>
      </c>
      <c r="I300" s="7">
        <v>1.73</v>
      </c>
      <c r="J300" s="7">
        <v>1.0469999999999999</v>
      </c>
      <c r="K300" s="7">
        <v>2.5960000000000001</v>
      </c>
      <c r="L300" s="7">
        <v>0.14699999999999999</v>
      </c>
      <c r="M300" s="7">
        <v>2.4049999999999998</v>
      </c>
      <c r="N300" s="7">
        <v>0.17899999999999999</v>
      </c>
      <c r="O300" s="7">
        <v>0</v>
      </c>
      <c r="P300" s="7">
        <v>4.2930000000000001</v>
      </c>
      <c r="Q300" s="7">
        <v>0.93100000000000005</v>
      </c>
      <c r="R300" s="7">
        <v>0</v>
      </c>
      <c r="S300" s="7">
        <v>9.3409999999999993</v>
      </c>
      <c r="T300" s="7">
        <v>5.5179999999999998</v>
      </c>
      <c r="U300" s="7">
        <v>6.1219999999999999</v>
      </c>
      <c r="V300" s="7">
        <v>0.32600000000000001</v>
      </c>
      <c r="W300" s="7">
        <v>3.1709999999999998</v>
      </c>
      <c r="X300" s="7">
        <v>3.7370000000000001</v>
      </c>
      <c r="Y300" s="7">
        <v>0.20399999999999999</v>
      </c>
      <c r="Z300" s="7">
        <v>0</v>
      </c>
      <c r="AA300" s="7">
        <v>9.7530000000000001</v>
      </c>
      <c r="AB300" s="7">
        <v>0.57199999999999995</v>
      </c>
      <c r="AC300" s="7">
        <v>0.83699999999999997</v>
      </c>
      <c r="AD300" s="7">
        <v>0.39400000000000002</v>
      </c>
      <c r="AE300" s="7">
        <v>10.497</v>
      </c>
      <c r="AF300" s="7">
        <v>17.861999999999998</v>
      </c>
      <c r="AG300" s="7">
        <v>0</v>
      </c>
      <c r="AH300" s="7">
        <v>16.459</v>
      </c>
      <c r="AI300" s="7">
        <v>0</v>
      </c>
      <c r="AJ300" s="7">
        <v>3.2</v>
      </c>
      <c r="AK300" s="7">
        <v>3.0790000000000002</v>
      </c>
      <c r="AL300" s="7">
        <v>52.716000000000001</v>
      </c>
      <c r="AM300" s="7">
        <v>59.573999999999998</v>
      </c>
      <c r="AN300" s="7">
        <v>1.1299999999999999</v>
      </c>
      <c r="AO300" s="7">
        <v>29.35</v>
      </c>
      <c r="AP300" s="7">
        <v>6.8769999999999998</v>
      </c>
      <c r="AQ300" s="7">
        <v>16.489000000000001</v>
      </c>
    </row>
    <row r="301" spans="1:43" x14ac:dyDescent="0.25">
      <c r="A301" t="s">
        <v>248</v>
      </c>
      <c r="B301" s="22" t="s">
        <v>824</v>
      </c>
      <c r="C301" t="s">
        <v>283</v>
      </c>
      <c r="D301" s="22" t="s">
        <v>286</v>
      </c>
      <c r="E301" s="21">
        <v>2018</v>
      </c>
      <c r="F301" s="7">
        <v>163.57601776153501</v>
      </c>
      <c r="G301" s="7">
        <v>7.4409999999999998</v>
      </c>
      <c r="H301" s="7">
        <v>3.2360000000000002</v>
      </c>
      <c r="I301" s="7">
        <v>1.768</v>
      </c>
      <c r="J301" s="7">
        <v>0.71499999999999997</v>
      </c>
      <c r="K301" s="7">
        <v>3.0840000000000001</v>
      </c>
      <c r="L301" s="7">
        <v>0.14099999999999999</v>
      </c>
      <c r="M301" s="7">
        <v>2.121</v>
      </c>
      <c r="N301" s="7">
        <v>0</v>
      </c>
      <c r="O301" s="7">
        <v>0</v>
      </c>
      <c r="P301" s="7">
        <v>3.347</v>
      </c>
      <c r="Q301" s="7">
        <v>0.67500000000000004</v>
      </c>
      <c r="R301" s="7">
        <v>4.5999999999999999E-2</v>
      </c>
      <c r="S301" s="7">
        <v>6.3449999999999998</v>
      </c>
      <c r="T301" s="7">
        <v>4.101</v>
      </c>
      <c r="U301" s="7">
        <v>5.335</v>
      </c>
      <c r="V301" s="7">
        <v>0.22800000000000001</v>
      </c>
      <c r="W301" s="7">
        <v>2.4500000000000002</v>
      </c>
      <c r="X301" s="7">
        <v>3.0750000000000002</v>
      </c>
      <c r="Y301" s="7">
        <v>0.107</v>
      </c>
      <c r="Z301" s="7">
        <v>0</v>
      </c>
      <c r="AA301" s="7">
        <v>8.0530000000000008</v>
      </c>
      <c r="AB301" s="7">
        <v>0.47299999999999998</v>
      </c>
      <c r="AC301" s="7">
        <v>0.51700000000000002</v>
      </c>
      <c r="AD301" s="7">
        <v>0.182</v>
      </c>
      <c r="AE301" s="7">
        <v>5.9409999999999998</v>
      </c>
      <c r="AF301" s="7">
        <v>15.17</v>
      </c>
      <c r="AG301" s="7">
        <v>0</v>
      </c>
      <c r="AH301" s="7">
        <v>12.996</v>
      </c>
      <c r="AI301" s="7">
        <v>0</v>
      </c>
      <c r="AJ301" s="7">
        <v>2.54</v>
      </c>
      <c r="AK301" s="7">
        <v>2.4390000000000001</v>
      </c>
      <c r="AL301" s="7">
        <v>44.215000000000003</v>
      </c>
      <c r="AM301" s="7">
        <v>45.872</v>
      </c>
      <c r="AN301" s="7">
        <v>1.0369999999999999</v>
      </c>
      <c r="AO301" s="7">
        <v>22.361999999999998</v>
      </c>
      <c r="AP301" s="7">
        <v>5.468</v>
      </c>
      <c r="AQ301" s="7">
        <v>16.385000000000002</v>
      </c>
    </row>
    <row r="302" spans="1:43" x14ac:dyDescent="0.25">
      <c r="A302" t="s">
        <v>249</v>
      </c>
      <c r="B302" s="22" t="s">
        <v>827</v>
      </c>
      <c r="C302" t="s">
        <v>283</v>
      </c>
      <c r="D302" s="22" t="s">
        <v>286</v>
      </c>
      <c r="E302" s="21">
        <v>2018</v>
      </c>
      <c r="F302" s="7">
        <v>173.46580087607001</v>
      </c>
      <c r="G302" s="7">
        <v>5.5270000000000001</v>
      </c>
      <c r="H302" s="7">
        <v>1.647</v>
      </c>
      <c r="I302" s="7">
        <v>0.94</v>
      </c>
      <c r="J302" s="7">
        <v>0.55400000000000005</v>
      </c>
      <c r="K302" s="7">
        <v>1.179</v>
      </c>
      <c r="L302" s="7">
        <v>0</v>
      </c>
      <c r="M302" s="7">
        <v>1.2709999999999999</v>
      </c>
      <c r="N302" s="7">
        <v>0</v>
      </c>
      <c r="O302" s="7">
        <v>0</v>
      </c>
      <c r="P302" s="7">
        <v>2.1160000000000001</v>
      </c>
      <c r="Q302" s="7">
        <v>0.53700000000000003</v>
      </c>
      <c r="R302" s="7">
        <v>0</v>
      </c>
      <c r="S302" s="7">
        <v>5.8849999999999998</v>
      </c>
      <c r="T302" s="7">
        <v>4.1539999999999999</v>
      </c>
      <c r="U302" s="7">
        <v>3.3149999999999999</v>
      </c>
      <c r="V302" s="7">
        <v>0.19900000000000001</v>
      </c>
      <c r="W302" s="7">
        <v>1.893</v>
      </c>
      <c r="X302" s="7">
        <v>2.2160000000000002</v>
      </c>
      <c r="Y302" s="7">
        <v>8.5999999999999993E-2</v>
      </c>
      <c r="Z302" s="7">
        <v>0</v>
      </c>
      <c r="AA302" s="7">
        <v>5.04</v>
      </c>
      <c r="AB302" s="7">
        <v>0.496</v>
      </c>
      <c r="AC302" s="7">
        <v>0.26100000000000001</v>
      </c>
      <c r="AD302" s="7">
        <v>0.20899999999999999</v>
      </c>
      <c r="AE302" s="7">
        <v>13.247999999999999</v>
      </c>
      <c r="AF302" s="7">
        <v>11.276</v>
      </c>
      <c r="AG302" s="7">
        <v>24.292000000000002</v>
      </c>
      <c r="AH302" s="7">
        <v>0</v>
      </c>
      <c r="AI302" s="7">
        <v>6.9119999999999999</v>
      </c>
      <c r="AJ302" s="7">
        <v>0</v>
      </c>
      <c r="AK302" s="7">
        <v>1.661</v>
      </c>
      <c r="AL302" s="7">
        <v>31.518999999999998</v>
      </c>
      <c r="AM302" s="7">
        <v>61.734000000000002</v>
      </c>
      <c r="AN302" s="7">
        <v>1.9590000000000001</v>
      </c>
      <c r="AO302" s="7">
        <v>18.285</v>
      </c>
      <c r="AP302" s="7">
        <v>3.387</v>
      </c>
      <c r="AQ302" s="7">
        <v>9.8469999999999995</v>
      </c>
    </row>
    <row r="303" spans="1:43" x14ac:dyDescent="0.25">
      <c r="A303" t="s">
        <v>265</v>
      </c>
      <c r="B303" s="22" t="s">
        <v>827</v>
      </c>
      <c r="C303" t="s">
        <v>283</v>
      </c>
      <c r="D303" s="22" t="s">
        <v>286</v>
      </c>
      <c r="E303" s="21">
        <v>2018</v>
      </c>
      <c r="F303" s="7">
        <v>115.142225725016</v>
      </c>
      <c r="G303" s="7">
        <v>5.8849999999999998</v>
      </c>
      <c r="H303" s="7">
        <v>1.4910000000000001</v>
      </c>
      <c r="I303" s="7">
        <v>1.113</v>
      </c>
      <c r="J303" s="7">
        <v>0.33600000000000002</v>
      </c>
      <c r="K303" s="7">
        <v>1.341</v>
      </c>
      <c r="L303" s="7">
        <v>0</v>
      </c>
      <c r="M303" s="7">
        <v>1.2070000000000001</v>
      </c>
      <c r="N303" s="7">
        <v>0.314</v>
      </c>
      <c r="O303" s="7">
        <v>0</v>
      </c>
      <c r="P303" s="7">
        <v>2.226</v>
      </c>
      <c r="Q303" s="7">
        <v>0.46600000000000003</v>
      </c>
      <c r="R303" s="7">
        <v>0</v>
      </c>
      <c r="S303" s="7">
        <v>6.1159999999999997</v>
      </c>
      <c r="T303" s="7">
        <v>2.843</v>
      </c>
      <c r="U303" s="7">
        <v>3.2719999999999998</v>
      </c>
      <c r="V303" s="7">
        <v>0.19700000000000001</v>
      </c>
      <c r="W303" s="7">
        <v>1.94</v>
      </c>
      <c r="X303" s="7">
        <v>1.98</v>
      </c>
      <c r="Y303" s="7">
        <v>0.105</v>
      </c>
      <c r="Z303" s="7">
        <v>0</v>
      </c>
      <c r="AA303" s="7">
        <v>5.4619999999999997</v>
      </c>
      <c r="AB303" s="7">
        <v>0.53800000000000003</v>
      </c>
      <c r="AC303" s="7">
        <v>0.245</v>
      </c>
      <c r="AD303" s="7">
        <v>0.247</v>
      </c>
      <c r="AE303" s="7">
        <v>4.1639999999999997</v>
      </c>
      <c r="AF303" s="7">
        <v>8.15</v>
      </c>
      <c r="AG303" s="7">
        <v>0</v>
      </c>
      <c r="AH303" s="7">
        <v>7.4640000000000004</v>
      </c>
      <c r="AI303" s="7">
        <v>2.8639999999999999</v>
      </c>
      <c r="AJ303" s="7">
        <v>0</v>
      </c>
      <c r="AK303" s="7">
        <v>2.4969999999999999</v>
      </c>
      <c r="AL303" s="7">
        <v>30.832000000000001</v>
      </c>
      <c r="AM303" s="7">
        <v>29.134</v>
      </c>
      <c r="AN303" s="7">
        <v>0.94499999999999995</v>
      </c>
      <c r="AO303" s="7">
        <v>16.919</v>
      </c>
      <c r="AP303" s="7">
        <v>3.7469999999999999</v>
      </c>
      <c r="AQ303" s="7">
        <v>10.166</v>
      </c>
    </row>
    <row r="304" spans="1:43" x14ac:dyDescent="0.25">
      <c r="A304" t="s">
        <v>266</v>
      </c>
      <c r="B304" s="22" t="s">
        <v>827</v>
      </c>
      <c r="C304" t="s">
        <v>283</v>
      </c>
      <c r="D304" s="22" t="s">
        <v>286</v>
      </c>
      <c r="E304" s="21">
        <v>2018</v>
      </c>
      <c r="F304" s="7">
        <v>170.13280093525799</v>
      </c>
      <c r="G304" s="7">
        <v>7.117</v>
      </c>
      <c r="H304" s="7">
        <v>1.7989999999999999</v>
      </c>
      <c r="I304" s="7">
        <v>1.496</v>
      </c>
      <c r="J304" s="7">
        <v>0.59599999999999997</v>
      </c>
      <c r="K304" s="7">
        <v>1.78</v>
      </c>
      <c r="L304" s="7">
        <v>0</v>
      </c>
      <c r="M304" s="7">
        <v>1.637</v>
      </c>
      <c r="N304" s="7">
        <v>0</v>
      </c>
      <c r="O304" s="7">
        <v>0</v>
      </c>
      <c r="P304" s="7">
        <v>3.43</v>
      </c>
      <c r="Q304" s="7">
        <v>0.66300000000000003</v>
      </c>
      <c r="R304" s="7">
        <v>6.8000000000000005E-2</v>
      </c>
      <c r="S304" s="7">
        <v>7.6479999999999997</v>
      </c>
      <c r="T304" s="7">
        <v>3.7589999999999999</v>
      </c>
      <c r="U304" s="7">
        <v>4.2549999999999999</v>
      </c>
      <c r="V304" s="7">
        <v>0.253</v>
      </c>
      <c r="W304" s="7">
        <v>2.3980000000000001</v>
      </c>
      <c r="X304" s="7">
        <v>2.633</v>
      </c>
      <c r="Y304" s="7">
        <v>0.14299999999999999</v>
      </c>
      <c r="Z304" s="7">
        <v>0</v>
      </c>
      <c r="AA304" s="7">
        <v>7.3789999999999996</v>
      </c>
      <c r="AB304" s="7">
        <v>1.1839999999999999</v>
      </c>
      <c r="AC304" s="7">
        <v>0</v>
      </c>
      <c r="AD304" s="7">
        <v>0.39200000000000002</v>
      </c>
      <c r="AE304" s="7">
        <v>5.8090000000000002</v>
      </c>
      <c r="AF304" s="7">
        <v>12.356999999999999</v>
      </c>
      <c r="AG304" s="7">
        <v>0</v>
      </c>
      <c r="AH304" s="7">
        <v>24.481999999999999</v>
      </c>
      <c r="AI304" s="7">
        <v>0</v>
      </c>
      <c r="AJ304" s="7">
        <v>3.484</v>
      </c>
      <c r="AK304" s="7">
        <v>2.7050000000000001</v>
      </c>
      <c r="AL304" s="7">
        <v>39.674999999999997</v>
      </c>
      <c r="AM304" s="7">
        <v>55.087000000000003</v>
      </c>
      <c r="AN304" s="7">
        <v>1.3879999999999999</v>
      </c>
      <c r="AO304" s="7">
        <v>21.82</v>
      </c>
      <c r="AP304" s="7">
        <v>5.0670000000000002</v>
      </c>
      <c r="AQ304" s="7">
        <v>12.788</v>
      </c>
    </row>
    <row r="305" spans="1:43" x14ac:dyDescent="0.25">
      <c r="A305" t="s">
        <v>267</v>
      </c>
      <c r="B305" s="22" t="s">
        <v>827</v>
      </c>
      <c r="C305" t="s">
        <v>283</v>
      </c>
      <c r="D305" s="22" t="s">
        <v>286</v>
      </c>
      <c r="E305" s="21">
        <v>2018</v>
      </c>
      <c r="F305" s="7">
        <v>144.00064911214</v>
      </c>
      <c r="G305" s="7">
        <v>7.077</v>
      </c>
      <c r="H305" s="7">
        <v>1.7030000000000001</v>
      </c>
      <c r="I305" s="7">
        <v>1.357</v>
      </c>
      <c r="J305" s="7">
        <v>0.56299999999999994</v>
      </c>
      <c r="K305" s="7">
        <v>1.6819999999999999</v>
      </c>
      <c r="L305" s="7">
        <v>2.5000000000000001E-2</v>
      </c>
      <c r="M305" s="7">
        <v>1.6060000000000001</v>
      </c>
      <c r="N305" s="7">
        <v>0.123</v>
      </c>
      <c r="O305" s="7">
        <v>0</v>
      </c>
      <c r="P305" s="7">
        <v>3.2320000000000002</v>
      </c>
      <c r="Q305" s="7">
        <v>0.627</v>
      </c>
      <c r="R305" s="7">
        <v>7.1999999999999995E-2</v>
      </c>
      <c r="S305" s="7">
        <v>7.6859999999999999</v>
      </c>
      <c r="T305" s="7">
        <v>3.476</v>
      </c>
      <c r="U305" s="7">
        <v>4.1980000000000004</v>
      </c>
      <c r="V305" s="7">
        <v>0.26800000000000002</v>
      </c>
      <c r="W305" s="7">
        <v>2.3330000000000002</v>
      </c>
      <c r="X305" s="7">
        <v>2.5070000000000001</v>
      </c>
      <c r="Y305" s="7">
        <v>0.14899999999999999</v>
      </c>
      <c r="Z305" s="7">
        <v>0</v>
      </c>
      <c r="AA305" s="7">
        <v>9.2349999999999994</v>
      </c>
      <c r="AB305" s="7">
        <v>0.57699999999999996</v>
      </c>
      <c r="AC305" s="7">
        <v>0.36299999999999999</v>
      </c>
      <c r="AD305" s="7">
        <v>0.314</v>
      </c>
      <c r="AE305" s="7">
        <v>6.1879999999999997</v>
      </c>
      <c r="AF305" s="7">
        <v>10.728999999999999</v>
      </c>
      <c r="AG305" s="7">
        <v>0</v>
      </c>
      <c r="AH305" s="7">
        <v>8.1050000000000004</v>
      </c>
      <c r="AI305" s="7">
        <v>0</v>
      </c>
      <c r="AJ305" s="7">
        <v>3.2749999999999999</v>
      </c>
      <c r="AK305" s="7">
        <v>0.90800000000000003</v>
      </c>
      <c r="AL305" s="7">
        <v>38.683999999999997</v>
      </c>
      <c r="AM305" s="7">
        <v>38.786000000000001</v>
      </c>
      <c r="AN305" s="7">
        <v>1.0029999999999999</v>
      </c>
      <c r="AO305" s="7">
        <v>21.315999999999999</v>
      </c>
      <c r="AP305" s="7">
        <v>4.9610000000000003</v>
      </c>
      <c r="AQ305" s="7">
        <v>12.407</v>
      </c>
    </row>
    <row r="306" spans="1:43" x14ac:dyDescent="0.25">
      <c r="A306" t="s">
        <v>148</v>
      </c>
      <c r="B306" t="s">
        <v>818</v>
      </c>
      <c r="C306" t="s">
        <v>283</v>
      </c>
      <c r="D306" s="22" t="s">
        <v>286</v>
      </c>
      <c r="E306" s="21">
        <v>2018</v>
      </c>
      <c r="F306" s="7">
        <v>233.38337552246199</v>
      </c>
      <c r="G306" s="7">
        <v>9.0489999999999995</v>
      </c>
      <c r="H306" s="7">
        <v>1.4239999999999999</v>
      </c>
      <c r="I306" s="7">
        <v>1.744</v>
      </c>
      <c r="J306" s="7">
        <v>1.4930000000000001</v>
      </c>
      <c r="K306" s="7">
        <v>2.7850000000000001</v>
      </c>
      <c r="L306" s="7">
        <v>0</v>
      </c>
      <c r="M306" s="7">
        <v>2.3820000000000001</v>
      </c>
      <c r="N306" s="7">
        <v>0</v>
      </c>
      <c r="O306" s="7">
        <v>0</v>
      </c>
      <c r="P306" s="7">
        <v>4.9139999999999997</v>
      </c>
      <c r="Q306" s="7">
        <v>1.0580000000000001</v>
      </c>
      <c r="R306" s="7">
        <v>0</v>
      </c>
      <c r="S306" s="7">
        <v>9.6110000000000007</v>
      </c>
      <c r="T306" s="7">
        <v>5.508</v>
      </c>
      <c r="U306" s="7">
        <v>5.7380000000000004</v>
      </c>
      <c r="V306" s="7">
        <v>0.34899999999999998</v>
      </c>
      <c r="W306" s="7">
        <v>3.3410000000000002</v>
      </c>
      <c r="X306" s="7">
        <v>3.75</v>
      </c>
      <c r="Y306" s="7">
        <v>0.20499999999999999</v>
      </c>
      <c r="Z306" s="7">
        <v>0</v>
      </c>
      <c r="AA306" s="7">
        <v>18.748999999999999</v>
      </c>
      <c r="AB306" s="7">
        <v>0.89800000000000002</v>
      </c>
      <c r="AC306" s="7">
        <v>0.755</v>
      </c>
      <c r="AD306" s="7">
        <v>0.30299999999999999</v>
      </c>
      <c r="AE306" s="7">
        <v>9.6370000000000005</v>
      </c>
      <c r="AF306" s="7">
        <v>19.46</v>
      </c>
      <c r="AG306" s="7">
        <v>0</v>
      </c>
      <c r="AH306" s="7">
        <v>22.798999999999999</v>
      </c>
      <c r="AI306" s="7">
        <v>4.0599999999999996</v>
      </c>
      <c r="AJ306" s="7">
        <v>0</v>
      </c>
      <c r="AK306" s="7">
        <v>2.16</v>
      </c>
      <c r="AL306" s="7">
        <v>53.350999999999999</v>
      </c>
      <c r="AM306" s="7">
        <v>76.661000000000001</v>
      </c>
      <c r="AN306" s="7">
        <v>1.4370000000000001</v>
      </c>
      <c r="AO306" s="7">
        <v>29.56</v>
      </c>
      <c r="AP306" s="7">
        <v>7.2960000000000003</v>
      </c>
      <c r="AQ306" s="7">
        <v>16.495000000000001</v>
      </c>
    </row>
    <row r="307" spans="1:43" s="12" customFormat="1" x14ac:dyDescent="0.25">
      <c r="A307" s="12" t="s">
        <v>241</v>
      </c>
      <c r="B307" s="12" t="s">
        <v>825</v>
      </c>
      <c r="C307" s="12" t="s">
        <v>283</v>
      </c>
      <c r="D307" s="24" t="s">
        <v>286</v>
      </c>
      <c r="E307" s="25">
        <v>2018</v>
      </c>
      <c r="F307" s="26">
        <v>210.70887575686999</v>
      </c>
      <c r="G307" s="26">
        <v>9.52</v>
      </c>
      <c r="H307" s="26">
        <v>3.2519999999999998</v>
      </c>
      <c r="I307" s="26">
        <v>1.7150000000000001</v>
      </c>
      <c r="J307" s="26">
        <v>0.92100000000000004</v>
      </c>
      <c r="K307" s="26">
        <v>3.1179999999999999</v>
      </c>
      <c r="L307" s="26">
        <v>0</v>
      </c>
      <c r="M307" s="26">
        <v>2.0710000000000002</v>
      </c>
      <c r="N307" s="26">
        <v>0</v>
      </c>
      <c r="O307" s="26">
        <v>0</v>
      </c>
      <c r="P307" s="26">
        <v>4.8090000000000002</v>
      </c>
      <c r="Q307" s="26">
        <v>0.81200000000000006</v>
      </c>
      <c r="R307" s="26">
        <v>8.1000000000000003E-2</v>
      </c>
      <c r="S307" s="26">
        <v>8.8160000000000007</v>
      </c>
      <c r="T307" s="26">
        <v>4.9809999999999999</v>
      </c>
      <c r="U307" s="26">
        <v>5.1269999999999998</v>
      </c>
      <c r="V307" s="26">
        <v>0.29599999999999999</v>
      </c>
      <c r="W307" s="26">
        <v>3.1269999999999998</v>
      </c>
      <c r="X307" s="26">
        <v>3.5190000000000001</v>
      </c>
      <c r="Y307" s="26">
        <v>0.15</v>
      </c>
      <c r="Z307" s="26">
        <v>0</v>
      </c>
      <c r="AA307" s="26">
        <v>21.760999999999999</v>
      </c>
      <c r="AB307" s="26">
        <v>0.79600000000000004</v>
      </c>
      <c r="AC307" s="26">
        <v>0.443</v>
      </c>
      <c r="AD307" s="26">
        <v>0.216</v>
      </c>
      <c r="AE307" s="26">
        <v>6.5259999999999998</v>
      </c>
      <c r="AF307" s="26">
        <v>13.827</v>
      </c>
      <c r="AG307" s="26">
        <v>0</v>
      </c>
      <c r="AH307" s="26">
        <v>18.123999999999999</v>
      </c>
      <c r="AI307" s="26">
        <v>0</v>
      </c>
      <c r="AJ307" s="26">
        <v>4.5380000000000003</v>
      </c>
      <c r="AK307" s="26">
        <v>2.5960000000000001</v>
      </c>
      <c r="AL307" s="26">
        <v>52.314999999999998</v>
      </c>
      <c r="AM307" s="26">
        <v>66.230999999999995</v>
      </c>
      <c r="AN307" s="26">
        <v>1.266</v>
      </c>
      <c r="AO307" s="26">
        <v>26.908999999999999</v>
      </c>
      <c r="AP307" s="26">
        <v>6.88</v>
      </c>
      <c r="AQ307" s="26">
        <v>18.526</v>
      </c>
    </row>
    <row r="308" spans="1:43" x14ac:dyDescent="0.25">
      <c r="A308" t="s">
        <v>243</v>
      </c>
      <c r="B308" t="s">
        <v>826</v>
      </c>
      <c r="C308" t="s">
        <v>283</v>
      </c>
      <c r="D308" s="22" t="s">
        <v>286</v>
      </c>
      <c r="E308" s="21">
        <v>2018</v>
      </c>
      <c r="F308" s="7">
        <v>197.729396662212</v>
      </c>
      <c r="G308" s="7">
        <v>8.9290000000000003</v>
      </c>
      <c r="H308" s="7">
        <v>3.1760000000000002</v>
      </c>
      <c r="I308" s="7">
        <v>2.0699999999999998</v>
      </c>
      <c r="J308" s="7">
        <v>0</v>
      </c>
      <c r="K308" s="7">
        <v>2.7389999999999999</v>
      </c>
      <c r="L308" s="7">
        <v>9.9000000000000005E-2</v>
      </c>
      <c r="M308" s="7">
        <v>2.1739999999999999</v>
      </c>
      <c r="N308" s="7">
        <v>0</v>
      </c>
      <c r="O308" s="7">
        <v>0</v>
      </c>
      <c r="P308" s="7">
        <v>4.4989999999999997</v>
      </c>
      <c r="Q308" s="7">
        <v>0.84499999999999997</v>
      </c>
      <c r="R308" s="7">
        <v>6.0999999999999999E-2</v>
      </c>
      <c r="S308" s="7">
        <v>8.1289999999999996</v>
      </c>
      <c r="T308" s="7">
        <v>5.0199999999999996</v>
      </c>
      <c r="U308" s="7">
        <v>6.1479999999999997</v>
      </c>
      <c r="V308" s="7">
        <v>0.27500000000000002</v>
      </c>
      <c r="W308" s="7">
        <v>2.8690000000000002</v>
      </c>
      <c r="X308" s="7">
        <v>3.9089999999999998</v>
      </c>
      <c r="Y308" s="7">
        <v>0.182</v>
      </c>
      <c r="Z308" s="7">
        <v>0</v>
      </c>
      <c r="AA308" s="7">
        <v>12.606999999999999</v>
      </c>
      <c r="AB308" s="7">
        <v>0.65800000000000003</v>
      </c>
      <c r="AC308" s="7">
        <v>0.66100000000000003</v>
      </c>
      <c r="AD308" s="7">
        <v>0.34399999999999997</v>
      </c>
      <c r="AE308" s="7">
        <v>7.3719999999999999</v>
      </c>
      <c r="AF308" s="7">
        <v>18.992000000000001</v>
      </c>
      <c r="AG308" s="7">
        <v>0</v>
      </c>
      <c r="AH308" s="7">
        <v>12.17</v>
      </c>
      <c r="AI308" s="7">
        <v>0</v>
      </c>
      <c r="AJ308" s="7">
        <v>3.359</v>
      </c>
      <c r="AK308" s="7">
        <v>1.7290000000000001</v>
      </c>
      <c r="AL308" s="7">
        <v>51.124000000000002</v>
      </c>
      <c r="AM308" s="7">
        <v>56.162999999999997</v>
      </c>
      <c r="AN308" s="7">
        <v>1.099</v>
      </c>
      <c r="AO308" s="7">
        <v>27.437999999999999</v>
      </c>
      <c r="AP308" s="7">
        <v>6.673</v>
      </c>
      <c r="AQ308" s="7">
        <v>17.013000000000002</v>
      </c>
    </row>
    <row r="309" spans="1:43" x14ac:dyDescent="0.25">
      <c r="A309" t="s">
        <v>244</v>
      </c>
      <c r="B309" t="s">
        <v>826</v>
      </c>
      <c r="C309" t="s">
        <v>283</v>
      </c>
      <c r="D309" s="22" t="s">
        <v>286</v>
      </c>
      <c r="E309" s="21">
        <v>2018</v>
      </c>
      <c r="F309" s="7">
        <v>290.573254322553</v>
      </c>
      <c r="G309" s="7">
        <v>8.8079999999999998</v>
      </c>
      <c r="H309" s="7">
        <v>2.3690000000000002</v>
      </c>
      <c r="I309" s="7">
        <v>2.1509999999999998</v>
      </c>
      <c r="J309" s="7">
        <v>0.67300000000000004</v>
      </c>
      <c r="K309" s="7">
        <v>3.3260000000000001</v>
      </c>
      <c r="L309" s="7">
        <v>9.7000000000000003E-2</v>
      </c>
      <c r="M309" s="7">
        <v>2.351</v>
      </c>
      <c r="N309" s="7">
        <v>0</v>
      </c>
      <c r="O309" s="7">
        <v>0</v>
      </c>
      <c r="P309" s="7">
        <v>3.5649999999999999</v>
      </c>
      <c r="Q309" s="7">
        <v>1.1299999999999999</v>
      </c>
      <c r="R309" s="7">
        <v>0.106</v>
      </c>
      <c r="S309" s="7">
        <v>9.43</v>
      </c>
      <c r="T309" s="7">
        <v>6.2039999999999997</v>
      </c>
      <c r="U309" s="7">
        <v>7.0819999999999999</v>
      </c>
      <c r="V309" s="7">
        <v>0.34300000000000003</v>
      </c>
      <c r="W309" s="7">
        <v>3.2309999999999999</v>
      </c>
      <c r="X309" s="7">
        <v>4.476</v>
      </c>
      <c r="Y309" s="7">
        <v>0.16600000000000001</v>
      </c>
      <c r="Z309" s="7">
        <v>0</v>
      </c>
      <c r="AA309" s="7">
        <v>38.24</v>
      </c>
      <c r="AB309" s="7">
        <v>1.855</v>
      </c>
      <c r="AC309" s="7">
        <v>0</v>
      </c>
      <c r="AD309" s="7">
        <v>0.26200000000000001</v>
      </c>
      <c r="AE309" s="7">
        <v>13.981999999999999</v>
      </c>
      <c r="AF309" s="7">
        <v>24.068999999999999</v>
      </c>
      <c r="AG309" s="7">
        <v>0</v>
      </c>
      <c r="AH309" s="7">
        <v>22.914000000000001</v>
      </c>
      <c r="AI309" s="7">
        <v>3.8119999999999998</v>
      </c>
      <c r="AJ309" s="7">
        <v>0</v>
      </c>
      <c r="AK309" s="7">
        <v>3.37</v>
      </c>
      <c r="AL309" s="7">
        <v>55.508000000000003</v>
      </c>
      <c r="AM309" s="7">
        <v>105.134</v>
      </c>
      <c r="AN309" s="7">
        <v>1.8939999999999999</v>
      </c>
      <c r="AO309" s="7">
        <v>32.167999999999999</v>
      </c>
      <c r="AP309" s="7">
        <v>5.9160000000000004</v>
      </c>
      <c r="AQ309" s="7">
        <v>17.423999999999999</v>
      </c>
    </row>
    <row r="310" spans="1:43" x14ac:dyDescent="0.25">
      <c r="A310" t="s">
        <v>218</v>
      </c>
      <c r="B310" s="22" t="s">
        <v>821</v>
      </c>
      <c r="C310" t="s">
        <v>286</v>
      </c>
      <c r="D310" s="22" t="s">
        <v>286</v>
      </c>
      <c r="E310" s="21">
        <v>2018</v>
      </c>
      <c r="F310" s="7">
        <v>73.399317844368795</v>
      </c>
      <c r="G310" s="7">
        <v>3.766</v>
      </c>
      <c r="H310" s="7">
        <v>0.82099999999999995</v>
      </c>
      <c r="I310" s="7">
        <v>0.79500000000000004</v>
      </c>
      <c r="J310" s="7">
        <v>0.34399999999999997</v>
      </c>
      <c r="K310" s="7">
        <v>0.9</v>
      </c>
      <c r="L310" s="7">
        <v>0</v>
      </c>
      <c r="M310" s="7">
        <v>0.98</v>
      </c>
      <c r="N310" s="7">
        <v>0.11600000000000001</v>
      </c>
      <c r="O310" s="7">
        <v>0</v>
      </c>
      <c r="P310" s="7">
        <v>1.738</v>
      </c>
      <c r="Q310" s="7">
        <v>0.27900000000000003</v>
      </c>
      <c r="R310" s="7">
        <v>0</v>
      </c>
      <c r="S310" s="7">
        <v>3.4660000000000002</v>
      </c>
      <c r="T310" s="7">
        <v>1.9259999999999999</v>
      </c>
      <c r="U310" s="7">
        <v>2.2050000000000001</v>
      </c>
      <c r="V310" s="7">
        <v>0.108</v>
      </c>
      <c r="W310" s="7">
        <v>1.272</v>
      </c>
      <c r="X310" s="7">
        <v>1.331</v>
      </c>
      <c r="Y310" s="7">
        <v>6.5000000000000002E-2</v>
      </c>
      <c r="Z310" s="7">
        <v>0</v>
      </c>
      <c r="AA310" s="7">
        <v>1.7470000000000001</v>
      </c>
      <c r="AB310" s="7">
        <v>0.28299999999999997</v>
      </c>
      <c r="AC310" s="7">
        <v>0.27100000000000002</v>
      </c>
      <c r="AD310" s="7">
        <v>7.0000000000000007E-2</v>
      </c>
      <c r="AE310" s="7">
        <v>2.2989999999999999</v>
      </c>
      <c r="AF310" s="7">
        <v>5.673</v>
      </c>
      <c r="AG310" s="7">
        <v>0</v>
      </c>
      <c r="AH310" s="7">
        <v>5.1020000000000003</v>
      </c>
      <c r="AI310" s="7">
        <v>1.869</v>
      </c>
      <c r="AJ310" s="7">
        <v>0</v>
      </c>
      <c r="AK310" s="7">
        <v>1.7150000000000001</v>
      </c>
      <c r="AL310" s="7">
        <v>20.111999999999998</v>
      </c>
      <c r="AM310" s="7">
        <v>17.314</v>
      </c>
      <c r="AN310" s="7">
        <v>0.86099999999999999</v>
      </c>
      <c r="AO310" s="7">
        <v>10.651999999999999</v>
      </c>
      <c r="AP310" s="7">
        <v>2.8340000000000001</v>
      </c>
      <c r="AQ310" s="7">
        <v>6.6260000000000003</v>
      </c>
    </row>
    <row r="311" spans="1:43" x14ac:dyDescent="0.25">
      <c r="A311" t="s">
        <v>219</v>
      </c>
      <c r="B311" s="22" t="s">
        <v>821</v>
      </c>
      <c r="C311" t="s">
        <v>286</v>
      </c>
      <c r="D311" s="22" t="s">
        <v>286</v>
      </c>
      <c r="E311" s="21">
        <v>2018</v>
      </c>
      <c r="F311" s="7">
        <v>66.766392955079695</v>
      </c>
      <c r="G311" s="7">
        <v>3.4140000000000001</v>
      </c>
      <c r="H311" s="7">
        <v>0.79200000000000004</v>
      </c>
      <c r="I311" s="7">
        <v>0.60499999999999998</v>
      </c>
      <c r="J311" s="7">
        <v>0.33900000000000002</v>
      </c>
      <c r="K311" s="7">
        <v>0.77600000000000002</v>
      </c>
      <c r="L311" s="7">
        <v>0</v>
      </c>
      <c r="M311" s="7">
        <v>0.874</v>
      </c>
      <c r="N311" s="7">
        <v>0.16500000000000001</v>
      </c>
      <c r="O311" s="7">
        <v>0</v>
      </c>
      <c r="P311" s="7">
        <v>1.5880000000000001</v>
      </c>
      <c r="Q311" s="7">
        <v>0.27500000000000002</v>
      </c>
      <c r="R311" s="7">
        <v>0</v>
      </c>
      <c r="S311" s="7">
        <v>3.0830000000000002</v>
      </c>
      <c r="T311" s="7">
        <v>1.7809999999999999</v>
      </c>
      <c r="U311" s="7">
        <v>2.008</v>
      </c>
      <c r="V311" s="7">
        <v>8.7999999999999995E-2</v>
      </c>
      <c r="W311" s="7">
        <v>1.103</v>
      </c>
      <c r="X311" s="7">
        <v>1.165</v>
      </c>
      <c r="Y311" s="7">
        <v>0.05</v>
      </c>
      <c r="Z311" s="7">
        <v>0</v>
      </c>
      <c r="AA311" s="7">
        <v>1.5049999999999999</v>
      </c>
      <c r="AB311" s="7">
        <v>0.26700000000000002</v>
      </c>
      <c r="AC311" s="7">
        <v>0.23699999999999999</v>
      </c>
      <c r="AD311" s="7">
        <v>0.06</v>
      </c>
      <c r="AE311" s="7">
        <v>2.4020000000000001</v>
      </c>
      <c r="AF311" s="7">
        <v>4.8049999999999997</v>
      </c>
      <c r="AG311" s="7">
        <v>0</v>
      </c>
      <c r="AH311" s="7">
        <v>4.29</v>
      </c>
      <c r="AI311" s="7">
        <v>2.09</v>
      </c>
      <c r="AJ311" s="7">
        <v>0</v>
      </c>
      <c r="AK311" s="7">
        <v>0.41599999999999998</v>
      </c>
      <c r="AL311" s="7">
        <v>18.106000000000002</v>
      </c>
      <c r="AM311" s="7">
        <v>15.656000000000001</v>
      </c>
      <c r="AN311" s="7">
        <v>0.86499999999999999</v>
      </c>
      <c r="AO311" s="7">
        <v>9.5530000000000008</v>
      </c>
      <c r="AP311" s="7">
        <v>2.6269999999999998</v>
      </c>
      <c r="AQ311" s="7">
        <v>5.9260000000000002</v>
      </c>
    </row>
    <row r="312" spans="1:43" x14ac:dyDescent="0.25">
      <c r="A312" t="s">
        <v>220</v>
      </c>
      <c r="B312" s="22" t="s">
        <v>821</v>
      </c>
      <c r="C312" t="s">
        <v>286</v>
      </c>
      <c r="D312" s="22" t="s">
        <v>286</v>
      </c>
      <c r="E312" s="21">
        <v>2018</v>
      </c>
      <c r="F312" s="7">
        <v>59.077396748945503</v>
      </c>
      <c r="G312" s="7">
        <v>3.3610000000000002</v>
      </c>
      <c r="H312" s="7">
        <v>0.97699999999999998</v>
      </c>
      <c r="I312" s="7">
        <v>0.58599999999999997</v>
      </c>
      <c r="J312" s="7">
        <v>0.252</v>
      </c>
      <c r="K312" s="7">
        <v>0.73499999999999999</v>
      </c>
      <c r="L312" s="7">
        <v>0</v>
      </c>
      <c r="M312" s="7">
        <v>0.81599999999999995</v>
      </c>
      <c r="N312" s="7">
        <v>0.115</v>
      </c>
      <c r="O312" s="7">
        <v>0</v>
      </c>
      <c r="P312" s="7">
        <v>1.5549999999999999</v>
      </c>
      <c r="Q312" s="7">
        <v>0.214</v>
      </c>
      <c r="R312" s="7">
        <v>0</v>
      </c>
      <c r="S312" s="7">
        <v>2.83</v>
      </c>
      <c r="T312" s="7">
        <v>1.528</v>
      </c>
      <c r="U312" s="7">
        <v>1.974</v>
      </c>
      <c r="V312" s="7">
        <v>0.09</v>
      </c>
      <c r="W312" s="7">
        <v>1.026</v>
      </c>
      <c r="X312" s="7">
        <v>1.081</v>
      </c>
      <c r="Y312" s="7">
        <v>5.0999999999999997E-2</v>
      </c>
      <c r="Z312" s="7">
        <v>0</v>
      </c>
      <c r="AA312" s="7">
        <v>1.6970000000000001</v>
      </c>
      <c r="AB312" s="7">
        <v>0.219</v>
      </c>
      <c r="AC312" s="7">
        <v>0.19900000000000001</v>
      </c>
      <c r="AD312" s="7">
        <v>5.5E-2</v>
      </c>
      <c r="AE312" s="7">
        <v>2.0419999999999998</v>
      </c>
      <c r="AF312" s="7">
        <v>4.7249999999999996</v>
      </c>
      <c r="AG312" s="7">
        <v>0</v>
      </c>
      <c r="AH312" s="7">
        <v>3.8220000000000001</v>
      </c>
      <c r="AI312" s="7">
        <v>1.298</v>
      </c>
      <c r="AJ312" s="7">
        <v>0</v>
      </c>
      <c r="AK312" s="7">
        <v>0.42699999999999999</v>
      </c>
      <c r="AL312" s="7">
        <v>17.190999999999999</v>
      </c>
      <c r="AM312" s="7">
        <v>14.057</v>
      </c>
      <c r="AN312" s="7">
        <v>0.81799999999999995</v>
      </c>
      <c r="AO312" s="7">
        <v>8.7940000000000005</v>
      </c>
      <c r="AP312" s="7">
        <v>2.4860000000000002</v>
      </c>
      <c r="AQ312" s="7">
        <v>5.9109999999999996</v>
      </c>
    </row>
    <row r="313" spans="1:43" x14ac:dyDescent="0.25">
      <c r="A313" t="s">
        <v>221</v>
      </c>
      <c r="B313" s="22" t="s">
        <v>821</v>
      </c>
      <c r="C313" t="s">
        <v>286</v>
      </c>
      <c r="D313" s="22" t="s">
        <v>286</v>
      </c>
      <c r="E313" s="21">
        <v>2018</v>
      </c>
      <c r="F313" s="7">
        <v>64.804015733502794</v>
      </c>
      <c r="G313" s="7">
        <v>3.633</v>
      </c>
      <c r="H313" s="7">
        <v>0.98</v>
      </c>
      <c r="I313" s="7">
        <v>0.57699999999999996</v>
      </c>
      <c r="J313" s="7">
        <v>0.38300000000000001</v>
      </c>
      <c r="K313" s="7">
        <v>0.82399999999999995</v>
      </c>
      <c r="L313" s="7">
        <v>0</v>
      </c>
      <c r="M313" s="7">
        <v>0.86699999999999999</v>
      </c>
      <c r="N313" s="7">
        <v>0.13400000000000001</v>
      </c>
      <c r="O313" s="7">
        <v>0</v>
      </c>
      <c r="P313" s="7">
        <v>1.6459999999999999</v>
      </c>
      <c r="Q313" s="7">
        <v>0.27100000000000002</v>
      </c>
      <c r="R313" s="7">
        <v>0</v>
      </c>
      <c r="S313" s="7">
        <v>3.052</v>
      </c>
      <c r="T313" s="7">
        <v>1.597</v>
      </c>
      <c r="U313" s="7">
        <v>1.9730000000000001</v>
      </c>
      <c r="V313" s="7">
        <v>0.09</v>
      </c>
      <c r="W313" s="7">
        <v>1.097</v>
      </c>
      <c r="X313" s="7">
        <v>1.151</v>
      </c>
      <c r="Y313" s="7">
        <v>6.2E-2</v>
      </c>
      <c r="Z313" s="7">
        <v>0</v>
      </c>
      <c r="AA313" s="7">
        <v>1.575</v>
      </c>
      <c r="AB313" s="7">
        <v>0.27800000000000002</v>
      </c>
      <c r="AC313" s="7">
        <v>0.185</v>
      </c>
      <c r="AD313" s="7">
        <v>4.5999999999999999E-2</v>
      </c>
      <c r="AE313" s="7">
        <v>2.081</v>
      </c>
      <c r="AF313" s="7">
        <v>4.6870000000000003</v>
      </c>
      <c r="AG313" s="7">
        <v>0</v>
      </c>
      <c r="AH313" s="7">
        <v>3.7549999999999999</v>
      </c>
      <c r="AI313" s="7">
        <v>1.2989999999999999</v>
      </c>
      <c r="AJ313" s="7">
        <v>0</v>
      </c>
      <c r="AK313" s="7">
        <v>0.41799999999999998</v>
      </c>
      <c r="AL313" s="7">
        <v>18.337</v>
      </c>
      <c r="AM313" s="7">
        <v>13.906000000000001</v>
      </c>
      <c r="AN313" s="7">
        <v>0.75800000000000001</v>
      </c>
      <c r="AO313" s="7">
        <v>9.2929999999999993</v>
      </c>
      <c r="AP313" s="7">
        <v>2.6469999999999998</v>
      </c>
      <c r="AQ313" s="7">
        <v>6.3970000000000002</v>
      </c>
    </row>
    <row r="314" spans="1:43" x14ac:dyDescent="0.25">
      <c r="A314" t="s">
        <v>222</v>
      </c>
      <c r="B314" s="22" t="s">
        <v>822</v>
      </c>
      <c r="C314" t="s">
        <v>286</v>
      </c>
      <c r="D314" s="22" t="s">
        <v>283</v>
      </c>
      <c r="E314" s="21">
        <v>2018</v>
      </c>
      <c r="F314" s="7">
        <v>89.796912929339598</v>
      </c>
      <c r="G314" s="7">
        <v>3.3380000000000001</v>
      </c>
      <c r="H314" s="7">
        <v>0.64900000000000002</v>
      </c>
      <c r="I314" s="7">
        <v>0.94799999999999995</v>
      </c>
      <c r="J314" s="7">
        <v>0.44700000000000001</v>
      </c>
      <c r="K314" s="7">
        <v>1.1559999999999999</v>
      </c>
      <c r="L314" s="7">
        <v>0</v>
      </c>
      <c r="M314" s="7">
        <v>1.1439999999999999</v>
      </c>
      <c r="N314" s="7">
        <v>0.191</v>
      </c>
      <c r="O314" s="7">
        <v>0</v>
      </c>
      <c r="P314" s="7">
        <v>1.417</v>
      </c>
      <c r="Q314" s="7">
        <v>0.40600000000000003</v>
      </c>
      <c r="R314" s="7">
        <v>5.8999999999999997E-2</v>
      </c>
      <c r="S314" s="7">
        <v>3.7250000000000001</v>
      </c>
      <c r="T314" s="7">
        <v>2.5270000000000001</v>
      </c>
      <c r="U314" s="7">
        <v>2.8319999999999999</v>
      </c>
      <c r="V314" s="7">
        <v>0.186</v>
      </c>
      <c r="W314" s="7">
        <v>1.2589999999999999</v>
      </c>
      <c r="X314" s="7">
        <v>1.6160000000000001</v>
      </c>
      <c r="Y314" s="7">
        <v>8.5000000000000006E-2</v>
      </c>
      <c r="Z314" s="7">
        <v>0</v>
      </c>
      <c r="AA314" s="7">
        <v>1.9019999999999999</v>
      </c>
      <c r="AB314" s="7">
        <v>0.30299999999999999</v>
      </c>
      <c r="AC314" s="7">
        <v>0.307</v>
      </c>
      <c r="AD314" s="7">
        <v>0.107</v>
      </c>
      <c r="AE314" s="7">
        <v>3.9220000000000002</v>
      </c>
      <c r="AF314" s="7">
        <v>7.282</v>
      </c>
      <c r="AG314" s="7">
        <v>0</v>
      </c>
      <c r="AH314" s="7">
        <v>5.359</v>
      </c>
      <c r="AI314" s="7">
        <v>3.996</v>
      </c>
      <c r="AJ314" s="7">
        <v>0</v>
      </c>
      <c r="AK314" s="7">
        <v>0.439</v>
      </c>
      <c r="AL314" s="7">
        <v>21.984999999999999</v>
      </c>
      <c r="AM314" s="7">
        <v>23.178000000000001</v>
      </c>
      <c r="AN314" s="7">
        <v>1.054</v>
      </c>
      <c r="AO314" s="7">
        <v>12.695</v>
      </c>
      <c r="AP314" s="7">
        <v>2.7519999999999998</v>
      </c>
      <c r="AQ314" s="7">
        <v>6.5380000000000003</v>
      </c>
    </row>
    <row r="315" spans="1:43" x14ac:dyDescent="0.25">
      <c r="A315" t="s">
        <v>223</v>
      </c>
      <c r="B315" s="22" t="s">
        <v>822</v>
      </c>
      <c r="C315" t="s">
        <v>286</v>
      </c>
      <c r="D315" s="22" t="s">
        <v>283</v>
      </c>
      <c r="E315" s="21">
        <v>2018</v>
      </c>
      <c r="F315" s="7">
        <v>67.084845185934299</v>
      </c>
      <c r="G315" s="7">
        <v>2.8959999999999999</v>
      </c>
      <c r="H315" s="7">
        <v>0.72599999999999998</v>
      </c>
      <c r="I315" s="7">
        <v>0.81399999999999995</v>
      </c>
      <c r="J315" s="7">
        <v>0.42599999999999999</v>
      </c>
      <c r="K315" s="7">
        <v>0.88300000000000001</v>
      </c>
      <c r="L315" s="7">
        <v>0</v>
      </c>
      <c r="M315" s="7">
        <v>0.90600000000000003</v>
      </c>
      <c r="N315" s="7">
        <v>0</v>
      </c>
      <c r="O315" s="7">
        <v>0</v>
      </c>
      <c r="P315" s="7">
        <v>1.4810000000000001</v>
      </c>
      <c r="Q315" s="7">
        <v>0.38300000000000001</v>
      </c>
      <c r="R315" s="7">
        <v>0</v>
      </c>
      <c r="S315" s="7">
        <v>2.8149999999999999</v>
      </c>
      <c r="T315" s="7">
        <v>1.619</v>
      </c>
      <c r="U315" s="7">
        <v>1.9910000000000001</v>
      </c>
      <c r="V315" s="7">
        <v>0.11600000000000001</v>
      </c>
      <c r="W315" s="7">
        <v>1.036</v>
      </c>
      <c r="X315" s="7">
        <v>1.1879999999999999</v>
      </c>
      <c r="Y315" s="7">
        <v>5.8999999999999997E-2</v>
      </c>
      <c r="Z315" s="7">
        <v>0</v>
      </c>
      <c r="AA315" s="7">
        <v>1.2250000000000001</v>
      </c>
      <c r="AB315" s="7">
        <v>0.313</v>
      </c>
      <c r="AC315" s="7">
        <v>0.20300000000000001</v>
      </c>
      <c r="AD315" s="7">
        <v>0</v>
      </c>
      <c r="AE315" s="7">
        <v>2.5870000000000002</v>
      </c>
      <c r="AF315" s="7">
        <v>4.7729999999999997</v>
      </c>
      <c r="AG315" s="7">
        <v>0</v>
      </c>
      <c r="AH315" s="7">
        <v>2.9750000000000001</v>
      </c>
      <c r="AI315" s="7">
        <v>1.5389999999999999</v>
      </c>
      <c r="AJ315" s="7">
        <v>0</v>
      </c>
      <c r="AK315" s="7">
        <v>0.9</v>
      </c>
      <c r="AL315" s="7">
        <v>17.338999999999999</v>
      </c>
      <c r="AM315" s="7">
        <v>13.615</v>
      </c>
      <c r="AN315" s="7">
        <v>0.78500000000000003</v>
      </c>
      <c r="AO315" s="7">
        <v>9.2070000000000007</v>
      </c>
      <c r="AP315" s="7">
        <v>2.387</v>
      </c>
      <c r="AQ315" s="7">
        <v>5.7450000000000001</v>
      </c>
    </row>
    <row r="316" spans="1:43" x14ac:dyDescent="0.25">
      <c r="A316" t="s">
        <v>224</v>
      </c>
      <c r="B316" s="22" t="s">
        <v>822</v>
      </c>
      <c r="C316" t="s">
        <v>286</v>
      </c>
      <c r="D316" s="22" t="s">
        <v>283</v>
      </c>
      <c r="E316" s="21">
        <v>2018</v>
      </c>
      <c r="F316" s="7">
        <v>49.709764929572401</v>
      </c>
      <c r="G316" s="7">
        <v>2.58</v>
      </c>
      <c r="H316" s="7">
        <v>0.54700000000000004</v>
      </c>
      <c r="I316" s="7">
        <v>0.52</v>
      </c>
      <c r="J316" s="7">
        <v>0.19500000000000001</v>
      </c>
      <c r="K316" s="7">
        <v>0.65200000000000002</v>
      </c>
      <c r="L316" s="7">
        <v>0</v>
      </c>
      <c r="M316" s="7">
        <v>0.69899999999999995</v>
      </c>
      <c r="N316" s="7">
        <v>0.105</v>
      </c>
      <c r="O316" s="7">
        <v>0</v>
      </c>
      <c r="P316" s="7">
        <v>1.212</v>
      </c>
      <c r="Q316" s="7">
        <v>0.19600000000000001</v>
      </c>
      <c r="R316" s="7">
        <v>0</v>
      </c>
      <c r="S316" s="7">
        <v>2.5049999999999999</v>
      </c>
      <c r="T316" s="7">
        <v>1.3480000000000001</v>
      </c>
      <c r="U316" s="7">
        <v>1.6220000000000001</v>
      </c>
      <c r="V316" s="7">
        <v>6.4000000000000001E-2</v>
      </c>
      <c r="W316" s="7">
        <v>0.84899999999999998</v>
      </c>
      <c r="X316" s="7">
        <v>0.93500000000000005</v>
      </c>
      <c r="Y316" s="7">
        <v>0.03</v>
      </c>
      <c r="Z316" s="7">
        <v>0</v>
      </c>
      <c r="AA316" s="7">
        <v>1.0629999999999999</v>
      </c>
      <c r="AB316" s="7">
        <v>0.22600000000000001</v>
      </c>
      <c r="AC316" s="7">
        <v>0.17199999999999999</v>
      </c>
      <c r="AD316" s="7">
        <v>4.2000000000000003E-2</v>
      </c>
      <c r="AE316" s="7">
        <v>1.5940000000000001</v>
      </c>
      <c r="AF316" s="7">
        <v>4.008</v>
      </c>
      <c r="AG316" s="7">
        <v>0</v>
      </c>
      <c r="AH316" s="7">
        <v>2.8929999999999998</v>
      </c>
      <c r="AI316" s="7">
        <v>1.248</v>
      </c>
      <c r="AJ316" s="7">
        <v>0</v>
      </c>
      <c r="AK316" s="7">
        <v>0.23200000000000001</v>
      </c>
      <c r="AL316" s="7">
        <v>14.058999999999999</v>
      </c>
      <c r="AM316" s="7">
        <v>11.246</v>
      </c>
      <c r="AN316" s="7">
        <v>0.8</v>
      </c>
      <c r="AO316" s="7">
        <v>7.5490000000000004</v>
      </c>
      <c r="AP316" s="7">
        <v>2.016</v>
      </c>
      <c r="AQ316" s="7">
        <v>4.4939999999999998</v>
      </c>
    </row>
    <row r="317" spans="1:43" x14ac:dyDescent="0.25">
      <c r="A317" t="s">
        <v>225</v>
      </c>
      <c r="B317" s="22" t="s">
        <v>822</v>
      </c>
      <c r="C317" t="s">
        <v>286</v>
      </c>
      <c r="D317" s="22" t="s">
        <v>283</v>
      </c>
      <c r="E317" s="21">
        <v>2018</v>
      </c>
      <c r="F317" s="7">
        <v>73.232805581544199</v>
      </c>
      <c r="G317" s="7">
        <v>3.0579999999999998</v>
      </c>
      <c r="H317" s="7">
        <v>0.59699999999999998</v>
      </c>
      <c r="I317" s="7">
        <v>0.76100000000000001</v>
      </c>
      <c r="J317" s="7">
        <v>0.34300000000000003</v>
      </c>
      <c r="K317" s="7">
        <v>0.90400000000000003</v>
      </c>
      <c r="L317" s="7">
        <v>0</v>
      </c>
      <c r="M317" s="7">
        <v>0.98699999999999999</v>
      </c>
      <c r="N317" s="7">
        <v>0.11899999999999999</v>
      </c>
      <c r="O317" s="7">
        <v>0</v>
      </c>
      <c r="P317" s="7">
        <v>1.6970000000000001</v>
      </c>
      <c r="Q317" s="7">
        <v>0.317</v>
      </c>
      <c r="R317" s="7">
        <v>0</v>
      </c>
      <c r="S317" s="7">
        <v>3.222</v>
      </c>
      <c r="T317" s="7">
        <v>2.0270000000000001</v>
      </c>
      <c r="U317" s="7">
        <v>2.3450000000000002</v>
      </c>
      <c r="V317" s="7">
        <v>0.16200000000000001</v>
      </c>
      <c r="W317" s="7">
        <v>1.083</v>
      </c>
      <c r="X317" s="7">
        <v>1.3129999999999999</v>
      </c>
      <c r="Y317" s="7">
        <v>5.3999999999999999E-2</v>
      </c>
      <c r="Z317" s="7">
        <v>0</v>
      </c>
      <c r="AA317" s="7">
        <v>1.4970000000000001</v>
      </c>
      <c r="AB317" s="7">
        <v>0.26</v>
      </c>
      <c r="AC317" s="7">
        <v>0.23</v>
      </c>
      <c r="AD317" s="7">
        <v>7.0999999999999994E-2</v>
      </c>
      <c r="AE317" s="7">
        <v>2.855</v>
      </c>
      <c r="AF317" s="7">
        <v>5.6840000000000002</v>
      </c>
      <c r="AG317" s="7">
        <v>0</v>
      </c>
      <c r="AH317" s="7">
        <v>4.0599999999999996</v>
      </c>
      <c r="AI317" s="7">
        <v>2.0960000000000001</v>
      </c>
      <c r="AJ317" s="7">
        <v>0</v>
      </c>
      <c r="AK317" s="7">
        <v>0.40600000000000003</v>
      </c>
      <c r="AL317" s="7">
        <v>18.989000000000001</v>
      </c>
      <c r="AM317" s="7">
        <v>16.753</v>
      </c>
      <c r="AN317" s="7">
        <v>0.88200000000000001</v>
      </c>
      <c r="AO317" s="7">
        <v>10.523</v>
      </c>
      <c r="AP317" s="7">
        <v>2.8029999999999999</v>
      </c>
      <c r="AQ317" s="7">
        <v>5.6630000000000003</v>
      </c>
    </row>
    <row r="318" spans="1:43" x14ac:dyDescent="0.25">
      <c r="A318" t="s">
        <v>226</v>
      </c>
      <c r="B318" s="22" t="s">
        <v>823</v>
      </c>
      <c r="C318" t="s">
        <v>298</v>
      </c>
      <c r="D318" s="22" t="s">
        <v>283</v>
      </c>
      <c r="E318" s="21">
        <v>2018</v>
      </c>
      <c r="F318" s="7">
        <v>133.71748834093799</v>
      </c>
      <c r="G318" s="7">
        <v>6.0919999999999996</v>
      </c>
      <c r="H318" s="7">
        <v>3.605</v>
      </c>
      <c r="I318" s="7">
        <v>1.169</v>
      </c>
      <c r="J318" s="7">
        <v>0.56299999999999994</v>
      </c>
      <c r="K318" s="7">
        <v>1.875</v>
      </c>
      <c r="L318" s="7">
        <v>0</v>
      </c>
      <c r="M318" s="7">
        <v>1.639</v>
      </c>
      <c r="N318" s="7">
        <v>0</v>
      </c>
      <c r="O318" s="7">
        <v>0</v>
      </c>
      <c r="P318" s="7">
        <v>3.1659999999999999</v>
      </c>
      <c r="Q318" s="7">
        <v>0.58299999999999996</v>
      </c>
      <c r="R318" s="7">
        <v>0</v>
      </c>
      <c r="S318" s="7">
        <v>6.7380000000000004</v>
      </c>
      <c r="T318" s="7">
        <v>3.1240000000000001</v>
      </c>
      <c r="U318" s="7">
        <v>5.0780000000000003</v>
      </c>
      <c r="V318" s="7">
        <v>0.26</v>
      </c>
      <c r="W318" s="7">
        <v>2.5270000000000001</v>
      </c>
      <c r="X318" s="7">
        <v>2.6629999999999998</v>
      </c>
      <c r="Y318" s="7">
        <v>0.1</v>
      </c>
      <c r="Z318" s="7">
        <v>0</v>
      </c>
      <c r="AA318" s="7">
        <v>5.9550000000000001</v>
      </c>
      <c r="AB318" s="7">
        <v>0.55400000000000005</v>
      </c>
      <c r="AC318" s="7">
        <v>0.38100000000000001</v>
      </c>
      <c r="AD318" s="7">
        <v>0.128</v>
      </c>
      <c r="AE318" s="7">
        <v>3.1970000000000001</v>
      </c>
      <c r="AF318" s="7">
        <v>11.176</v>
      </c>
      <c r="AG318" s="7">
        <v>0</v>
      </c>
      <c r="AH318" s="7">
        <v>6.2789999999999999</v>
      </c>
      <c r="AI318" s="7">
        <v>2.08</v>
      </c>
      <c r="AJ318" s="7">
        <v>0</v>
      </c>
      <c r="AK318" s="7">
        <v>0.88</v>
      </c>
      <c r="AL318" s="7">
        <v>39.182000000000002</v>
      </c>
      <c r="AM318" s="7">
        <v>29.75</v>
      </c>
      <c r="AN318" s="7">
        <v>0.75900000000000001</v>
      </c>
      <c r="AO318" s="7">
        <v>21.073</v>
      </c>
      <c r="AP318" s="7">
        <v>4.8049999999999997</v>
      </c>
      <c r="AQ318" s="7">
        <v>13.304</v>
      </c>
    </row>
    <row r="319" spans="1:43" x14ac:dyDescent="0.25">
      <c r="A319" t="s">
        <v>227</v>
      </c>
      <c r="B319" s="22" t="s">
        <v>823</v>
      </c>
      <c r="C319" t="s">
        <v>298</v>
      </c>
      <c r="D319" s="22" t="s">
        <v>283</v>
      </c>
      <c r="E319" s="21">
        <v>2018</v>
      </c>
      <c r="F319" s="7">
        <v>126.349287107677</v>
      </c>
      <c r="G319" s="7">
        <v>5.9690000000000003</v>
      </c>
      <c r="H319" s="7">
        <v>3.5379999999999998</v>
      </c>
      <c r="I319" s="7">
        <v>1.155</v>
      </c>
      <c r="J319" s="7">
        <v>0.46800000000000003</v>
      </c>
      <c r="K319" s="7">
        <v>1.8819999999999999</v>
      </c>
      <c r="L319" s="7">
        <v>0</v>
      </c>
      <c r="M319" s="7">
        <v>1.4930000000000001</v>
      </c>
      <c r="N319" s="7">
        <v>0</v>
      </c>
      <c r="O319" s="7">
        <v>0</v>
      </c>
      <c r="P319" s="7">
        <v>2.802</v>
      </c>
      <c r="Q319" s="7">
        <v>0.56699999999999995</v>
      </c>
      <c r="R319" s="7">
        <v>0</v>
      </c>
      <c r="S319" s="7">
        <v>6.7450000000000001</v>
      </c>
      <c r="T319" s="7">
        <v>3.0390000000000001</v>
      </c>
      <c r="U319" s="7">
        <v>4.7460000000000004</v>
      </c>
      <c r="V319" s="7">
        <v>0.25800000000000001</v>
      </c>
      <c r="W319" s="7">
        <v>2.391</v>
      </c>
      <c r="X319" s="7">
        <v>2.3969999999999998</v>
      </c>
      <c r="Y319" s="7">
        <v>8.7999999999999995E-2</v>
      </c>
      <c r="Z319" s="7">
        <v>0</v>
      </c>
      <c r="AA319" s="7">
        <v>6.0979999999999999</v>
      </c>
      <c r="AB319" s="7">
        <v>0.42899999999999999</v>
      </c>
      <c r="AC319" s="7">
        <v>0.379</v>
      </c>
      <c r="AD319" s="7">
        <v>9.8000000000000004E-2</v>
      </c>
      <c r="AE319" s="7">
        <v>5.1959999999999997</v>
      </c>
      <c r="AF319" s="7">
        <v>11.878</v>
      </c>
      <c r="AG319" s="7">
        <v>0</v>
      </c>
      <c r="AH319" s="7">
        <v>6.3579999999999997</v>
      </c>
      <c r="AI319" s="7">
        <v>0</v>
      </c>
      <c r="AJ319" s="7">
        <v>1.61</v>
      </c>
      <c r="AK319" s="7">
        <v>1.0649999999999999</v>
      </c>
      <c r="AL319" s="7">
        <v>37.537999999999997</v>
      </c>
      <c r="AM319" s="7">
        <v>32.045999999999999</v>
      </c>
      <c r="AN319" s="7">
        <v>0.85399999999999998</v>
      </c>
      <c r="AO319" s="7">
        <v>20.231000000000002</v>
      </c>
      <c r="AP319" s="7">
        <v>4.2949999999999999</v>
      </c>
      <c r="AQ319" s="7">
        <v>13.012</v>
      </c>
    </row>
    <row r="320" spans="1:43" x14ac:dyDescent="0.25">
      <c r="A320" t="s">
        <v>228</v>
      </c>
      <c r="B320" s="22" t="s">
        <v>823</v>
      </c>
      <c r="C320" t="s">
        <v>298</v>
      </c>
      <c r="D320" s="22" t="s">
        <v>283</v>
      </c>
      <c r="E320" s="21">
        <v>2018</v>
      </c>
      <c r="F320" s="7">
        <v>126.44119226132899</v>
      </c>
      <c r="G320" s="7">
        <v>5.8620000000000001</v>
      </c>
      <c r="H320" s="7">
        <v>3.36</v>
      </c>
      <c r="I320" s="7">
        <v>1.1279999999999999</v>
      </c>
      <c r="J320" s="7">
        <v>0.54300000000000004</v>
      </c>
      <c r="K320" s="7">
        <v>1.8959999999999999</v>
      </c>
      <c r="L320" s="7">
        <v>7.1999999999999995E-2</v>
      </c>
      <c r="M320" s="7">
        <v>1.454</v>
      </c>
      <c r="N320" s="7">
        <v>0</v>
      </c>
      <c r="O320" s="7">
        <v>0</v>
      </c>
      <c r="P320" s="7">
        <v>2.9769999999999999</v>
      </c>
      <c r="Q320" s="7">
        <v>0.61799999999999999</v>
      </c>
      <c r="R320" s="7">
        <v>3.5999999999999997E-2</v>
      </c>
      <c r="S320" s="7">
        <v>7.056</v>
      </c>
      <c r="T320" s="7">
        <v>3.2</v>
      </c>
      <c r="U320" s="7">
        <v>4.9009999999999998</v>
      </c>
      <c r="V320" s="7">
        <v>0.247</v>
      </c>
      <c r="W320" s="7">
        <v>2.3929999999999998</v>
      </c>
      <c r="X320" s="7">
        <v>2.4750000000000001</v>
      </c>
      <c r="Y320" s="7">
        <v>0.108</v>
      </c>
      <c r="Z320" s="7">
        <v>0</v>
      </c>
      <c r="AA320" s="7">
        <v>6.0410000000000004</v>
      </c>
      <c r="AB320" s="7">
        <v>0.54400000000000004</v>
      </c>
      <c r="AC320" s="7">
        <v>0.41299999999999998</v>
      </c>
      <c r="AD320" s="7">
        <v>0.109</v>
      </c>
      <c r="AE320" s="7">
        <v>3.1339999999999999</v>
      </c>
      <c r="AF320" s="7">
        <v>10.502000000000001</v>
      </c>
      <c r="AG320" s="7">
        <v>0</v>
      </c>
      <c r="AH320" s="7">
        <v>6.4710000000000001</v>
      </c>
      <c r="AI320" s="7">
        <v>0</v>
      </c>
      <c r="AJ320" s="7">
        <v>1.7310000000000001</v>
      </c>
      <c r="AK320" s="7">
        <v>1.0569999999999999</v>
      </c>
      <c r="AL320" s="7">
        <v>38.326000000000001</v>
      </c>
      <c r="AM320" s="7">
        <v>28.945</v>
      </c>
      <c r="AN320" s="7">
        <v>0.755</v>
      </c>
      <c r="AO320" s="7">
        <v>21.033999999999999</v>
      </c>
      <c r="AP320" s="7">
        <v>4.431</v>
      </c>
      <c r="AQ320" s="7">
        <v>12.861000000000001</v>
      </c>
    </row>
    <row r="321" spans="1:43" x14ac:dyDescent="0.25">
      <c r="A321" t="s">
        <v>229</v>
      </c>
      <c r="B321" s="22" t="s">
        <v>823</v>
      </c>
      <c r="C321" t="s">
        <v>298</v>
      </c>
      <c r="D321" s="22" t="s">
        <v>283</v>
      </c>
      <c r="E321" s="21">
        <v>2018</v>
      </c>
      <c r="F321" s="7">
        <v>127.69886079644699</v>
      </c>
      <c r="G321" s="7">
        <v>5.7889999999999997</v>
      </c>
      <c r="H321" s="7">
        <v>3.8650000000000002</v>
      </c>
      <c r="I321" s="7">
        <v>1.0860000000000001</v>
      </c>
      <c r="J321" s="7">
        <v>0.48499999999999999</v>
      </c>
      <c r="K321" s="7">
        <v>1.8049999999999999</v>
      </c>
      <c r="L321" s="7">
        <v>0</v>
      </c>
      <c r="M321" s="7">
        <v>1.5289999999999999</v>
      </c>
      <c r="N321" s="7">
        <v>0</v>
      </c>
      <c r="O321" s="7">
        <v>0</v>
      </c>
      <c r="P321" s="7">
        <v>2.8079999999999998</v>
      </c>
      <c r="Q321" s="7">
        <v>0.54600000000000004</v>
      </c>
      <c r="R321" s="7">
        <v>0</v>
      </c>
      <c r="S321" s="7">
        <v>6.6289999999999996</v>
      </c>
      <c r="T321" s="7">
        <v>2.8929999999999998</v>
      </c>
      <c r="U321" s="7">
        <v>4.8049999999999997</v>
      </c>
      <c r="V321" s="7">
        <v>0.309</v>
      </c>
      <c r="W321" s="7">
        <v>2.524</v>
      </c>
      <c r="X321" s="7">
        <v>2.5590000000000002</v>
      </c>
      <c r="Y321" s="7">
        <v>9.1999999999999998E-2</v>
      </c>
      <c r="Z321" s="7">
        <v>0</v>
      </c>
      <c r="AA321" s="7">
        <v>6.4260000000000002</v>
      </c>
      <c r="AB321" s="7">
        <v>0.55300000000000005</v>
      </c>
      <c r="AC321" s="7">
        <v>0.375</v>
      </c>
      <c r="AD321" s="7">
        <v>0.113</v>
      </c>
      <c r="AE321" s="7">
        <v>3.1720000000000002</v>
      </c>
      <c r="AF321" s="7">
        <v>11.247999999999999</v>
      </c>
      <c r="AG321" s="7">
        <v>0</v>
      </c>
      <c r="AH321" s="7">
        <v>6.0460000000000003</v>
      </c>
      <c r="AI321" s="7">
        <v>0</v>
      </c>
      <c r="AJ321" s="7">
        <v>1.77</v>
      </c>
      <c r="AK321" s="7">
        <v>0.95199999999999996</v>
      </c>
      <c r="AL321" s="7">
        <v>37.723999999999997</v>
      </c>
      <c r="AM321" s="7">
        <v>29.702999999999999</v>
      </c>
      <c r="AN321" s="7">
        <v>0.78700000000000003</v>
      </c>
      <c r="AO321" s="7">
        <v>20.356999999999999</v>
      </c>
      <c r="AP321" s="7">
        <v>4.3369999999999997</v>
      </c>
      <c r="AQ321" s="7">
        <v>13.03</v>
      </c>
    </row>
    <row r="322" spans="1:43" x14ac:dyDescent="0.25">
      <c r="A322" t="s">
        <v>250</v>
      </c>
      <c r="B322" s="22" t="s">
        <v>834</v>
      </c>
      <c r="C322" t="s">
        <v>286</v>
      </c>
      <c r="D322" s="22" t="s">
        <v>286</v>
      </c>
      <c r="E322" s="21">
        <v>2018</v>
      </c>
      <c r="F322" s="7">
        <v>122.16072900801301</v>
      </c>
      <c r="G322" s="7">
        <v>6.5090000000000003</v>
      </c>
      <c r="H322" s="7">
        <v>1.7130000000000001</v>
      </c>
      <c r="I322" s="7">
        <v>0.96499999999999997</v>
      </c>
      <c r="J322" s="7">
        <v>0.51500000000000001</v>
      </c>
      <c r="K322" s="7">
        <v>1.7809999999999999</v>
      </c>
      <c r="L322" s="7">
        <v>0</v>
      </c>
      <c r="M322" s="7">
        <v>1.65</v>
      </c>
      <c r="N322" s="7">
        <v>0.246</v>
      </c>
      <c r="O322" s="7">
        <v>0</v>
      </c>
      <c r="P322" s="7">
        <v>2.9990000000000001</v>
      </c>
      <c r="Q322" s="7">
        <v>0.55300000000000005</v>
      </c>
      <c r="R322" s="7">
        <v>0</v>
      </c>
      <c r="S322" s="7">
        <v>5.46</v>
      </c>
      <c r="T322" s="7">
        <v>3.262</v>
      </c>
      <c r="U322" s="7">
        <v>3.82</v>
      </c>
      <c r="V322" s="7">
        <v>0.17699999999999999</v>
      </c>
      <c r="W322" s="7">
        <v>2.0640000000000001</v>
      </c>
      <c r="X322" s="7">
        <v>2.3250000000000002</v>
      </c>
      <c r="Y322" s="7">
        <v>0.111</v>
      </c>
      <c r="Z322" s="7">
        <v>0</v>
      </c>
      <c r="AA322" s="7">
        <v>3.1059999999999999</v>
      </c>
      <c r="AB322" s="7">
        <v>0.69099999999999995</v>
      </c>
      <c r="AC322" s="7">
        <v>0.48</v>
      </c>
      <c r="AD322" s="7">
        <v>0.11700000000000001</v>
      </c>
      <c r="AE322" s="7">
        <v>5.2169999999999996</v>
      </c>
      <c r="AF322" s="7">
        <v>10.086</v>
      </c>
      <c r="AG322" s="7">
        <v>0</v>
      </c>
      <c r="AH322" s="7">
        <v>7.94</v>
      </c>
      <c r="AI322" s="7">
        <v>1.9339999999999999</v>
      </c>
      <c r="AJ322" s="7">
        <v>0</v>
      </c>
      <c r="AK322" s="7">
        <v>0.9</v>
      </c>
      <c r="AL322" s="7">
        <v>34.15</v>
      </c>
      <c r="AM322" s="7">
        <v>29.571000000000002</v>
      </c>
      <c r="AN322" s="7">
        <v>0.86599999999999999</v>
      </c>
      <c r="AO322" s="7">
        <v>17.771999999999998</v>
      </c>
      <c r="AP322" s="7">
        <v>4.8949999999999996</v>
      </c>
      <c r="AQ322" s="7">
        <v>11.483000000000001</v>
      </c>
    </row>
    <row r="323" spans="1:43" x14ac:dyDescent="0.25">
      <c r="A323" t="s">
        <v>251</v>
      </c>
      <c r="B323" s="22" t="s">
        <v>834</v>
      </c>
      <c r="C323" t="s">
        <v>286</v>
      </c>
      <c r="D323" s="22" t="s">
        <v>286</v>
      </c>
      <c r="E323" s="21">
        <v>2018</v>
      </c>
      <c r="F323" s="7">
        <v>178.08259494530799</v>
      </c>
      <c r="G323" s="7">
        <v>7.726</v>
      </c>
      <c r="H323" s="7">
        <v>1.6140000000000001</v>
      </c>
      <c r="I323" s="7">
        <v>1.306</v>
      </c>
      <c r="J323" s="7">
        <v>0.69199999999999995</v>
      </c>
      <c r="K323" s="7">
        <v>2.4119999999999999</v>
      </c>
      <c r="L323" s="7">
        <v>0</v>
      </c>
      <c r="M323" s="7">
        <v>2.2450000000000001</v>
      </c>
      <c r="N323" s="7">
        <v>0.27200000000000002</v>
      </c>
      <c r="O323" s="7">
        <v>0</v>
      </c>
      <c r="P323" s="7">
        <v>3.859</v>
      </c>
      <c r="Q323" s="7">
        <v>0.84899999999999998</v>
      </c>
      <c r="R323" s="7">
        <v>7.0999999999999994E-2</v>
      </c>
      <c r="S323" s="7">
        <v>7.7439999999999998</v>
      </c>
      <c r="T323" s="7">
        <v>5.1980000000000004</v>
      </c>
      <c r="U323" s="7">
        <v>5.4950000000000001</v>
      </c>
      <c r="V323" s="7">
        <v>0.27300000000000002</v>
      </c>
      <c r="W323" s="7">
        <v>2.8860000000000001</v>
      </c>
      <c r="X323" s="7">
        <v>3.3660000000000001</v>
      </c>
      <c r="Y323" s="7">
        <v>0.157</v>
      </c>
      <c r="Z323" s="7">
        <v>0</v>
      </c>
      <c r="AA323" s="7">
        <v>4.6029999999999998</v>
      </c>
      <c r="AB323" s="7">
        <v>0.622</v>
      </c>
      <c r="AC323" s="7">
        <v>0.66500000000000004</v>
      </c>
      <c r="AD323" s="7">
        <v>0.19900000000000001</v>
      </c>
      <c r="AE323" s="7">
        <v>8.8170000000000002</v>
      </c>
      <c r="AF323" s="7">
        <v>15.044</v>
      </c>
      <c r="AG323" s="7">
        <v>0</v>
      </c>
      <c r="AH323" s="7">
        <v>12.821</v>
      </c>
      <c r="AI323" s="7">
        <v>3.0659999999999998</v>
      </c>
      <c r="AJ323" s="7">
        <v>0</v>
      </c>
      <c r="AK323" s="7">
        <v>1.3220000000000001</v>
      </c>
      <c r="AL323" s="7">
        <v>46.164999999999999</v>
      </c>
      <c r="AM323" s="7">
        <v>45.837000000000003</v>
      </c>
      <c r="AN323" s="7">
        <v>0.99299999999999999</v>
      </c>
      <c r="AO323" s="7">
        <v>26.039000000000001</v>
      </c>
      <c r="AP323" s="7">
        <v>6.3760000000000003</v>
      </c>
      <c r="AQ323" s="7">
        <v>13.75</v>
      </c>
    </row>
    <row r="324" spans="1:43" x14ac:dyDescent="0.25">
      <c r="A324" t="s">
        <v>252</v>
      </c>
      <c r="B324" s="22" t="s">
        <v>834</v>
      </c>
      <c r="C324" t="s">
        <v>286</v>
      </c>
      <c r="D324" s="22" t="s">
        <v>286</v>
      </c>
      <c r="E324" s="21">
        <v>2018</v>
      </c>
      <c r="F324" s="7">
        <v>168.62251712929</v>
      </c>
      <c r="G324" s="7">
        <v>7.0609999999999999</v>
      </c>
      <c r="H324" s="7">
        <v>1.518</v>
      </c>
      <c r="I324" s="7">
        <v>1.319</v>
      </c>
      <c r="J324" s="7">
        <v>0.73099999999999998</v>
      </c>
      <c r="K324" s="7">
        <v>2.2280000000000002</v>
      </c>
      <c r="L324" s="7">
        <v>9.6000000000000002E-2</v>
      </c>
      <c r="M324" s="7">
        <v>2.1150000000000002</v>
      </c>
      <c r="N324" s="7">
        <v>0.159</v>
      </c>
      <c r="O324" s="7">
        <v>0</v>
      </c>
      <c r="P324" s="7">
        <v>3.58</v>
      </c>
      <c r="Q324" s="7">
        <v>0.75700000000000001</v>
      </c>
      <c r="R324" s="7">
        <v>6.6000000000000003E-2</v>
      </c>
      <c r="S324" s="7">
        <v>6.835</v>
      </c>
      <c r="T324" s="7">
        <v>4.32</v>
      </c>
      <c r="U324" s="7">
        <v>4.8639999999999999</v>
      </c>
      <c r="V324" s="7">
        <v>0.24199999999999999</v>
      </c>
      <c r="W324" s="7">
        <v>2.5489999999999999</v>
      </c>
      <c r="X324" s="7">
        <v>2.9009999999999998</v>
      </c>
      <c r="Y324" s="7">
        <v>0.16900000000000001</v>
      </c>
      <c r="Z324" s="7">
        <v>0</v>
      </c>
      <c r="AA324" s="7">
        <v>4.8689999999999998</v>
      </c>
      <c r="AB324" s="7">
        <v>0.60499999999999998</v>
      </c>
      <c r="AC324" s="7">
        <v>0.60699999999999998</v>
      </c>
      <c r="AD324" s="7">
        <v>0.28999999999999998</v>
      </c>
      <c r="AE324" s="7">
        <v>10.087</v>
      </c>
      <c r="AF324" s="7">
        <v>14.188000000000001</v>
      </c>
      <c r="AG324" s="7">
        <v>0</v>
      </c>
      <c r="AH324" s="7">
        <v>11.694000000000001</v>
      </c>
      <c r="AI324" s="7">
        <v>2.7069999999999999</v>
      </c>
      <c r="AJ324" s="7">
        <v>0</v>
      </c>
      <c r="AK324" s="7">
        <v>1.4990000000000001</v>
      </c>
      <c r="AL324" s="7">
        <v>41.51</v>
      </c>
      <c r="AM324" s="7">
        <v>45.046999999999997</v>
      </c>
      <c r="AN324" s="7">
        <v>1.085</v>
      </c>
      <c r="AO324" s="7">
        <v>22.702999999999999</v>
      </c>
      <c r="AP324" s="7">
        <v>5.8540000000000001</v>
      </c>
      <c r="AQ324" s="7">
        <v>12.952999999999999</v>
      </c>
    </row>
    <row r="325" spans="1:43" x14ac:dyDescent="0.25">
      <c r="A325" t="s">
        <v>253</v>
      </c>
      <c r="B325" s="22" t="s">
        <v>834</v>
      </c>
      <c r="C325" t="s">
        <v>286</v>
      </c>
      <c r="D325" s="22" t="s">
        <v>286</v>
      </c>
      <c r="E325" s="21">
        <v>2018</v>
      </c>
      <c r="F325" s="7">
        <v>197.09026057872001</v>
      </c>
      <c r="G325" s="7">
        <v>8.2989999999999995</v>
      </c>
      <c r="H325" s="7">
        <v>2.1070000000000002</v>
      </c>
      <c r="I325" s="7">
        <v>1.4510000000000001</v>
      </c>
      <c r="J325" s="7">
        <v>1.048</v>
      </c>
      <c r="K325" s="7">
        <v>2.5499999999999998</v>
      </c>
      <c r="L325" s="7">
        <v>0.39</v>
      </c>
      <c r="M325" s="7">
        <v>2.7490000000000001</v>
      </c>
      <c r="N325" s="7">
        <v>0</v>
      </c>
      <c r="O325" s="7">
        <v>0</v>
      </c>
      <c r="P325" s="7">
        <v>4.468</v>
      </c>
      <c r="Q325" s="7">
        <v>1</v>
      </c>
      <c r="R325" s="7">
        <v>8.5000000000000006E-2</v>
      </c>
      <c r="S325" s="7">
        <v>8.3149999999999995</v>
      </c>
      <c r="T325" s="7">
        <v>5.3380000000000001</v>
      </c>
      <c r="U325" s="7">
        <v>5.7169999999999996</v>
      </c>
      <c r="V325" s="7">
        <v>0.41499999999999998</v>
      </c>
      <c r="W325" s="7">
        <v>3.2349999999999999</v>
      </c>
      <c r="X325" s="7">
        <v>3.6120000000000001</v>
      </c>
      <c r="Y325" s="7">
        <v>0.35399999999999998</v>
      </c>
      <c r="Z325" s="7">
        <v>0</v>
      </c>
      <c r="AA325" s="7">
        <v>5.79</v>
      </c>
      <c r="AB325" s="7">
        <v>1.143</v>
      </c>
      <c r="AC325" s="7">
        <v>0.73299999999999998</v>
      </c>
      <c r="AD325" s="7">
        <v>0.40300000000000002</v>
      </c>
      <c r="AE325" s="7">
        <v>7.9420000000000002</v>
      </c>
      <c r="AF325" s="7">
        <v>14.016</v>
      </c>
      <c r="AG325" s="7">
        <v>0</v>
      </c>
      <c r="AH325" s="7">
        <v>12.772</v>
      </c>
      <c r="AI325" s="7">
        <v>3.496</v>
      </c>
      <c r="AJ325" s="7">
        <v>0</v>
      </c>
      <c r="AK325" s="7">
        <v>2.177</v>
      </c>
      <c r="AL325" s="7">
        <v>51.133000000000003</v>
      </c>
      <c r="AM325" s="7">
        <v>46.295000000000002</v>
      </c>
      <c r="AN325" s="7">
        <v>0.90500000000000003</v>
      </c>
      <c r="AO325" s="7">
        <v>28.071000000000002</v>
      </c>
      <c r="AP325" s="7">
        <v>7.2169999999999996</v>
      </c>
      <c r="AQ325" s="7">
        <v>15.845000000000001</v>
      </c>
    </row>
    <row r="326" spans="1:43" x14ac:dyDescent="0.25">
      <c r="A326" t="s">
        <v>258</v>
      </c>
      <c r="B326" s="22" t="s">
        <v>835</v>
      </c>
      <c r="C326" t="s">
        <v>298</v>
      </c>
      <c r="D326" s="22" t="s">
        <v>286</v>
      </c>
      <c r="E326" s="21">
        <v>2018</v>
      </c>
      <c r="F326" s="7">
        <v>81.948684858341906</v>
      </c>
      <c r="G326" s="7">
        <v>3.7549999999999999</v>
      </c>
      <c r="H326" s="7">
        <v>0.71299999999999997</v>
      </c>
      <c r="I326" s="7">
        <v>0.59899999999999998</v>
      </c>
      <c r="J326" s="7">
        <v>0.39700000000000002</v>
      </c>
      <c r="K326" s="7">
        <v>0.91600000000000004</v>
      </c>
      <c r="L326" s="7">
        <v>0</v>
      </c>
      <c r="M326" s="7">
        <v>0.878</v>
      </c>
      <c r="N326" s="7">
        <v>0.17199999999999999</v>
      </c>
      <c r="O326" s="7">
        <v>0</v>
      </c>
      <c r="P326" s="7">
        <v>2.2999999999999998</v>
      </c>
      <c r="Q326" s="7">
        <v>0.35299999999999998</v>
      </c>
      <c r="R326" s="7">
        <v>0</v>
      </c>
      <c r="S326" s="7">
        <v>3.9020000000000001</v>
      </c>
      <c r="T326" s="7">
        <v>2.1440000000000001</v>
      </c>
      <c r="U326" s="7">
        <v>2.081</v>
      </c>
      <c r="V326" s="7">
        <v>0.13</v>
      </c>
      <c r="W326" s="7">
        <v>1.423</v>
      </c>
      <c r="X326" s="7">
        <v>1.4</v>
      </c>
      <c r="Y326" s="7">
        <v>0.107</v>
      </c>
      <c r="Z326" s="7">
        <v>0</v>
      </c>
      <c r="AA326" s="7">
        <v>1.7829999999999999</v>
      </c>
      <c r="AB326" s="7">
        <v>0.24</v>
      </c>
      <c r="AC326" s="7">
        <v>0.25600000000000001</v>
      </c>
      <c r="AD326" s="7">
        <v>0.13700000000000001</v>
      </c>
      <c r="AE326" s="7">
        <v>3.2309999999999999</v>
      </c>
      <c r="AF326" s="7">
        <v>6.3319999999999999</v>
      </c>
      <c r="AG326" s="7">
        <v>0</v>
      </c>
      <c r="AH326" s="7">
        <v>5.056</v>
      </c>
      <c r="AI326" s="7">
        <v>2.16</v>
      </c>
      <c r="AJ326" s="7">
        <v>0</v>
      </c>
      <c r="AK326" s="7">
        <v>0.374</v>
      </c>
      <c r="AL326" s="7">
        <v>21.27</v>
      </c>
      <c r="AM326" s="7">
        <v>19.195</v>
      </c>
      <c r="AN326" s="7">
        <v>0.90200000000000002</v>
      </c>
      <c r="AO326" s="7">
        <v>11.54</v>
      </c>
      <c r="AP326" s="7">
        <v>3.35</v>
      </c>
      <c r="AQ326" s="7">
        <v>6.38</v>
      </c>
    </row>
    <row r="327" spans="1:43" x14ac:dyDescent="0.25">
      <c r="A327" t="s">
        <v>259</v>
      </c>
      <c r="B327" s="22" t="s">
        <v>835</v>
      </c>
      <c r="C327" t="s">
        <v>298</v>
      </c>
      <c r="D327" s="22" t="s">
        <v>286</v>
      </c>
      <c r="E327" s="21">
        <v>2018</v>
      </c>
      <c r="F327" s="7">
        <v>82.459127512510804</v>
      </c>
      <c r="G327" s="7">
        <v>4.319</v>
      </c>
      <c r="H327" s="7">
        <v>1.056</v>
      </c>
      <c r="I327" s="7">
        <v>0.50900000000000001</v>
      </c>
      <c r="J327" s="7">
        <v>0.28799999999999998</v>
      </c>
      <c r="K327" s="7">
        <v>1.23</v>
      </c>
      <c r="L327" s="7">
        <v>0</v>
      </c>
      <c r="M327" s="7">
        <v>0.82</v>
      </c>
      <c r="N327" s="7">
        <v>0</v>
      </c>
      <c r="O327" s="7">
        <v>0</v>
      </c>
      <c r="P327" s="7">
        <v>2.444</v>
      </c>
      <c r="Q327" s="7">
        <v>0.40500000000000003</v>
      </c>
      <c r="R327" s="7">
        <v>0</v>
      </c>
      <c r="S327" s="7">
        <v>4.0789999999999997</v>
      </c>
      <c r="T327" s="7">
        <v>1.89</v>
      </c>
      <c r="U327" s="7">
        <v>1.946</v>
      </c>
      <c r="V327" s="7">
        <v>0.155</v>
      </c>
      <c r="W327" s="7">
        <v>1.49</v>
      </c>
      <c r="X327" s="7">
        <v>1.325</v>
      </c>
      <c r="Y327" s="7">
        <v>7.9000000000000001E-2</v>
      </c>
      <c r="Z327" s="7">
        <v>0</v>
      </c>
      <c r="AA327" s="7">
        <v>2.3769999999999998</v>
      </c>
      <c r="AB327" s="7">
        <v>0.31900000000000001</v>
      </c>
      <c r="AC327" s="7">
        <v>0.20499999999999999</v>
      </c>
      <c r="AD327" s="7">
        <v>0</v>
      </c>
      <c r="AE327" s="7">
        <v>2.984</v>
      </c>
      <c r="AF327" s="7">
        <v>5.6420000000000003</v>
      </c>
      <c r="AG327" s="7">
        <v>0</v>
      </c>
      <c r="AH327" s="7">
        <v>3.9870000000000001</v>
      </c>
      <c r="AI327" s="7">
        <v>1.4710000000000001</v>
      </c>
      <c r="AJ327" s="7">
        <v>0</v>
      </c>
      <c r="AK327" s="7">
        <v>0.76700000000000002</v>
      </c>
      <c r="AL327" s="7">
        <v>22.035</v>
      </c>
      <c r="AM327" s="7">
        <v>16.984999999999999</v>
      </c>
      <c r="AN327" s="7">
        <v>0.77100000000000002</v>
      </c>
      <c r="AO327" s="7">
        <v>11.369</v>
      </c>
      <c r="AP327" s="7">
        <v>3.2639999999999998</v>
      </c>
      <c r="AQ327" s="7">
        <v>7.4020000000000001</v>
      </c>
    </row>
    <row r="328" spans="1:43" x14ac:dyDescent="0.25">
      <c r="A328" t="s">
        <v>260</v>
      </c>
      <c r="B328" s="22" t="s">
        <v>835</v>
      </c>
      <c r="C328" t="s">
        <v>298</v>
      </c>
      <c r="D328" s="22" t="s">
        <v>286</v>
      </c>
      <c r="E328" s="21">
        <v>2018</v>
      </c>
      <c r="F328" s="7">
        <v>125.298501991886</v>
      </c>
      <c r="G328" s="7">
        <v>4.26</v>
      </c>
      <c r="H328" s="7">
        <v>0.68300000000000005</v>
      </c>
      <c r="I328" s="7">
        <v>0.97299999999999998</v>
      </c>
      <c r="J328" s="7">
        <v>0.82399999999999995</v>
      </c>
      <c r="K328" s="7">
        <v>1.343</v>
      </c>
      <c r="L328" s="7">
        <v>0</v>
      </c>
      <c r="M328" s="7">
        <v>1.2110000000000001</v>
      </c>
      <c r="N328" s="7">
        <v>0.18</v>
      </c>
      <c r="O328" s="7">
        <v>0</v>
      </c>
      <c r="P328" s="7">
        <v>2.7989999999999999</v>
      </c>
      <c r="Q328" s="7">
        <v>0.501</v>
      </c>
      <c r="R328" s="7">
        <v>0</v>
      </c>
      <c r="S328" s="7">
        <v>4.6429999999999998</v>
      </c>
      <c r="T328" s="7">
        <v>2.7349999999999999</v>
      </c>
      <c r="U328" s="7">
        <v>2.8319999999999999</v>
      </c>
      <c r="V328" s="7">
        <v>0.18</v>
      </c>
      <c r="W328" s="7">
        <v>1.792</v>
      </c>
      <c r="X328" s="7">
        <v>1.952</v>
      </c>
      <c r="Y328" s="7">
        <v>0.16900000000000001</v>
      </c>
      <c r="Z328" s="7">
        <v>0</v>
      </c>
      <c r="AA328" s="7">
        <v>2.6040000000000001</v>
      </c>
      <c r="AB328" s="7">
        <v>0.33700000000000002</v>
      </c>
      <c r="AC328" s="7">
        <v>0.28000000000000003</v>
      </c>
      <c r="AD328" s="7">
        <v>0.154</v>
      </c>
      <c r="AE328" s="7">
        <v>5.41</v>
      </c>
      <c r="AF328" s="7">
        <v>10.723000000000001</v>
      </c>
      <c r="AG328" s="7">
        <v>0</v>
      </c>
      <c r="AH328" s="7">
        <v>8.3330000000000002</v>
      </c>
      <c r="AI328" s="7">
        <v>2.5939999999999999</v>
      </c>
      <c r="AJ328" s="7">
        <v>0</v>
      </c>
      <c r="AK328" s="7">
        <v>0.77</v>
      </c>
      <c r="AL328" s="7">
        <v>27.077000000000002</v>
      </c>
      <c r="AM328" s="7">
        <v>30.434999999999999</v>
      </c>
      <c r="AN328" s="7">
        <v>1.1240000000000001</v>
      </c>
      <c r="AO328" s="7">
        <v>14.804</v>
      </c>
      <c r="AP328" s="7">
        <v>4.1900000000000004</v>
      </c>
      <c r="AQ328" s="7">
        <v>8.0830000000000002</v>
      </c>
    </row>
    <row r="329" spans="1:43" x14ac:dyDescent="0.25">
      <c r="A329" t="s">
        <v>261</v>
      </c>
      <c r="B329" s="22" t="s">
        <v>835</v>
      </c>
      <c r="C329" t="s">
        <v>298</v>
      </c>
      <c r="D329" s="22" t="s">
        <v>286</v>
      </c>
      <c r="E329" s="21">
        <v>2018</v>
      </c>
      <c r="F329" s="7">
        <v>149.43055140215</v>
      </c>
      <c r="G329" s="7">
        <v>5.9859999999999998</v>
      </c>
      <c r="H329" s="7">
        <v>0.97599999999999998</v>
      </c>
      <c r="I329" s="7">
        <v>0.872</v>
      </c>
      <c r="J329" s="7">
        <v>0.66700000000000004</v>
      </c>
      <c r="K329" s="7">
        <v>1.5669999999999999</v>
      </c>
      <c r="L329" s="7">
        <v>0</v>
      </c>
      <c r="M329" s="7">
        <v>1.448</v>
      </c>
      <c r="N329" s="7">
        <v>0</v>
      </c>
      <c r="O329" s="7">
        <v>0</v>
      </c>
      <c r="P329" s="7">
        <v>3.6560000000000001</v>
      </c>
      <c r="Q329" s="7">
        <v>0.67300000000000004</v>
      </c>
      <c r="R329" s="7">
        <v>5.5E-2</v>
      </c>
      <c r="S329" s="7">
        <v>6.2590000000000003</v>
      </c>
      <c r="T329" s="7">
        <v>3.5670000000000002</v>
      </c>
      <c r="U329" s="7">
        <v>3.4159999999999999</v>
      </c>
      <c r="V329" s="7">
        <v>0.24299999999999999</v>
      </c>
      <c r="W329" s="7">
        <v>2.355</v>
      </c>
      <c r="X329" s="7">
        <v>2.407</v>
      </c>
      <c r="Y329" s="7">
        <v>0.223</v>
      </c>
      <c r="Z329" s="7">
        <v>0</v>
      </c>
      <c r="AA329" s="7">
        <v>3.298</v>
      </c>
      <c r="AB329" s="7">
        <v>0.38600000000000001</v>
      </c>
      <c r="AC329" s="7">
        <v>0.374</v>
      </c>
      <c r="AD329" s="7">
        <v>0.183</v>
      </c>
      <c r="AE329" s="7">
        <v>6.7830000000000004</v>
      </c>
      <c r="AF329" s="7">
        <v>13.081</v>
      </c>
      <c r="AG329" s="7">
        <v>0</v>
      </c>
      <c r="AH329" s="7">
        <v>9.8729999999999993</v>
      </c>
      <c r="AI329" s="7">
        <v>3.1680000000000001</v>
      </c>
      <c r="AJ329" s="7">
        <v>0</v>
      </c>
      <c r="AK329" s="7">
        <v>1.294</v>
      </c>
      <c r="AL329" s="7">
        <v>34.369999999999997</v>
      </c>
      <c r="AM329" s="7">
        <v>37.146000000000001</v>
      </c>
      <c r="AN329" s="7">
        <v>1.081</v>
      </c>
      <c r="AO329" s="7">
        <v>19.198</v>
      </c>
      <c r="AP329" s="7">
        <v>5.1040000000000001</v>
      </c>
      <c r="AQ329" s="7">
        <v>10.068</v>
      </c>
    </row>
    <row r="330" spans="1:43" x14ac:dyDescent="0.25">
      <c r="A330" t="s">
        <v>254</v>
      </c>
      <c r="B330" s="22" t="s">
        <v>833</v>
      </c>
      <c r="C330" t="s">
        <v>298</v>
      </c>
      <c r="D330" s="22" t="s">
        <v>286</v>
      </c>
      <c r="E330" s="21">
        <v>2018</v>
      </c>
      <c r="F330" s="7">
        <v>142.63332573918501</v>
      </c>
      <c r="G330" s="7">
        <v>5.327</v>
      </c>
      <c r="H330" s="7">
        <v>0.873</v>
      </c>
      <c r="I330" s="7">
        <v>1.5860000000000001</v>
      </c>
      <c r="J330" s="7">
        <v>0.752</v>
      </c>
      <c r="K330" s="7">
        <v>1.9370000000000001</v>
      </c>
      <c r="L330" s="7">
        <v>0</v>
      </c>
      <c r="M330" s="7">
        <v>1.7809999999999999</v>
      </c>
      <c r="N330" s="7">
        <v>0.25600000000000001</v>
      </c>
      <c r="O330" s="7">
        <v>0</v>
      </c>
      <c r="P330" s="7">
        <v>3.008</v>
      </c>
      <c r="Q330" s="7">
        <v>0.69</v>
      </c>
      <c r="R330" s="7">
        <v>0.104</v>
      </c>
      <c r="S330" s="7">
        <v>5.8330000000000002</v>
      </c>
      <c r="T330" s="7">
        <v>3.0009999999999999</v>
      </c>
      <c r="U330" s="7">
        <v>4.0810000000000004</v>
      </c>
      <c r="V330" s="7">
        <v>0.22900000000000001</v>
      </c>
      <c r="W330" s="7">
        <v>2.2370000000000001</v>
      </c>
      <c r="X330" s="7">
        <v>2.395</v>
      </c>
      <c r="Y330" s="7">
        <v>0.248</v>
      </c>
      <c r="Z330" s="7">
        <v>0</v>
      </c>
      <c r="AA330" s="7">
        <v>3.1309999999999998</v>
      </c>
      <c r="AB330" s="7">
        <v>0.79400000000000004</v>
      </c>
      <c r="AC330" s="7">
        <v>0.48599999999999999</v>
      </c>
      <c r="AD330" s="7">
        <v>0.26800000000000002</v>
      </c>
      <c r="AE330" s="7">
        <v>4.7229999999999999</v>
      </c>
      <c r="AF330" s="7">
        <v>9.8460000000000001</v>
      </c>
      <c r="AG330" s="7">
        <v>0</v>
      </c>
      <c r="AH330" s="7">
        <v>7.375</v>
      </c>
      <c r="AI330" s="7">
        <v>3.8940000000000001</v>
      </c>
      <c r="AJ330" s="7">
        <v>0</v>
      </c>
      <c r="AK330" s="7">
        <v>0.92500000000000004</v>
      </c>
      <c r="AL330" s="7">
        <v>34.338000000000001</v>
      </c>
      <c r="AM330" s="7">
        <v>30.516999999999999</v>
      </c>
      <c r="AN330" s="7">
        <v>0.88900000000000001</v>
      </c>
      <c r="AO330" s="7">
        <v>18.818000000000001</v>
      </c>
      <c r="AP330" s="7">
        <v>5.0449999999999999</v>
      </c>
      <c r="AQ330" s="7">
        <v>10.475</v>
      </c>
    </row>
    <row r="331" spans="1:43" x14ac:dyDescent="0.25">
      <c r="A331" t="s">
        <v>255</v>
      </c>
      <c r="B331" s="22" t="s">
        <v>833</v>
      </c>
      <c r="C331" t="s">
        <v>298</v>
      </c>
      <c r="D331" s="22" t="s">
        <v>286</v>
      </c>
      <c r="E331" s="21">
        <v>2018</v>
      </c>
      <c r="F331" s="7">
        <v>205.80069986388901</v>
      </c>
      <c r="G331" s="7">
        <v>5.4370000000000003</v>
      </c>
      <c r="H331" s="7">
        <v>0.58599999999999997</v>
      </c>
      <c r="I331" s="7">
        <v>1.5449999999999999</v>
      </c>
      <c r="J331" s="7">
        <v>0.71099999999999997</v>
      </c>
      <c r="K331" s="7">
        <v>2.1150000000000002</v>
      </c>
      <c r="L331" s="7">
        <v>0</v>
      </c>
      <c r="M331" s="7">
        <v>2.109</v>
      </c>
      <c r="N331" s="7">
        <v>0</v>
      </c>
      <c r="O331" s="7">
        <v>0</v>
      </c>
      <c r="P331" s="7">
        <v>2.6659999999999999</v>
      </c>
      <c r="Q331" s="7">
        <v>0.92300000000000004</v>
      </c>
      <c r="R331" s="7">
        <v>0.151</v>
      </c>
      <c r="S331" s="7">
        <v>7.2510000000000003</v>
      </c>
      <c r="T331" s="7">
        <v>4.157</v>
      </c>
      <c r="U331" s="7">
        <v>4.9720000000000004</v>
      </c>
      <c r="V331" s="7">
        <v>0.29199999999999998</v>
      </c>
      <c r="W331" s="7">
        <v>2.5640000000000001</v>
      </c>
      <c r="X331" s="7">
        <v>2.875</v>
      </c>
      <c r="Y331" s="7">
        <v>0.25600000000000001</v>
      </c>
      <c r="Z331" s="7">
        <v>0</v>
      </c>
      <c r="AA331" s="7">
        <v>3.39</v>
      </c>
      <c r="AB331" s="7">
        <v>1.3240000000000001</v>
      </c>
      <c r="AC331" s="7">
        <v>0.59799999999999998</v>
      </c>
      <c r="AD331" s="7">
        <v>0</v>
      </c>
      <c r="AE331" s="7">
        <v>21.384</v>
      </c>
      <c r="AF331" s="7">
        <v>16.736000000000001</v>
      </c>
      <c r="AG331" s="7">
        <v>0</v>
      </c>
      <c r="AH331" s="7">
        <v>11.587</v>
      </c>
      <c r="AI331" s="7">
        <v>5.3710000000000004</v>
      </c>
      <c r="AJ331" s="7">
        <v>0</v>
      </c>
      <c r="AK331" s="7">
        <v>0.91800000000000004</v>
      </c>
      <c r="AL331" s="7">
        <v>38.61</v>
      </c>
      <c r="AM331" s="7">
        <v>60.39</v>
      </c>
      <c r="AN331" s="7">
        <v>1.5640000000000001</v>
      </c>
      <c r="AO331" s="7">
        <v>23.440999999999999</v>
      </c>
      <c r="AP331" s="7">
        <v>4.7750000000000004</v>
      </c>
      <c r="AQ331" s="7">
        <v>10.394</v>
      </c>
    </row>
    <row r="332" spans="1:43" x14ac:dyDescent="0.25">
      <c r="A332" t="s">
        <v>256</v>
      </c>
      <c r="B332" s="22" t="s">
        <v>833</v>
      </c>
      <c r="C332" t="s">
        <v>298</v>
      </c>
      <c r="D332" s="22" t="s">
        <v>286</v>
      </c>
      <c r="E332" s="21">
        <v>2018</v>
      </c>
      <c r="F332" s="7">
        <v>171.11983009802501</v>
      </c>
      <c r="G332" s="7">
        <v>5.3140000000000001</v>
      </c>
      <c r="H332" s="7">
        <v>0.63700000000000001</v>
      </c>
      <c r="I332" s="7">
        <v>1.4690000000000001</v>
      </c>
      <c r="J332" s="7">
        <v>0.82299999999999995</v>
      </c>
      <c r="K332" s="7">
        <v>2.234</v>
      </c>
      <c r="L332" s="7">
        <v>0</v>
      </c>
      <c r="M332" s="7">
        <v>2.161</v>
      </c>
      <c r="N332" s="7">
        <v>0</v>
      </c>
      <c r="O332" s="7">
        <v>0</v>
      </c>
      <c r="P332" s="7">
        <v>2.7330000000000001</v>
      </c>
      <c r="Q332" s="7">
        <v>0.82499999999999996</v>
      </c>
      <c r="R332" s="7">
        <v>0.10100000000000001</v>
      </c>
      <c r="S332" s="7">
        <v>6.73</v>
      </c>
      <c r="T332" s="7">
        <v>4.4530000000000003</v>
      </c>
      <c r="U332" s="7">
        <v>5.093</v>
      </c>
      <c r="V332" s="7">
        <v>0.30499999999999999</v>
      </c>
      <c r="W332" s="7">
        <v>2.3330000000000002</v>
      </c>
      <c r="X332" s="7">
        <v>2.835</v>
      </c>
      <c r="Y332" s="7">
        <v>0.17199999999999999</v>
      </c>
      <c r="Z332" s="7">
        <v>0</v>
      </c>
      <c r="AA332" s="7">
        <v>3</v>
      </c>
      <c r="AB332" s="7">
        <v>1.1140000000000001</v>
      </c>
      <c r="AC332" s="7">
        <v>0.54400000000000004</v>
      </c>
      <c r="AD332" s="7">
        <v>0.23100000000000001</v>
      </c>
      <c r="AE332" s="7">
        <v>9.048</v>
      </c>
      <c r="AF332" s="7">
        <v>12.63</v>
      </c>
      <c r="AG332" s="7">
        <v>0</v>
      </c>
      <c r="AH332" s="7">
        <v>10.048999999999999</v>
      </c>
      <c r="AI332" s="7">
        <v>5.6349999999999998</v>
      </c>
      <c r="AJ332" s="7">
        <v>0</v>
      </c>
      <c r="AK332" s="7">
        <v>1.3120000000000001</v>
      </c>
      <c r="AL332" s="7">
        <v>38.218000000000004</v>
      </c>
      <c r="AM332" s="7">
        <v>42.250999999999998</v>
      </c>
      <c r="AN332" s="7">
        <v>1.1060000000000001</v>
      </c>
      <c r="AO332" s="7">
        <v>22.847000000000001</v>
      </c>
      <c r="AP332" s="7">
        <v>4.8940000000000001</v>
      </c>
      <c r="AQ332" s="7">
        <v>10.477</v>
      </c>
    </row>
    <row r="333" spans="1:43" x14ac:dyDescent="0.25">
      <c r="A333" t="s">
        <v>257</v>
      </c>
      <c r="B333" s="22" t="s">
        <v>833</v>
      </c>
      <c r="C333" t="s">
        <v>298</v>
      </c>
      <c r="D333" s="22" t="s">
        <v>286</v>
      </c>
      <c r="E333" s="21">
        <v>2018</v>
      </c>
      <c r="F333" s="7">
        <v>161.78702639373401</v>
      </c>
      <c r="G333" s="7">
        <v>5.1550000000000002</v>
      </c>
      <c r="H333" s="7">
        <v>0.754</v>
      </c>
      <c r="I333" s="7">
        <v>1.5069999999999999</v>
      </c>
      <c r="J333" s="7">
        <v>0.67</v>
      </c>
      <c r="K333" s="7">
        <v>1.7729999999999999</v>
      </c>
      <c r="L333" s="7">
        <v>0</v>
      </c>
      <c r="M333" s="7">
        <v>1.6619999999999999</v>
      </c>
      <c r="N333" s="7">
        <v>0</v>
      </c>
      <c r="O333" s="7">
        <v>0</v>
      </c>
      <c r="P333" s="7">
        <v>2.577</v>
      </c>
      <c r="Q333" s="7">
        <v>0.75600000000000001</v>
      </c>
      <c r="R333" s="7">
        <v>0.104</v>
      </c>
      <c r="S333" s="7">
        <v>6.5949999999999998</v>
      </c>
      <c r="T333" s="7">
        <v>3.4359999999999999</v>
      </c>
      <c r="U333" s="7">
        <v>4.2919999999999998</v>
      </c>
      <c r="V333" s="7">
        <v>0.27400000000000002</v>
      </c>
      <c r="W333" s="7">
        <v>2.4009999999999998</v>
      </c>
      <c r="X333" s="7">
        <v>2.468</v>
      </c>
      <c r="Y333" s="7">
        <v>0.16900000000000001</v>
      </c>
      <c r="Z333" s="7">
        <v>0</v>
      </c>
      <c r="AA333" s="7">
        <v>4.4539999999999997</v>
      </c>
      <c r="AB333" s="7">
        <v>0.498</v>
      </c>
      <c r="AC333" s="7">
        <v>0.432</v>
      </c>
      <c r="AD333" s="7">
        <v>0.23400000000000001</v>
      </c>
      <c r="AE333" s="7">
        <v>6.577</v>
      </c>
      <c r="AF333" s="7">
        <v>14.124000000000001</v>
      </c>
      <c r="AG333" s="7">
        <v>0</v>
      </c>
      <c r="AH333" s="7">
        <v>8.8030000000000008</v>
      </c>
      <c r="AI333" s="7">
        <v>4.4269999999999996</v>
      </c>
      <c r="AJ333" s="7">
        <v>0</v>
      </c>
      <c r="AK333" s="7">
        <v>1.351</v>
      </c>
      <c r="AL333" s="7">
        <v>34.593000000000004</v>
      </c>
      <c r="AM333" s="7">
        <v>39.548999999999999</v>
      </c>
      <c r="AN333" s="7">
        <v>1.143</v>
      </c>
      <c r="AO333" s="7">
        <v>20.495000000000001</v>
      </c>
      <c r="AP333" s="7">
        <v>4.2389999999999999</v>
      </c>
      <c r="AQ333" s="7">
        <v>9.859</v>
      </c>
    </row>
    <row r="334" spans="1:43" x14ac:dyDescent="0.25">
      <c r="A334" t="s">
        <v>135</v>
      </c>
      <c r="B334" t="s">
        <v>819</v>
      </c>
      <c r="C334" t="s">
        <v>283</v>
      </c>
      <c r="D334" s="22" t="s">
        <v>286</v>
      </c>
      <c r="E334" s="21">
        <v>2018</v>
      </c>
      <c r="F334" s="7">
        <v>73.2060824206158</v>
      </c>
      <c r="G334" s="7">
        <v>3.3660000000000001</v>
      </c>
      <c r="H334" s="7">
        <v>0.90400000000000003</v>
      </c>
      <c r="I334" s="7">
        <v>0.84599999999999997</v>
      </c>
      <c r="J334" s="7">
        <v>0.28499999999999998</v>
      </c>
      <c r="K334" s="7">
        <v>0.90200000000000002</v>
      </c>
      <c r="L334" s="7">
        <v>0</v>
      </c>
      <c r="M334" s="7">
        <v>0.85799999999999998</v>
      </c>
      <c r="N334" s="7">
        <v>0</v>
      </c>
      <c r="O334" s="7">
        <v>0</v>
      </c>
      <c r="P334" s="7">
        <v>1.6819999999999999</v>
      </c>
      <c r="Q334" s="7">
        <v>0.28100000000000003</v>
      </c>
      <c r="R334" s="7">
        <v>0</v>
      </c>
      <c r="S334" s="7">
        <v>2.8260000000000001</v>
      </c>
      <c r="T334" s="7">
        <v>1.573</v>
      </c>
      <c r="U334" s="7">
        <v>1.849</v>
      </c>
      <c r="V334" s="7">
        <v>0.13100000000000001</v>
      </c>
      <c r="W334" s="7">
        <v>1.022</v>
      </c>
      <c r="X334" s="7">
        <v>1.1879999999999999</v>
      </c>
      <c r="Y334" s="7">
        <v>0.126</v>
      </c>
      <c r="Z334" s="7">
        <v>0</v>
      </c>
      <c r="AA334" s="7">
        <v>4.1379999999999999</v>
      </c>
      <c r="AB334" s="7">
        <v>0.313</v>
      </c>
      <c r="AC334" s="7">
        <v>0.20699999999999999</v>
      </c>
      <c r="AD334" s="7">
        <v>0.10199999999999999</v>
      </c>
      <c r="AE334" s="7">
        <v>2.3839999999999999</v>
      </c>
      <c r="AF334" s="7">
        <v>6.4130000000000003</v>
      </c>
      <c r="AG334" s="7">
        <v>0</v>
      </c>
      <c r="AH334" s="7">
        <v>5.2460000000000004</v>
      </c>
      <c r="AI334" s="7">
        <v>0</v>
      </c>
      <c r="AJ334" s="7">
        <v>2.2850000000000001</v>
      </c>
      <c r="AK334" s="7">
        <v>0.33600000000000002</v>
      </c>
      <c r="AL334" s="7">
        <v>17.838999999999999</v>
      </c>
      <c r="AM334" s="7">
        <v>21.088000000000001</v>
      </c>
      <c r="AN334" s="7">
        <v>1.1819999999999999</v>
      </c>
      <c r="AO334" s="7">
        <v>8.9960000000000004</v>
      </c>
      <c r="AP334" s="7">
        <v>2.54</v>
      </c>
      <c r="AQ334" s="7">
        <v>6.3029999999999999</v>
      </c>
    </row>
    <row r="335" spans="1:43" x14ac:dyDescent="0.25">
      <c r="A335" t="s">
        <v>136</v>
      </c>
      <c r="B335" t="s">
        <v>819</v>
      </c>
      <c r="C335" t="s">
        <v>283</v>
      </c>
      <c r="D335" s="22" t="s">
        <v>286</v>
      </c>
      <c r="E335" s="21">
        <v>2018</v>
      </c>
      <c r="F335" s="7">
        <v>88.794537648144598</v>
      </c>
      <c r="G335" s="7">
        <v>4.7960000000000003</v>
      </c>
      <c r="H335" s="7">
        <v>1.5049999999999999</v>
      </c>
      <c r="I335" s="7">
        <v>0.86599999999999999</v>
      </c>
      <c r="J335" s="7">
        <v>0.42099999999999999</v>
      </c>
      <c r="K335" s="7">
        <v>1.016</v>
      </c>
      <c r="L335" s="7">
        <v>0</v>
      </c>
      <c r="M335" s="7">
        <v>0.96899999999999997</v>
      </c>
      <c r="N335" s="7">
        <v>0</v>
      </c>
      <c r="O335" s="7">
        <v>0</v>
      </c>
      <c r="P335" s="7">
        <v>2.3290000000000002</v>
      </c>
      <c r="Q335" s="7">
        <v>0.33400000000000002</v>
      </c>
      <c r="R335" s="7">
        <v>0</v>
      </c>
      <c r="S335" s="7">
        <v>3.6150000000000002</v>
      </c>
      <c r="T335" s="7">
        <v>1.9570000000000001</v>
      </c>
      <c r="U335" s="7">
        <v>2.2770000000000001</v>
      </c>
      <c r="V335" s="7">
        <v>0.16700000000000001</v>
      </c>
      <c r="W335" s="7">
        <v>1.345</v>
      </c>
      <c r="X335" s="7">
        <v>1.4670000000000001</v>
      </c>
      <c r="Y335" s="7">
        <v>7.4999999999999997E-2</v>
      </c>
      <c r="Z335" s="7">
        <v>0</v>
      </c>
      <c r="AA335" s="7">
        <v>4.6589999999999998</v>
      </c>
      <c r="AB335" s="7">
        <v>0.34100000000000003</v>
      </c>
      <c r="AC335" s="7">
        <v>0.224</v>
      </c>
      <c r="AD335" s="7">
        <v>9.2999999999999999E-2</v>
      </c>
      <c r="AE335" s="7">
        <v>2.7069999999999999</v>
      </c>
      <c r="AF335" s="7">
        <v>6.5869999999999997</v>
      </c>
      <c r="AG335" s="7">
        <v>0</v>
      </c>
      <c r="AH335" s="7">
        <v>5.8220000000000001</v>
      </c>
      <c r="AI335" s="7">
        <v>0</v>
      </c>
      <c r="AJ335" s="7">
        <v>2.1829999999999998</v>
      </c>
      <c r="AK335" s="7">
        <v>0.98399999999999999</v>
      </c>
      <c r="AL335" s="7">
        <v>23.138999999999999</v>
      </c>
      <c r="AM335" s="7">
        <v>22.616</v>
      </c>
      <c r="AN335" s="7">
        <v>0.97699999999999998</v>
      </c>
      <c r="AO335" s="7">
        <v>11.237</v>
      </c>
      <c r="AP335" s="7">
        <v>3.298</v>
      </c>
      <c r="AQ335" s="7">
        <v>8.6039999999999992</v>
      </c>
    </row>
    <row r="336" spans="1:43" x14ac:dyDescent="0.25">
      <c r="A336" t="s">
        <v>137</v>
      </c>
      <c r="B336" t="s">
        <v>819</v>
      </c>
      <c r="C336" t="s">
        <v>283</v>
      </c>
      <c r="D336" s="22" t="s">
        <v>286</v>
      </c>
      <c r="E336" s="21">
        <v>2018</v>
      </c>
      <c r="F336" s="7">
        <v>79.624537191726205</v>
      </c>
      <c r="G336" s="7">
        <v>3.82</v>
      </c>
      <c r="H336" s="7">
        <v>1.008</v>
      </c>
      <c r="I336" s="7">
        <v>0.63800000000000001</v>
      </c>
      <c r="J336" s="7">
        <v>0.36</v>
      </c>
      <c r="K336" s="7">
        <v>1.0229999999999999</v>
      </c>
      <c r="L336" s="7">
        <v>0</v>
      </c>
      <c r="M336" s="7">
        <v>0.78300000000000003</v>
      </c>
      <c r="N336" s="7">
        <v>0</v>
      </c>
      <c r="O336" s="7">
        <v>0</v>
      </c>
      <c r="P336" s="7">
        <v>1.82</v>
      </c>
      <c r="Q336" s="7">
        <v>0.24099999999999999</v>
      </c>
      <c r="R336" s="7">
        <v>0</v>
      </c>
      <c r="S336" s="7">
        <v>3.0150000000000001</v>
      </c>
      <c r="T336" s="7">
        <v>1.5249999999999999</v>
      </c>
      <c r="U336" s="7">
        <v>1.8220000000000001</v>
      </c>
      <c r="V336" s="7">
        <v>0.13300000000000001</v>
      </c>
      <c r="W336" s="7">
        <v>1.069</v>
      </c>
      <c r="X336" s="7">
        <v>1.202</v>
      </c>
      <c r="Y336" s="7">
        <v>7.8E-2</v>
      </c>
      <c r="Z336" s="7">
        <v>0</v>
      </c>
      <c r="AA336" s="7">
        <v>8.4580000000000002</v>
      </c>
      <c r="AB336" s="7">
        <v>0.29199999999999998</v>
      </c>
      <c r="AC336" s="7">
        <v>0.192</v>
      </c>
      <c r="AD336" s="7">
        <v>8.3000000000000004E-2</v>
      </c>
      <c r="AE336" s="7">
        <v>2.577</v>
      </c>
      <c r="AF336" s="7">
        <v>5.9989999999999997</v>
      </c>
      <c r="AG336" s="7">
        <v>0</v>
      </c>
      <c r="AH336" s="7">
        <v>6.1219999999999999</v>
      </c>
      <c r="AI336" s="7">
        <v>0</v>
      </c>
      <c r="AJ336" s="7">
        <v>1.835</v>
      </c>
      <c r="AK336" s="7">
        <v>1.04</v>
      </c>
      <c r="AL336" s="7">
        <v>18.536999999999999</v>
      </c>
      <c r="AM336" s="7">
        <v>25.558</v>
      </c>
      <c r="AN336" s="7">
        <v>1.379</v>
      </c>
      <c r="AO336" s="7">
        <v>9.0850000000000009</v>
      </c>
      <c r="AP336" s="7">
        <v>2.6030000000000002</v>
      </c>
      <c r="AQ336" s="7">
        <v>6.8490000000000002</v>
      </c>
    </row>
    <row r="337" spans="1:43" x14ac:dyDescent="0.25">
      <c r="A337" t="s">
        <v>138</v>
      </c>
      <c r="B337" t="s">
        <v>819</v>
      </c>
      <c r="C337" t="s">
        <v>283</v>
      </c>
      <c r="D337" s="22" t="s">
        <v>286</v>
      </c>
      <c r="E337" s="21">
        <v>2018</v>
      </c>
      <c r="F337" s="7">
        <v>121.494856339495</v>
      </c>
      <c r="G337" s="7">
        <v>5.3860000000000001</v>
      </c>
      <c r="H337" s="7">
        <v>1.141</v>
      </c>
      <c r="I337" s="7">
        <v>1.002</v>
      </c>
      <c r="J337" s="7">
        <v>0.51300000000000001</v>
      </c>
      <c r="K337" s="7">
        <v>1.169</v>
      </c>
      <c r="L337" s="7">
        <v>0</v>
      </c>
      <c r="M337" s="7">
        <v>1.272</v>
      </c>
      <c r="N337" s="7">
        <v>0</v>
      </c>
      <c r="O337" s="7">
        <v>0</v>
      </c>
      <c r="P337" s="7">
        <v>2.754</v>
      </c>
      <c r="Q337" s="7">
        <v>0.67100000000000004</v>
      </c>
      <c r="R337" s="7">
        <v>0</v>
      </c>
      <c r="S337" s="7">
        <v>5.0609999999999999</v>
      </c>
      <c r="T337" s="7">
        <v>2.798</v>
      </c>
      <c r="U337" s="7">
        <v>2.9769999999999999</v>
      </c>
      <c r="V337" s="7">
        <v>0.215</v>
      </c>
      <c r="W337" s="7">
        <v>1.579</v>
      </c>
      <c r="X337" s="7">
        <v>1.9590000000000001</v>
      </c>
      <c r="Y337" s="7">
        <v>7.9000000000000001E-2</v>
      </c>
      <c r="Z337" s="7">
        <v>0</v>
      </c>
      <c r="AA337" s="7">
        <v>5.3460000000000001</v>
      </c>
      <c r="AB337" s="7">
        <v>0.33300000000000002</v>
      </c>
      <c r="AC337" s="7">
        <v>0.36799999999999999</v>
      </c>
      <c r="AD337" s="7">
        <v>0.115</v>
      </c>
      <c r="AE337" s="7">
        <v>5.5339999999999998</v>
      </c>
      <c r="AF337" s="7">
        <v>9.73</v>
      </c>
      <c r="AG337" s="7">
        <v>0</v>
      </c>
      <c r="AH337" s="7">
        <v>9.3490000000000002</v>
      </c>
      <c r="AI337" s="7">
        <v>0</v>
      </c>
      <c r="AJ337" s="7">
        <v>4.2190000000000003</v>
      </c>
      <c r="AK337" s="7">
        <v>1.3360000000000001</v>
      </c>
      <c r="AL337" s="7">
        <v>28.576000000000001</v>
      </c>
      <c r="AM337" s="7">
        <v>34.994</v>
      </c>
      <c r="AN337" s="7">
        <v>1.2250000000000001</v>
      </c>
      <c r="AO337" s="7">
        <v>15.339</v>
      </c>
      <c r="AP337" s="7">
        <v>4.0259999999999998</v>
      </c>
      <c r="AQ337" s="7">
        <v>9.2110000000000003</v>
      </c>
    </row>
    <row r="338" spans="1:43" x14ac:dyDescent="0.25">
      <c r="A338" t="s">
        <v>139</v>
      </c>
      <c r="B338" s="12" t="s">
        <v>828</v>
      </c>
      <c r="C338" t="s">
        <v>286</v>
      </c>
      <c r="D338" s="22" t="s">
        <v>286</v>
      </c>
      <c r="E338" s="21">
        <v>2018</v>
      </c>
      <c r="F338" s="7">
        <v>198.38084870290101</v>
      </c>
      <c r="G338" s="7">
        <v>9.4789999999999992</v>
      </c>
      <c r="H338" s="7">
        <v>2.2549999999999999</v>
      </c>
      <c r="I338" s="7">
        <v>1.7030000000000001</v>
      </c>
      <c r="J338" s="7">
        <v>1.24</v>
      </c>
      <c r="K338" s="7">
        <v>2.3090000000000002</v>
      </c>
      <c r="L338" s="7">
        <v>0</v>
      </c>
      <c r="M338" s="7">
        <v>2.198</v>
      </c>
      <c r="N338" s="7">
        <v>0</v>
      </c>
      <c r="O338" s="7">
        <v>0</v>
      </c>
      <c r="P338" s="7">
        <v>5.1070000000000002</v>
      </c>
      <c r="Q338" s="7">
        <v>0.88100000000000001</v>
      </c>
      <c r="R338" s="7">
        <v>3.9E-2</v>
      </c>
      <c r="S338" s="7">
        <v>8.9949999999999992</v>
      </c>
      <c r="T338" s="7">
        <v>4.9029999999999996</v>
      </c>
      <c r="U338" s="7">
        <v>5.3170000000000002</v>
      </c>
      <c r="V338" s="7">
        <v>0.33300000000000002</v>
      </c>
      <c r="W338" s="7">
        <v>2.798</v>
      </c>
      <c r="X338" s="7">
        <v>3.4180000000000001</v>
      </c>
      <c r="Y338" s="7">
        <v>0.188</v>
      </c>
      <c r="Z338" s="7">
        <v>0</v>
      </c>
      <c r="AA338" s="7">
        <v>8.2089999999999996</v>
      </c>
      <c r="AB338" s="7">
        <v>0.48399999999999999</v>
      </c>
      <c r="AC338" s="7">
        <v>0.64800000000000002</v>
      </c>
      <c r="AD338" s="7">
        <v>0.30599999999999999</v>
      </c>
      <c r="AE338" s="7">
        <v>12.263</v>
      </c>
      <c r="AF338" s="7">
        <v>19.234999999999999</v>
      </c>
      <c r="AG338" s="7">
        <v>0</v>
      </c>
      <c r="AH338" s="7">
        <v>13.52</v>
      </c>
      <c r="AI338" s="7">
        <v>0</v>
      </c>
      <c r="AJ338" s="7">
        <v>2.9529999999999998</v>
      </c>
      <c r="AK338" s="7">
        <v>1.704</v>
      </c>
      <c r="AL338" s="7">
        <v>51.162999999999997</v>
      </c>
      <c r="AM338" s="7">
        <v>57.618000000000002</v>
      </c>
      <c r="AN338" s="7">
        <v>1.1259999999999999</v>
      </c>
      <c r="AO338" s="7">
        <v>26.872</v>
      </c>
      <c r="AP338" s="7">
        <v>7.3049999999999997</v>
      </c>
      <c r="AQ338" s="7">
        <v>16.986000000000001</v>
      </c>
    </row>
    <row r="339" spans="1:43" x14ac:dyDescent="0.25">
      <c r="A339" t="s">
        <v>140</v>
      </c>
      <c r="B339" t="s">
        <v>828</v>
      </c>
      <c r="C339" t="s">
        <v>286</v>
      </c>
      <c r="D339" s="22" t="s">
        <v>286</v>
      </c>
      <c r="E339" s="21">
        <v>2018</v>
      </c>
      <c r="F339" s="7">
        <v>183.59020133291401</v>
      </c>
      <c r="G339" s="7">
        <v>9.3819999999999997</v>
      </c>
      <c r="H339" s="7">
        <v>1.728</v>
      </c>
      <c r="I339" s="7">
        <v>1.528</v>
      </c>
      <c r="J339" s="7">
        <v>0.93799999999999994</v>
      </c>
      <c r="K339" s="7">
        <v>2.0760000000000001</v>
      </c>
      <c r="L339" s="7">
        <v>0</v>
      </c>
      <c r="M339" s="7">
        <v>2.105</v>
      </c>
      <c r="N339" s="7">
        <v>0.32100000000000001</v>
      </c>
      <c r="O339" s="7">
        <v>0</v>
      </c>
      <c r="P339" s="7">
        <v>4.4039999999999999</v>
      </c>
      <c r="Q339" s="7">
        <v>0.83299999999999996</v>
      </c>
      <c r="R339" s="7">
        <v>4.2000000000000003E-2</v>
      </c>
      <c r="S339" s="7">
        <v>8.6649999999999991</v>
      </c>
      <c r="T339" s="7">
        <v>4.4269999999999996</v>
      </c>
      <c r="U339" s="7">
        <v>4.4909999999999997</v>
      </c>
      <c r="V339" s="7">
        <v>0.28999999999999998</v>
      </c>
      <c r="W339" s="7">
        <v>2.8140000000000001</v>
      </c>
      <c r="X339" s="7">
        <v>3.0089999999999999</v>
      </c>
      <c r="Y339" s="7">
        <v>0.19800000000000001</v>
      </c>
      <c r="Z339" s="7">
        <v>0</v>
      </c>
      <c r="AA339" s="7">
        <v>4.7469999999999999</v>
      </c>
      <c r="AB339" s="7">
        <v>0.32900000000000001</v>
      </c>
      <c r="AC339" s="7">
        <v>0.61499999999999999</v>
      </c>
      <c r="AD339" s="7">
        <v>0</v>
      </c>
      <c r="AE339" s="7">
        <v>13.904999999999999</v>
      </c>
      <c r="AF339" s="7">
        <v>19.901</v>
      </c>
      <c r="AG339" s="7">
        <v>0</v>
      </c>
      <c r="AH339" s="7">
        <v>12.958</v>
      </c>
      <c r="AI339" s="7">
        <v>0</v>
      </c>
      <c r="AJ339" s="7">
        <v>2.7949999999999999</v>
      </c>
      <c r="AK339" s="7">
        <v>1.9259999999999999</v>
      </c>
      <c r="AL339" s="7">
        <v>47.250999999999998</v>
      </c>
      <c r="AM339" s="7">
        <v>55.25</v>
      </c>
      <c r="AN339" s="7">
        <v>1.169</v>
      </c>
      <c r="AO339" s="7">
        <v>24.768999999999998</v>
      </c>
      <c r="AP339" s="7">
        <v>6.83</v>
      </c>
      <c r="AQ339" s="7">
        <v>15.651999999999999</v>
      </c>
    </row>
    <row r="340" spans="1:43" x14ac:dyDescent="0.25">
      <c r="A340" t="s">
        <v>141</v>
      </c>
      <c r="B340" t="s">
        <v>828</v>
      </c>
      <c r="C340" t="s">
        <v>286</v>
      </c>
      <c r="D340" s="22" t="s">
        <v>286</v>
      </c>
      <c r="E340" s="21">
        <v>2018</v>
      </c>
      <c r="F340" s="7">
        <v>153.93534295522699</v>
      </c>
      <c r="G340" s="7">
        <v>7.5919999999999996</v>
      </c>
      <c r="H340" s="7">
        <v>1.2190000000000001</v>
      </c>
      <c r="I340" s="7">
        <v>1.2669999999999999</v>
      </c>
      <c r="J340" s="7">
        <v>0.98599999999999999</v>
      </c>
      <c r="K340" s="7">
        <v>1.6970000000000001</v>
      </c>
      <c r="L340" s="7">
        <v>0</v>
      </c>
      <c r="M340" s="7">
        <v>1.92</v>
      </c>
      <c r="N340" s="7">
        <v>0</v>
      </c>
      <c r="O340" s="7">
        <v>0</v>
      </c>
      <c r="P340" s="7">
        <v>3.6190000000000002</v>
      </c>
      <c r="Q340" s="7">
        <v>0.71099999999999997</v>
      </c>
      <c r="R340" s="7">
        <v>5.1999999999999998E-2</v>
      </c>
      <c r="S340" s="7">
        <v>7.2160000000000002</v>
      </c>
      <c r="T340" s="7">
        <v>4.0259999999999998</v>
      </c>
      <c r="U340" s="7">
        <v>3.907</v>
      </c>
      <c r="V340" s="7">
        <v>0.27100000000000002</v>
      </c>
      <c r="W340" s="7">
        <v>2.2200000000000002</v>
      </c>
      <c r="X340" s="7">
        <v>2.6320000000000001</v>
      </c>
      <c r="Y340" s="7">
        <v>0.14799999999999999</v>
      </c>
      <c r="Z340" s="7">
        <v>0</v>
      </c>
      <c r="AA340" s="7">
        <v>5.1219999999999999</v>
      </c>
      <c r="AB340" s="7">
        <v>0</v>
      </c>
      <c r="AC340" s="7">
        <v>0.85</v>
      </c>
      <c r="AD340" s="7">
        <v>0.21199999999999999</v>
      </c>
      <c r="AE340" s="7">
        <v>10.491</v>
      </c>
      <c r="AF340" s="7">
        <v>14.826000000000001</v>
      </c>
      <c r="AG340" s="7">
        <v>0</v>
      </c>
      <c r="AH340" s="7">
        <v>11.811999999999999</v>
      </c>
      <c r="AI340" s="7">
        <v>0</v>
      </c>
      <c r="AJ340" s="7">
        <v>2.419</v>
      </c>
      <c r="AK340" s="7">
        <v>0.98299999999999998</v>
      </c>
      <c r="AL340" s="7">
        <v>39.482999999999997</v>
      </c>
      <c r="AM340" s="7">
        <v>45.731999999999999</v>
      </c>
      <c r="AN340" s="7">
        <v>1.1579999999999999</v>
      </c>
      <c r="AO340" s="7">
        <v>21.183</v>
      </c>
      <c r="AP340" s="7">
        <v>5.5389999999999997</v>
      </c>
      <c r="AQ340" s="7">
        <v>12.760999999999999</v>
      </c>
    </row>
    <row r="341" spans="1:43" x14ac:dyDescent="0.25">
      <c r="A341" t="s">
        <v>142</v>
      </c>
      <c r="B341" t="s">
        <v>828</v>
      </c>
      <c r="C341" t="s">
        <v>286</v>
      </c>
      <c r="D341" s="22" t="s">
        <v>286</v>
      </c>
      <c r="E341" s="21">
        <v>2018</v>
      </c>
      <c r="F341" s="7">
        <v>133.25279046838801</v>
      </c>
      <c r="G341" s="7">
        <v>6.577</v>
      </c>
      <c r="H341" s="7">
        <v>1.2150000000000001</v>
      </c>
      <c r="I341" s="7">
        <v>1.143</v>
      </c>
      <c r="J341" s="7">
        <v>0.73</v>
      </c>
      <c r="K341" s="7">
        <v>1.65</v>
      </c>
      <c r="L341" s="7">
        <v>0</v>
      </c>
      <c r="M341" s="7">
        <v>1.7210000000000001</v>
      </c>
      <c r="N341" s="7">
        <v>0</v>
      </c>
      <c r="O341" s="7">
        <v>0</v>
      </c>
      <c r="P341" s="7">
        <v>3.3239999999999998</v>
      </c>
      <c r="Q341" s="7">
        <v>0.61599999999999999</v>
      </c>
      <c r="R341" s="7">
        <v>3.7999999999999999E-2</v>
      </c>
      <c r="S341" s="7">
        <v>6.1120000000000001</v>
      </c>
      <c r="T341" s="7">
        <v>3.33</v>
      </c>
      <c r="U341" s="7">
        <v>3.4870000000000001</v>
      </c>
      <c r="V341" s="7">
        <v>0.218</v>
      </c>
      <c r="W341" s="7">
        <v>1.998</v>
      </c>
      <c r="X341" s="7">
        <v>2.2799999999999998</v>
      </c>
      <c r="Y341" s="7">
        <v>0.16</v>
      </c>
      <c r="Z341" s="7">
        <v>0</v>
      </c>
      <c r="AA341" s="7">
        <v>3.6789999999999998</v>
      </c>
      <c r="AB341" s="7">
        <v>0.27800000000000002</v>
      </c>
      <c r="AC341" s="7">
        <v>0.441</v>
      </c>
      <c r="AD341" s="7">
        <v>0.154</v>
      </c>
      <c r="AE341" s="7">
        <v>7.681</v>
      </c>
      <c r="AF341" s="7">
        <v>12.819000000000001</v>
      </c>
      <c r="AG341" s="7">
        <v>0</v>
      </c>
      <c r="AH341" s="7">
        <v>10.425000000000001</v>
      </c>
      <c r="AI341" s="7">
        <v>0</v>
      </c>
      <c r="AJ341" s="7">
        <v>1.9450000000000001</v>
      </c>
      <c r="AK341" s="7">
        <v>1.2010000000000001</v>
      </c>
      <c r="AL341" s="7">
        <v>34.598999999999997</v>
      </c>
      <c r="AM341" s="7">
        <v>37.421999999999997</v>
      </c>
      <c r="AN341" s="7">
        <v>1.0820000000000001</v>
      </c>
      <c r="AO341" s="7">
        <v>18.239000000000001</v>
      </c>
      <c r="AP341" s="7">
        <v>5.0449999999999999</v>
      </c>
      <c r="AQ341" s="7">
        <v>11.315</v>
      </c>
    </row>
    <row r="342" spans="1:43" x14ac:dyDescent="0.25">
      <c r="A342" t="s">
        <v>143</v>
      </c>
      <c r="B342" t="s">
        <v>841</v>
      </c>
      <c r="C342" t="s">
        <v>283</v>
      </c>
      <c r="D342" s="22" t="s">
        <v>286</v>
      </c>
      <c r="E342" s="21">
        <v>2018</v>
      </c>
      <c r="F342" s="7">
        <v>165.41121584623301</v>
      </c>
      <c r="G342" s="7">
        <v>8.0399999999999991</v>
      </c>
      <c r="H342" s="7">
        <v>1.56</v>
      </c>
      <c r="I342" s="7">
        <v>1.0920000000000001</v>
      </c>
      <c r="J342" s="7">
        <v>0.97499999999999998</v>
      </c>
      <c r="K342" s="7">
        <v>1.85</v>
      </c>
      <c r="L342" s="7">
        <v>0</v>
      </c>
      <c r="M342" s="7">
        <v>2.1389999999999998</v>
      </c>
      <c r="N342" s="7">
        <v>0</v>
      </c>
      <c r="O342" s="7">
        <v>0</v>
      </c>
      <c r="P342" s="7">
        <v>4.6989999999999998</v>
      </c>
      <c r="Q342" s="7">
        <v>0.77500000000000002</v>
      </c>
      <c r="R342" s="7">
        <v>0</v>
      </c>
      <c r="S342" s="7">
        <v>7.7190000000000003</v>
      </c>
      <c r="T342" s="7">
        <v>4.2009999999999996</v>
      </c>
      <c r="U342" s="7">
        <v>4.1470000000000002</v>
      </c>
      <c r="V342" s="7">
        <v>0.307</v>
      </c>
      <c r="W342" s="7">
        <v>2.4300000000000002</v>
      </c>
      <c r="X342" s="7">
        <v>2.8969999999999998</v>
      </c>
      <c r="Y342" s="7">
        <v>0.13900000000000001</v>
      </c>
      <c r="Z342" s="7">
        <v>0</v>
      </c>
      <c r="AA342" s="7">
        <v>7.8680000000000003</v>
      </c>
      <c r="AB342" s="7">
        <v>0</v>
      </c>
      <c r="AC342" s="7">
        <v>0.94099999999999995</v>
      </c>
      <c r="AD342" s="7">
        <v>0.182</v>
      </c>
      <c r="AE342" s="7">
        <v>8.94</v>
      </c>
      <c r="AF342" s="7">
        <v>15.146000000000001</v>
      </c>
      <c r="AG342" s="7">
        <v>0</v>
      </c>
      <c r="AH342" s="7">
        <v>12.417999999999999</v>
      </c>
      <c r="AI342" s="7">
        <v>0</v>
      </c>
      <c r="AJ342" s="7">
        <v>2.74</v>
      </c>
      <c r="AK342" s="7">
        <v>2.2080000000000002</v>
      </c>
      <c r="AL342" s="7">
        <v>42.97</v>
      </c>
      <c r="AM342" s="7">
        <v>48.234999999999999</v>
      </c>
      <c r="AN342" s="7">
        <v>1.123</v>
      </c>
      <c r="AO342" s="7">
        <v>22.614999999999998</v>
      </c>
      <c r="AP342" s="7">
        <v>6.8380000000000001</v>
      </c>
      <c r="AQ342" s="7">
        <v>13.516999999999999</v>
      </c>
    </row>
    <row r="343" spans="1:43" x14ac:dyDescent="0.25">
      <c r="A343" t="s">
        <v>144</v>
      </c>
      <c r="B343" t="s">
        <v>841</v>
      </c>
      <c r="C343" t="s">
        <v>283</v>
      </c>
      <c r="D343" s="22" t="s">
        <v>286</v>
      </c>
      <c r="E343" s="21">
        <v>2018</v>
      </c>
      <c r="F343" s="7">
        <v>153.86504465368299</v>
      </c>
      <c r="G343" s="7">
        <v>8.0489999999999995</v>
      </c>
      <c r="H343" s="7">
        <v>2.1930000000000001</v>
      </c>
      <c r="I343" s="7">
        <v>1.256</v>
      </c>
      <c r="J343" s="7">
        <v>0.95599999999999996</v>
      </c>
      <c r="K343" s="7">
        <v>2.117</v>
      </c>
      <c r="L343" s="7">
        <v>0.23400000000000001</v>
      </c>
      <c r="M343" s="7">
        <v>1.903</v>
      </c>
      <c r="N343" s="7">
        <v>0</v>
      </c>
      <c r="O343" s="7">
        <v>0</v>
      </c>
      <c r="P343" s="7">
        <v>5.0709999999999997</v>
      </c>
      <c r="Q343" s="7">
        <v>0.71599999999999997</v>
      </c>
      <c r="R343" s="7">
        <v>0</v>
      </c>
      <c r="S343" s="7">
        <v>6.77</v>
      </c>
      <c r="T343" s="7">
        <v>4.0880000000000001</v>
      </c>
      <c r="U343" s="7">
        <v>4.391</v>
      </c>
      <c r="V343" s="7">
        <v>0.33200000000000002</v>
      </c>
      <c r="W343" s="7">
        <v>2.3559999999999999</v>
      </c>
      <c r="X343" s="7">
        <v>2.8239999999999998</v>
      </c>
      <c r="Y343" s="7">
        <v>0.14599999999999999</v>
      </c>
      <c r="Z343" s="7">
        <v>0</v>
      </c>
      <c r="AA343" s="7">
        <v>5.4180000000000001</v>
      </c>
      <c r="AB343" s="7">
        <v>0</v>
      </c>
      <c r="AC343" s="7">
        <v>0.84299999999999997</v>
      </c>
      <c r="AD343" s="7">
        <v>0</v>
      </c>
      <c r="AE343" s="7">
        <v>8.51</v>
      </c>
      <c r="AF343" s="7">
        <v>14.510999999999999</v>
      </c>
      <c r="AG343" s="7">
        <v>0</v>
      </c>
      <c r="AH343" s="7">
        <v>11.619</v>
      </c>
      <c r="AI343" s="7">
        <v>0</v>
      </c>
      <c r="AJ343" s="7">
        <v>2.3679999999999999</v>
      </c>
      <c r="AK343" s="7">
        <v>1.536</v>
      </c>
      <c r="AL343" s="7">
        <v>43.402000000000001</v>
      </c>
      <c r="AM343" s="7">
        <v>43.268999999999998</v>
      </c>
      <c r="AN343" s="7">
        <v>0.997</v>
      </c>
      <c r="AO343" s="7">
        <v>21.623000000000001</v>
      </c>
      <c r="AP343" s="7">
        <v>6.9740000000000002</v>
      </c>
      <c r="AQ343" s="7">
        <v>14.805</v>
      </c>
    </row>
    <row r="344" spans="1:43" x14ac:dyDescent="0.25">
      <c r="A344" t="s">
        <v>145</v>
      </c>
      <c r="B344" t="s">
        <v>841</v>
      </c>
      <c r="C344" t="s">
        <v>283</v>
      </c>
      <c r="D344" s="22" t="s">
        <v>286</v>
      </c>
      <c r="E344" s="21">
        <v>2018</v>
      </c>
      <c r="F344" s="7">
        <v>225.355063882971</v>
      </c>
      <c r="G344" s="7">
        <v>12.034000000000001</v>
      </c>
      <c r="H344" s="7">
        <v>2.5470000000000002</v>
      </c>
      <c r="I344" s="7">
        <v>1.8160000000000001</v>
      </c>
      <c r="J344" s="7">
        <v>1.484</v>
      </c>
      <c r="K344" s="7">
        <v>2.8439999999999999</v>
      </c>
      <c r="L344" s="7">
        <v>0</v>
      </c>
      <c r="M344" s="7">
        <v>2.8860000000000001</v>
      </c>
      <c r="N344" s="7">
        <v>0</v>
      </c>
      <c r="O344" s="7">
        <v>0</v>
      </c>
      <c r="P344" s="7">
        <v>6.0730000000000004</v>
      </c>
      <c r="Q344" s="7">
        <v>1.135</v>
      </c>
      <c r="R344" s="7">
        <v>8.3000000000000004E-2</v>
      </c>
      <c r="S344" s="7">
        <v>11.025</v>
      </c>
      <c r="T344" s="7">
        <v>6.81</v>
      </c>
      <c r="U344" s="7">
        <v>6.7619999999999996</v>
      </c>
      <c r="V344" s="7">
        <v>0.51</v>
      </c>
      <c r="W344" s="7">
        <v>3.464</v>
      </c>
      <c r="X344" s="7">
        <v>4.415</v>
      </c>
      <c r="Y344" s="7">
        <v>0.16600000000000001</v>
      </c>
      <c r="Z344" s="7">
        <v>0</v>
      </c>
      <c r="AA344" s="7">
        <v>8.9649999999999999</v>
      </c>
      <c r="AB344" s="7">
        <v>0</v>
      </c>
      <c r="AC344" s="7">
        <v>1.3120000000000001</v>
      </c>
      <c r="AD344" s="7">
        <v>0.23799999999999999</v>
      </c>
      <c r="AE344" s="7">
        <v>10.829000000000001</v>
      </c>
      <c r="AF344" s="7">
        <v>21.824000000000002</v>
      </c>
      <c r="AG344" s="7">
        <v>0</v>
      </c>
      <c r="AH344" s="7">
        <v>18.579000000000001</v>
      </c>
      <c r="AI344" s="7">
        <v>0</v>
      </c>
      <c r="AJ344" s="7">
        <v>3.903</v>
      </c>
      <c r="AK344" s="7">
        <v>2.65</v>
      </c>
      <c r="AL344" s="7">
        <v>64.054000000000002</v>
      </c>
      <c r="AM344" s="7">
        <v>65.650000000000006</v>
      </c>
      <c r="AN344" s="7">
        <v>1.0249999999999999</v>
      </c>
      <c r="AO344" s="7">
        <v>34.369999999999997</v>
      </c>
      <c r="AP344" s="7">
        <v>8.9589999999999996</v>
      </c>
      <c r="AQ344" s="7">
        <v>20.725000000000001</v>
      </c>
    </row>
    <row r="345" spans="1:43" x14ac:dyDescent="0.25">
      <c r="A345" t="s">
        <v>146</v>
      </c>
      <c r="B345" t="s">
        <v>841</v>
      </c>
      <c r="C345" t="s">
        <v>283</v>
      </c>
      <c r="D345" s="22" t="s">
        <v>286</v>
      </c>
      <c r="E345" s="21">
        <v>2018</v>
      </c>
      <c r="F345" s="7">
        <v>248.09631896168699</v>
      </c>
      <c r="G345" s="7">
        <v>11.782999999999999</v>
      </c>
      <c r="H345" s="7">
        <v>2.7629999999999999</v>
      </c>
      <c r="I345" s="7">
        <v>2.1539999999999999</v>
      </c>
      <c r="J345" s="7">
        <v>1.7350000000000001</v>
      </c>
      <c r="K345" s="7">
        <v>3.22</v>
      </c>
      <c r="L345" s="7">
        <v>0.23899999999999999</v>
      </c>
      <c r="M345" s="7">
        <v>3.05</v>
      </c>
      <c r="N345" s="7">
        <v>0</v>
      </c>
      <c r="O345" s="7">
        <v>0</v>
      </c>
      <c r="P345" s="7">
        <v>7.327</v>
      </c>
      <c r="Q345" s="7">
        <v>1.242</v>
      </c>
      <c r="R345" s="7">
        <v>0</v>
      </c>
      <c r="S345" s="7">
        <v>10.597</v>
      </c>
      <c r="T345" s="7">
        <v>7.1079999999999997</v>
      </c>
      <c r="U345" s="7">
        <v>7.1639999999999997</v>
      </c>
      <c r="V345" s="7">
        <v>0.53</v>
      </c>
      <c r="W345" s="7">
        <v>3.573</v>
      </c>
      <c r="X345" s="7">
        <v>4.6180000000000003</v>
      </c>
      <c r="Y345" s="7">
        <v>0.14699999999999999</v>
      </c>
      <c r="Z345" s="7">
        <v>0</v>
      </c>
      <c r="AA345" s="7">
        <v>13.117000000000001</v>
      </c>
      <c r="AB345" s="7">
        <v>0</v>
      </c>
      <c r="AC345" s="7">
        <v>1.391</v>
      </c>
      <c r="AD345" s="7">
        <v>0.23499999999999999</v>
      </c>
      <c r="AE345" s="7">
        <v>10.993</v>
      </c>
      <c r="AF345" s="7">
        <v>24.154</v>
      </c>
      <c r="AG345" s="7">
        <v>0</v>
      </c>
      <c r="AH345" s="7">
        <v>22.666</v>
      </c>
      <c r="AI345" s="7">
        <v>0</v>
      </c>
      <c r="AJ345" s="7">
        <v>3.544</v>
      </c>
      <c r="AK345" s="7">
        <v>3.9359999999999999</v>
      </c>
      <c r="AL345" s="7">
        <v>67.25</v>
      </c>
      <c r="AM345" s="7">
        <v>76.099999999999994</v>
      </c>
      <c r="AN345" s="7">
        <v>1.1319999999999999</v>
      </c>
      <c r="AO345" s="7">
        <v>34.978999999999999</v>
      </c>
      <c r="AP345" s="7">
        <v>10.377000000000001</v>
      </c>
      <c r="AQ345" s="7">
        <v>21.893999999999998</v>
      </c>
    </row>
    <row r="346" spans="1:43" x14ac:dyDescent="0.25">
      <c r="A346" t="s">
        <v>147</v>
      </c>
      <c r="B346" t="s">
        <v>818</v>
      </c>
      <c r="C346" t="s">
        <v>283</v>
      </c>
      <c r="D346" s="22" t="s">
        <v>286</v>
      </c>
      <c r="E346" s="21">
        <v>2018</v>
      </c>
      <c r="F346" s="7">
        <v>196.51972472806901</v>
      </c>
      <c r="G346" s="7">
        <v>8.3949999999999996</v>
      </c>
      <c r="H346" s="7">
        <v>1.696</v>
      </c>
      <c r="I346" s="7">
        <v>1.6739999999999999</v>
      </c>
      <c r="J346" s="7">
        <v>1.2649999999999999</v>
      </c>
      <c r="K346" s="7">
        <v>2.637</v>
      </c>
      <c r="L346" s="7">
        <v>0</v>
      </c>
      <c r="M346" s="7">
        <v>1.9550000000000001</v>
      </c>
      <c r="N346" s="7">
        <v>0</v>
      </c>
      <c r="O346" s="7">
        <v>0</v>
      </c>
      <c r="P346" s="7">
        <v>4.3689999999999998</v>
      </c>
      <c r="Q346" s="7">
        <v>0.84599999999999997</v>
      </c>
      <c r="R346" s="7">
        <v>0.05</v>
      </c>
      <c r="S346" s="7">
        <v>8.0289999999999999</v>
      </c>
      <c r="T346" s="7">
        <v>4.6210000000000004</v>
      </c>
      <c r="U346" s="7">
        <v>5.1689999999999996</v>
      </c>
      <c r="V346" s="7">
        <v>0.307</v>
      </c>
      <c r="W346" s="7">
        <v>2.7429999999999999</v>
      </c>
      <c r="X346" s="7">
        <v>3.403</v>
      </c>
      <c r="Y346" s="7">
        <v>0.159</v>
      </c>
      <c r="Z346" s="7">
        <v>0</v>
      </c>
      <c r="AA346" s="7">
        <v>14.598000000000001</v>
      </c>
      <c r="AB346" s="7">
        <v>0.60099999999999998</v>
      </c>
      <c r="AC346" s="7">
        <v>0.65200000000000002</v>
      </c>
      <c r="AD346" s="7">
        <v>0</v>
      </c>
      <c r="AE346" s="7">
        <v>9.1219999999999999</v>
      </c>
      <c r="AF346" s="7">
        <v>18.452999999999999</v>
      </c>
      <c r="AG346" s="7">
        <v>0</v>
      </c>
      <c r="AH346" s="7">
        <v>15.734999999999999</v>
      </c>
      <c r="AI346" s="7">
        <v>0</v>
      </c>
      <c r="AJ346" s="7">
        <v>3.4420000000000002</v>
      </c>
      <c r="AK346" s="7">
        <v>1.8759999999999999</v>
      </c>
      <c r="AL346" s="7">
        <v>47.317999999999998</v>
      </c>
      <c r="AM346" s="7">
        <v>62.603000000000002</v>
      </c>
      <c r="AN346" s="7">
        <v>1.323</v>
      </c>
      <c r="AO346" s="7">
        <v>25.327000000000002</v>
      </c>
      <c r="AP346" s="7">
        <v>6.3239999999999998</v>
      </c>
      <c r="AQ346" s="7">
        <v>15.667</v>
      </c>
    </row>
    <row r="347" spans="1:43" x14ac:dyDescent="0.25">
      <c r="A347" t="s">
        <v>148</v>
      </c>
      <c r="B347" t="s">
        <v>818</v>
      </c>
      <c r="C347" t="s">
        <v>283</v>
      </c>
      <c r="D347" s="22" t="s">
        <v>286</v>
      </c>
      <c r="E347" s="21">
        <v>2018</v>
      </c>
      <c r="F347" s="7">
        <v>201.42536943138299</v>
      </c>
      <c r="G347" s="7">
        <v>7.9980000000000002</v>
      </c>
      <c r="H347" s="7">
        <v>1.3540000000000001</v>
      </c>
      <c r="I347" s="7">
        <v>1.4590000000000001</v>
      </c>
      <c r="J347" s="7">
        <v>1.23</v>
      </c>
      <c r="K347" s="7">
        <v>1.9279999999999999</v>
      </c>
      <c r="L347" s="7">
        <v>0</v>
      </c>
      <c r="M347" s="7">
        <v>1.9990000000000001</v>
      </c>
      <c r="N347" s="7">
        <v>0</v>
      </c>
      <c r="O347" s="7">
        <v>0</v>
      </c>
      <c r="P347" s="7">
        <v>4.7439999999999998</v>
      </c>
      <c r="Q347" s="7">
        <v>0.97799999999999998</v>
      </c>
      <c r="R347" s="7">
        <v>4.1000000000000002E-2</v>
      </c>
      <c r="S347" s="7">
        <v>8.0299999999999994</v>
      </c>
      <c r="T347" s="7">
        <v>4.7670000000000003</v>
      </c>
      <c r="U347" s="7">
        <v>5.0510000000000002</v>
      </c>
      <c r="V347" s="7">
        <v>0.32500000000000001</v>
      </c>
      <c r="W347" s="7">
        <v>2.6549999999999998</v>
      </c>
      <c r="X347" s="7">
        <v>3.2090000000000001</v>
      </c>
      <c r="Y347" s="7">
        <v>0.186</v>
      </c>
      <c r="Z347" s="7">
        <v>0</v>
      </c>
      <c r="AA347" s="7">
        <v>15.492000000000001</v>
      </c>
      <c r="AB347" s="7">
        <v>0.66500000000000004</v>
      </c>
      <c r="AC347" s="7">
        <v>0.622</v>
      </c>
      <c r="AD347" s="7">
        <v>0.27</v>
      </c>
      <c r="AE347" s="7">
        <v>8.6820000000000004</v>
      </c>
      <c r="AF347" s="7">
        <v>16.66</v>
      </c>
      <c r="AG347" s="7">
        <v>0</v>
      </c>
      <c r="AH347" s="7">
        <v>20.033999999999999</v>
      </c>
      <c r="AI347" s="7">
        <v>0</v>
      </c>
      <c r="AJ347" s="7">
        <v>3.282</v>
      </c>
      <c r="AK347" s="7">
        <v>2.3380000000000001</v>
      </c>
      <c r="AL347" s="7">
        <v>45.954000000000001</v>
      </c>
      <c r="AM347" s="7">
        <v>65.706999999999994</v>
      </c>
      <c r="AN347" s="7">
        <v>1.43</v>
      </c>
      <c r="AO347" s="7">
        <v>25.242000000000001</v>
      </c>
      <c r="AP347" s="7">
        <v>6.7430000000000003</v>
      </c>
      <c r="AQ347" s="7">
        <v>13.968999999999999</v>
      </c>
    </row>
    <row r="348" spans="1:43" x14ac:dyDescent="0.25">
      <c r="A348" t="s">
        <v>149</v>
      </c>
      <c r="B348" t="s">
        <v>818</v>
      </c>
      <c r="C348" t="s">
        <v>283</v>
      </c>
      <c r="D348" s="22" t="s">
        <v>286</v>
      </c>
      <c r="E348" s="21">
        <v>2018</v>
      </c>
      <c r="F348" s="7">
        <v>160.90761263012899</v>
      </c>
      <c r="G348" s="7">
        <v>7.3940000000000001</v>
      </c>
      <c r="H348" s="7">
        <v>1.5960000000000001</v>
      </c>
      <c r="I348" s="7">
        <v>1.367</v>
      </c>
      <c r="J348" s="7">
        <v>1.016</v>
      </c>
      <c r="K348" s="7">
        <v>2.2719999999999998</v>
      </c>
      <c r="L348" s="7">
        <v>0.51400000000000001</v>
      </c>
      <c r="M348" s="7">
        <v>1.7629999999999999</v>
      </c>
      <c r="N348" s="7">
        <v>0</v>
      </c>
      <c r="O348" s="7">
        <v>0</v>
      </c>
      <c r="P348" s="7">
        <v>4.2850000000000001</v>
      </c>
      <c r="Q348" s="7">
        <v>0.76200000000000001</v>
      </c>
      <c r="R348" s="7">
        <v>4.8000000000000001E-2</v>
      </c>
      <c r="S348" s="7">
        <v>6.9489999999999998</v>
      </c>
      <c r="T348" s="7">
        <v>3.9790000000000001</v>
      </c>
      <c r="U348" s="7">
        <v>4.234</v>
      </c>
      <c r="V348" s="7">
        <v>0.29899999999999999</v>
      </c>
      <c r="W348" s="7">
        <v>2.3210000000000002</v>
      </c>
      <c r="X348" s="7">
        <v>2.7570000000000001</v>
      </c>
      <c r="Y348" s="7">
        <v>0.18099999999999999</v>
      </c>
      <c r="Z348" s="7">
        <v>0</v>
      </c>
      <c r="AA348" s="7">
        <v>11.089</v>
      </c>
      <c r="AB348" s="7">
        <v>0.70499999999999996</v>
      </c>
      <c r="AC348" s="7">
        <v>0.503</v>
      </c>
      <c r="AD348" s="7">
        <v>0.254</v>
      </c>
      <c r="AE348" s="7">
        <v>6.3920000000000003</v>
      </c>
      <c r="AF348" s="7">
        <v>13.162000000000001</v>
      </c>
      <c r="AG348" s="7">
        <v>0</v>
      </c>
      <c r="AH348" s="7">
        <v>12.153</v>
      </c>
      <c r="AI348" s="7">
        <v>0</v>
      </c>
      <c r="AJ348" s="7">
        <v>2.7</v>
      </c>
      <c r="AK348" s="7">
        <v>2.302</v>
      </c>
      <c r="AL348" s="7">
        <v>41.737000000000002</v>
      </c>
      <c r="AM348" s="7">
        <v>46.957999999999998</v>
      </c>
      <c r="AN348" s="7">
        <v>1.125</v>
      </c>
      <c r="AO348" s="7">
        <v>21.53</v>
      </c>
      <c r="AP348" s="7">
        <v>6.048</v>
      </c>
      <c r="AQ348" s="7">
        <v>14.159000000000001</v>
      </c>
    </row>
    <row r="349" spans="1:43" x14ac:dyDescent="0.25">
      <c r="A349" t="s">
        <v>150</v>
      </c>
      <c r="B349" t="s">
        <v>818</v>
      </c>
      <c r="C349" t="s">
        <v>283</v>
      </c>
      <c r="D349" s="22" t="s">
        <v>286</v>
      </c>
      <c r="E349" s="21">
        <v>2018</v>
      </c>
      <c r="F349" s="7">
        <v>345.84437464182503</v>
      </c>
      <c r="G349" s="7">
        <v>14.021000000000001</v>
      </c>
      <c r="H349" s="7">
        <v>2.4609999999999999</v>
      </c>
      <c r="I349" s="7">
        <v>2.9940000000000002</v>
      </c>
      <c r="J349" s="7">
        <v>2.6509999999999998</v>
      </c>
      <c r="K349" s="7">
        <v>4.6980000000000004</v>
      </c>
      <c r="L349" s="7">
        <v>0</v>
      </c>
      <c r="M349" s="7">
        <v>3.6230000000000002</v>
      </c>
      <c r="N349" s="7">
        <v>0</v>
      </c>
      <c r="O349" s="7">
        <v>0</v>
      </c>
      <c r="P349" s="7">
        <v>7.6130000000000004</v>
      </c>
      <c r="Q349" s="7">
        <v>1.744</v>
      </c>
      <c r="R349" s="7">
        <v>0.104</v>
      </c>
      <c r="S349" s="7">
        <v>14.752000000000001</v>
      </c>
      <c r="T349" s="7">
        <v>8.5180000000000007</v>
      </c>
      <c r="U349" s="7">
        <v>9.3019999999999996</v>
      </c>
      <c r="V349" s="7">
        <v>0.59599999999999997</v>
      </c>
      <c r="W349" s="7">
        <v>4.8129999999999997</v>
      </c>
      <c r="X349" s="7">
        <v>5.875</v>
      </c>
      <c r="Y349" s="7">
        <v>0.307</v>
      </c>
      <c r="Z349" s="7">
        <v>0</v>
      </c>
      <c r="AA349" s="7">
        <v>20.562999999999999</v>
      </c>
      <c r="AB349" s="7">
        <v>0.92100000000000004</v>
      </c>
      <c r="AC349" s="7">
        <v>1.238</v>
      </c>
      <c r="AD349" s="7">
        <v>0</v>
      </c>
      <c r="AE349" s="7">
        <v>18.483000000000001</v>
      </c>
      <c r="AF349" s="7">
        <v>32.963000000000001</v>
      </c>
      <c r="AG349" s="7">
        <v>0</v>
      </c>
      <c r="AH349" s="7">
        <v>29.207000000000001</v>
      </c>
      <c r="AI349" s="7">
        <v>0</v>
      </c>
      <c r="AJ349" s="7">
        <v>5.6</v>
      </c>
      <c r="AK349" s="7">
        <v>3.5680000000000001</v>
      </c>
      <c r="AL349" s="7">
        <v>84.072000000000003</v>
      </c>
      <c r="AM349" s="7">
        <v>108.97499999999999</v>
      </c>
      <c r="AN349" s="7">
        <v>1.296</v>
      </c>
      <c r="AO349" s="7">
        <v>46.011000000000003</v>
      </c>
      <c r="AP349" s="7">
        <v>11.236000000000001</v>
      </c>
      <c r="AQ349" s="7">
        <v>26.824999999999999</v>
      </c>
    </row>
    <row r="350" spans="1:43" x14ac:dyDescent="0.25">
      <c r="A350" t="s">
        <v>151</v>
      </c>
      <c r="B350" t="s">
        <v>829</v>
      </c>
      <c r="C350" t="s">
        <v>298</v>
      </c>
      <c r="D350" s="22" t="s">
        <v>286</v>
      </c>
      <c r="E350" s="21">
        <v>2018</v>
      </c>
      <c r="F350" s="7">
        <v>154.611835131204</v>
      </c>
      <c r="G350" s="7">
        <v>7.5940000000000003</v>
      </c>
      <c r="H350" s="7">
        <v>2.1680000000000001</v>
      </c>
      <c r="I350" s="7">
        <v>2.093</v>
      </c>
      <c r="J350" s="7">
        <v>0.74399999999999999</v>
      </c>
      <c r="K350" s="7">
        <v>1.966</v>
      </c>
      <c r="L350" s="7">
        <v>0</v>
      </c>
      <c r="M350" s="7">
        <v>2.0670000000000002</v>
      </c>
      <c r="N350" s="7">
        <v>0.13200000000000001</v>
      </c>
      <c r="O350" s="7">
        <v>0</v>
      </c>
      <c r="P350" s="7">
        <v>4.032</v>
      </c>
      <c r="Q350" s="7">
        <v>0.66100000000000003</v>
      </c>
      <c r="R350" s="7">
        <v>0</v>
      </c>
      <c r="S350" s="7">
        <v>6.7009999999999996</v>
      </c>
      <c r="T350" s="7">
        <v>3.8759999999999999</v>
      </c>
      <c r="U350" s="7">
        <v>4.6669999999999998</v>
      </c>
      <c r="V350" s="7">
        <v>0.26700000000000002</v>
      </c>
      <c r="W350" s="7">
        <v>2.4500000000000002</v>
      </c>
      <c r="X350" s="7">
        <v>2.7610000000000001</v>
      </c>
      <c r="Y350" s="7">
        <v>0.112</v>
      </c>
      <c r="Z350" s="7">
        <v>0</v>
      </c>
      <c r="AA350" s="7">
        <v>4.9930000000000003</v>
      </c>
      <c r="AB350" s="7">
        <v>0.441</v>
      </c>
      <c r="AC350" s="7">
        <v>0.47499999999999998</v>
      </c>
      <c r="AD350" s="7">
        <v>0.151</v>
      </c>
      <c r="AE350" s="7">
        <v>6.5250000000000004</v>
      </c>
      <c r="AF350" s="7">
        <v>14.042999999999999</v>
      </c>
      <c r="AG350" s="7">
        <v>0</v>
      </c>
      <c r="AH350" s="7">
        <v>9.3930000000000007</v>
      </c>
      <c r="AI350" s="7">
        <v>0</v>
      </c>
      <c r="AJ350" s="7">
        <v>3.1909999999999998</v>
      </c>
      <c r="AK350" s="7">
        <v>3.5960000000000001</v>
      </c>
      <c r="AL350" s="7">
        <v>42.290999999999997</v>
      </c>
      <c r="AM350" s="7">
        <v>39.212000000000003</v>
      </c>
      <c r="AN350" s="7">
        <v>0.92700000000000005</v>
      </c>
      <c r="AO350" s="7">
        <v>21.495000000000001</v>
      </c>
      <c r="AP350" s="7">
        <v>6.2309999999999999</v>
      </c>
      <c r="AQ350" s="7">
        <v>14.565</v>
      </c>
    </row>
    <row r="351" spans="1:43" x14ac:dyDescent="0.25">
      <c r="A351" t="s">
        <v>152</v>
      </c>
      <c r="B351" t="s">
        <v>829</v>
      </c>
      <c r="C351" t="s">
        <v>298</v>
      </c>
      <c r="D351" s="22" t="s">
        <v>286</v>
      </c>
      <c r="E351" s="21">
        <v>2018</v>
      </c>
      <c r="F351" s="7">
        <v>98.739540567096299</v>
      </c>
      <c r="G351" s="7">
        <v>5.1070000000000002</v>
      </c>
      <c r="H351" s="7">
        <v>1.7889999999999999</v>
      </c>
      <c r="I351" s="7">
        <v>0</v>
      </c>
      <c r="J351" s="7">
        <v>0.443</v>
      </c>
      <c r="K351" s="7">
        <v>1.242</v>
      </c>
      <c r="L351" s="7">
        <v>0</v>
      </c>
      <c r="M351" s="7">
        <v>1.4039999999999999</v>
      </c>
      <c r="N351" s="7">
        <v>0.10199999999999999</v>
      </c>
      <c r="O351" s="7">
        <v>0</v>
      </c>
      <c r="P351" s="7">
        <v>2.4860000000000002</v>
      </c>
      <c r="Q351" s="7">
        <v>0.48699999999999999</v>
      </c>
      <c r="R351" s="7">
        <v>0</v>
      </c>
      <c r="S351" s="7">
        <v>4.7380000000000004</v>
      </c>
      <c r="T351" s="7">
        <v>2.7149999999999999</v>
      </c>
      <c r="U351" s="7">
        <v>3.258</v>
      </c>
      <c r="V351" s="7">
        <v>0.221</v>
      </c>
      <c r="W351" s="7">
        <v>1.7090000000000001</v>
      </c>
      <c r="X351" s="7">
        <v>1.87</v>
      </c>
      <c r="Y351" s="7">
        <v>8.5999999999999993E-2</v>
      </c>
      <c r="Z351" s="7">
        <v>0</v>
      </c>
      <c r="AA351" s="7">
        <v>2.9980000000000002</v>
      </c>
      <c r="AB351" s="7">
        <v>0.36699999999999999</v>
      </c>
      <c r="AC351" s="7">
        <v>0.32900000000000001</v>
      </c>
      <c r="AD351" s="7">
        <v>0.11799999999999999</v>
      </c>
      <c r="AE351" s="7">
        <v>4.0750000000000002</v>
      </c>
      <c r="AF351" s="7">
        <v>11.467000000000001</v>
      </c>
      <c r="AG351" s="7">
        <v>0</v>
      </c>
      <c r="AH351" s="7">
        <v>5.6180000000000003</v>
      </c>
      <c r="AI351" s="7">
        <v>0</v>
      </c>
      <c r="AJ351" s="7">
        <v>1.835</v>
      </c>
      <c r="AK351" s="7">
        <v>0.39300000000000002</v>
      </c>
      <c r="AL351" s="7">
        <v>27.657</v>
      </c>
      <c r="AM351" s="7">
        <v>26.806999999999999</v>
      </c>
      <c r="AN351" s="7">
        <v>0.96899999999999997</v>
      </c>
      <c r="AO351" s="7">
        <v>15.084</v>
      </c>
      <c r="AP351" s="7">
        <v>3.992</v>
      </c>
      <c r="AQ351" s="7">
        <v>8.5809999999999995</v>
      </c>
    </row>
    <row r="352" spans="1:43" x14ac:dyDescent="0.25">
      <c r="A352" t="s">
        <v>153</v>
      </c>
      <c r="B352" t="s">
        <v>829</v>
      </c>
      <c r="C352" t="s">
        <v>298</v>
      </c>
      <c r="D352" s="22" t="s">
        <v>286</v>
      </c>
      <c r="E352" s="21">
        <v>2018</v>
      </c>
      <c r="F352" s="7">
        <v>105.84015630497299</v>
      </c>
      <c r="G352" s="7">
        <v>5.2080000000000002</v>
      </c>
      <c r="H352" s="7">
        <v>1.3480000000000001</v>
      </c>
      <c r="I352" s="7">
        <v>1.5820000000000001</v>
      </c>
      <c r="J352" s="7">
        <v>0.69799999999999995</v>
      </c>
      <c r="K352" s="7">
        <v>1.462</v>
      </c>
      <c r="L352" s="7">
        <v>4.3999999999999997E-2</v>
      </c>
      <c r="M352" s="7">
        <v>1.6539999999999999</v>
      </c>
      <c r="N352" s="7">
        <v>0.108</v>
      </c>
      <c r="O352" s="7">
        <v>0</v>
      </c>
      <c r="P352" s="7">
        <v>2.6469999999999998</v>
      </c>
      <c r="Q352" s="7">
        <v>0.46700000000000003</v>
      </c>
      <c r="R352" s="7">
        <v>0</v>
      </c>
      <c r="S352" s="7">
        <v>4.8609999999999998</v>
      </c>
      <c r="T352" s="7">
        <v>3.0870000000000002</v>
      </c>
      <c r="U352" s="7">
        <v>3.6469999999999998</v>
      </c>
      <c r="V352" s="7">
        <v>0.17699999999999999</v>
      </c>
      <c r="W352" s="7">
        <v>1.7150000000000001</v>
      </c>
      <c r="X352" s="7">
        <v>2.0840000000000001</v>
      </c>
      <c r="Y352" s="7">
        <v>8.3000000000000004E-2</v>
      </c>
      <c r="Z352" s="7">
        <v>0</v>
      </c>
      <c r="AA352" s="7">
        <v>2.6419999999999999</v>
      </c>
      <c r="AB352" s="7">
        <v>0.27200000000000002</v>
      </c>
      <c r="AC352" s="7">
        <v>0.54200000000000004</v>
      </c>
      <c r="AD352" s="7">
        <v>0.13200000000000001</v>
      </c>
      <c r="AE352" s="7">
        <v>4.5069999999999997</v>
      </c>
      <c r="AF352" s="7">
        <v>10.186</v>
      </c>
      <c r="AG352" s="7">
        <v>0</v>
      </c>
      <c r="AH352" s="7">
        <v>6.766</v>
      </c>
      <c r="AI352" s="7">
        <v>0</v>
      </c>
      <c r="AJ352" s="7">
        <v>2.4049999999999998</v>
      </c>
      <c r="AK352" s="7">
        <v>0.38900000000000001</v>
      </c>
      <c r="AL352" s="7">
        <v>30.872</v>
      </c>
      <c r="AM352" s="7">
        <v>27.452000000000002</v>
      </c>
      <c r="AN352" s="7">
        <v>0.88900000000000001</v>
      </c>
      <c r="AO352" s="7">
        <v>16.120999999999999</v>
      </c>
      <c r="AP352" s="7">
        <v>4.4089999999999998</v>
      </c>
      <c r="AQ352" s="7">
        <v>10.342000000000001</v>
      </c>
    </row>
    <row r="353" spans="1:43" x14ac:dyDescent="0.25">
      <c r="A353" t="s">
        <v>154</v>
      </c>
      <c r="B353" t="s">
        <v>829</v>
      </c>
      <c r="C353" t="s">
        <v>298</v>
      </c>
      <c r="D353" s="22" t="s">
        <v>286</v>
      </c>
      <c r="E353" s="21">
        <v>2018</v>
      </c>
      <c r="F353" s="7">
        <v>217.40112006019899</v>
      </c>
      <c r="G353" s="7">
        <v>9.798</v>
      </c>
      <c r="H353" s="7">
        <v>2.8879999999999999</v>
      </c>
      <c r="I353" s="7">
        <v>1.726</v>
      </c>
      <c r="J353" s="7">
        <v>1.2549999999999999</v>
      </c>
      <c r="K353" s="7">
        <v>2.7269999999999999</v>
      </c>
      <c r="L353" s="7">
        <v>0.27300000000000002</v>
      </c>
      <c r="M353" s="7">
        <v>3.0750000000000002</v>
      </c>
      <c r="N353" s="7">
        <v>0.19400000000000001</v>
      </c>
      <c r="O353" s="7">
        <v>0</v>
      </c>
      <c r="P353" s="7">
        <v>5.4279999999999999</v>
      </c>
      <c r="Q353" s="7">
        <v>1.0049999999999999</v>
      </c>
      <c r="R353" s="7">
        <v>9.0999999999999998E-2</v>
      </c>
      <c r="S353" s="7">
        <v>9.2040000000000006</v>
      </c>
      <c r="T353" s="7">
        <v>5.7069999999999999</v>
      </c>
      <c r="U353" s="7">
        <v>7.0739999999999998</v>
      </c>
      <c r="V353" s="7">
        <v>0.41399999999999998</v>
      </c>
      <c r="W353" s="7">
        <v>3.3620000000000001</v>
      </c>
      <c r="X353" s="7">
        <v>4.056</v>
      </c>
      <c r="Y353" s="7">
        <v>0.16800000000000001</v>
      </c>
      <c r="Z353" s="7">
        <v>0</v>
      </c>
      <c r="AA353" s="7">
        <v>5.9720000000000004</v>
      </c>
      <c r="AB353" s="7">
        <v>0.77200000000000002</v>
      </c>
      <c r="AC353" s="7">
        <v>0.72299999999999998</v>
      </c>
      <c r="AD353" s="7">
        <v>0.23</v>
      </c>
      <c r="AE353" s="7">
        <v>11.166</v>
      </c>
      <c r="AF353" s="7">
        <v>22.481999999999999</v>
      </c>
      <c r="AG353" s="7">
        <v>0</v>
      </c>
      <c r="AH353" s="7">
        <v>13.371</v>
      </c>
      <c r="AI353" s="7">
        <v>0</v>
      </c>
      <c r="AJ353" s="7">
        <v>4.657</v>
      </c>
      <c r="AK353" s="7">
        <v>1.431</v>
      </c>
      <c r="AL353" s="7">
        <v>58.445</v>
      </c>
      <c r="AM353" s="7">
        <v>59.372999999999998</v>
      </c>
      <c r="AN353" s="7">
        <v>1.016</v>
      </c>
      <c r="AO353" s="7">
        <v>31.081</v>
      </c>
      <c r="AP353" s="7">
        <v>8.6969999999999992</v>
      </c>
      <c r="AQ353" s="7">
        <v>18.667000000000002</v>
      </c>
    </row>
    <row r="354" spans="1:43" x14ac:dyDescent="0.25">
      <c r="A354" t="s">
        <v>155</v>
      </c>
      <c r="B354" t="s">
        <v>842</v>
      </c>
      <c r="C354" t="s">
        <v>283</v>
      </c>
      <c r="D354" s="22" t="s">
        <v>286</v>
      </c>
      <c r="E354" s="21">
        <v>2018</v>
      </c>
      <c r="F354" s="7">
        <v>1513.19304241544</v>
      </c>
      <c r="G354" s="7">
        <v>55.482999999999997</v>
      </c>
      <c r="H354" s="7">
        <v>9.1489999999999991</v>
      </c>
      <c r="I354" s="7">
        <v>13.436</v>
      </c>
      <c r="J354" s="7">
        <v>11.481</v>
      </c>
      <c r="K354" s="7">
        <v>21.076000000000001</v>
      </c>
      <c r="L354" s="7">
        <v>0.84499999999999997</v>
      </c>
      <c r="M354" s="7">
        <v>15.951000000000001</v>
      </c>
      <c r="N354" s="7">
        <v>0</v>
      </c>
      <c r="O354" s="7">
        <v>0</v>
      </c>
      <c r="P354" s="7">
        <v>29.568000000000001</v>
      </c>
      <c r="Q354" s="7">
        <v>8.1140000000000008</v>
      </c>
      <c r="R354" s="7">
        <v>0.58599999999999997</v>
      </c>
      <c r="S354" s="7">
        <v>69.697999999999993</v>
      </c>
      <c r="T354" s="7">
        <v>40.290999999999997</v>
      </c>
      <c r="U354" s="7">
        <v>44</v>
      </c>
      <c r="V354" s="7">
        <v>2.6309999999999998</v>
      </c>
      <c r="W354" s="7">
        <v>21.084</v>
      </c>
      <c r="X354" s="7">
        <v>26.449000000000002</v>
      </c>
      <c r="Y354" s="7">
        <v>1.694</v>
      </c>
      <c r="Z354" s="7">
        <v>0</v>
      </c>
      <c r="AA354" s="7">
        <v>61.003</v>
      </c>
      <c r="AB354" s="7">
        <v>0</v>
      </c>
      <c r="AC354" s="7">
        <v>8.7089999999999996</v>
      </c>
      <c r="AD354" s="7">
        <v>0</v>
      </c>
      <c r="AE354" s="7">
        <v>87.625</v>
      </c>
      <c r="AF354" s="7">
        <v>137.5</v>
      </c>
      <c r="AG354" s="7">
        <v>0</v>
      </c>
      <c r="AH354" s="7">
        <v>114.29900000000001</v>
      </c>
      <c r="AI354" s="7">
        <v>0</v>
      </c>
      <c r="AJ354" s="7">
        <v>17.728999999999999</v>
      </c>
      <c r="AK354" s="7">
        <v>10.236000000000001</v>
      </c>
      <c r="AL354" s="7">
        <v>371.536</v>
      </c>
      <c r="AM354" s="7">
        <v>426.86500000000001</v>
      </c>
      <c r="AN354" s="7">
        <v>1.149</v>
      </c>
      <c r="AO354" s="7">
        <v>214.547</v>
      </c>
      <c r="AP354" s="7">
        <v>45.518999999999998</v>
      </c>
      <c r="AQ354" s="7">
        <v>111.47</v>
      </c>
    </row>
    <row r="355" spans="1:43" x14ac:dyDescent="0.25">
      <c r="A355" t="s">
        <v>156</v>
      </c>
      <c r="B355" t="s">
        <v>842</v>
      </c>
      <c r="C355" t="s">
        <v>283</v>
      </c>
      <c r="D355" s="22" t="s">
        <v>286</v>
      </c>
      <c r="E355" s="21">
        <v>2018</v>
      </c>
      <c r="F355" s="7">
        <v>511.23555226548098</v>
      </c>
      <c r="G355" s="7">
        <v>17.452999999999999</v>
      </c>
      <c r="H355" s="7">
        <v>3.427</v>
      </c>
      <c r="I355" s="7">
        <v>3.9670000000000001</v>
      </c>
      <c r="J355" s="7">
        <v>3.38</v>
      </c>
      <c r="K355" s="7">
        <v>5.4550000000000001</v>
      </c>
      <c r="L355" s="7">
        <v>0.73799999999999999</v>
      </c>
      <c r="M355" s="7">
        <v>5.0999999999999996</v>
      </c>
      <c r="N355" s="7">
        <v>0.46500000000000002</v>
      </c>
      <c r="O355" s="7">
        <v>0</v>
      </c>
      <c r="P355" s="7">
        <v>9.6240000000000006</v>
      </c>
      <c r="Q355" s="7">
        <v>2.4140000000000001</v>
      </c>
      <c r="R355" s="7">
        <v>0.183</v>
      </c>
      <c r="S355" s="7">
        <v>21.276</v>
      </c>
      <c r="T355" s="7">
        <v>11.755000000000001</v>
      </c>
      <c r="U355" s="7">
        <v>12.726000000000001</v>
      </c>
      <c r="V355" s="7">
        <v>0.79</v>
      </c>
      <c r="W355" s="7">
        <v>6.4809999999999999</v>
      </c>
      <c r="X355" s="7">
        <v>7.89</v>
      </c>
      <c r="Y355" s="7">
        <v>0.53100000000000003</v>
      </c>
      <c r="Z355" s="7">
        <v>0</v>
      </c>
      <c r="AA355" s="7">
        <v>15.324999999999999</v>
      </c>
      <c r="AB355" s="7">
        <v>0</v>
      </c>
      <c r="AC355" s="7">
        <v>2.7010000000000001</v>
      </c>
      <c r="AD355" s="7">
        <v>0</v>
      </c>
      <c r="AE355" s="7">
        <v>31.206</v>
      </c>
      <c r="AF355" s="7">
        <v>54.142000000000003</v>
      </c>
      <c r="AG355" s="7">
        <v>0</v>
      </c>
      <c r="AH355" s="7">
        <v>35.378999999999998</v>
      </c>
      <c r="AI355" s="7">
        <v>0</v>
      </c>
      <c r="AJ355" s="7">
        <v>6.4409999999999998</v>
      </c>
      <c r="AK355" s="7">
        <v>9.9350000000000005</v>
      </c>
      <c r="AL355" s="7">
        <v>113.655</v>
      </c>
      <c r="AM355" s="7">
        <v>145.19399999999999</v>
      </c>
      <c r="AN355" s="7">
        <v>1.2769999999999999</v>
      </c>
      <c r="AO355" s="7">
        <v>64.046000000000006</v>
      </c>
      <c r="AP355" s="7">
        <v>15.189</v>
      </c>
      <c r="AQ355" s="7">
        <v>34.42</v>
      </c>
    </row>
    <row r="356" spans="1:43" x14ac:dyDescent="0.25">
      <c r="A356" t="s">
        <v>157</v>
      </c>
      <c r="B356" t="s">
        <v>842</v>
      </c>
      <c r="C356" t="s">
        <v>283</v>
      </c>
      <c r="D356" s="22" t="s">
        <v>286</v>
      </c>
      <c r="E356" s="21">
        <v>2018</v>
      </c>
      <c r="F356" s="7">
        <v>374.81051593160203</v>
      </c>
      <c r="G356" s="7">
        <v>15.426</v>
      </c>
      <c r="H356" s="7">
        <v>3.4670000000000001</v>
      </c>
      <c r="I356" s="7">
        <v>2.7269999999999999</v>
      </c>
      <c r="J356" s="7">
        <v>2.609</v>
      </c>
      <c r="K356" s="7">
        <v>5.2240000000000002</v>
      </c>
      <c r="L356" s="7">
        <v>0</v>
      </c>
      <c r="M356" s="7">
        <v>3.9550000000000001</v>
      </c>
      <c r="N356" s="7">
        <v>0</v>
      </c>
      <c r="O356" s="7">
        <v>0</v>
      </c>
      <c r="P356" s="7">
        <v>8.5220000000000002</v>
      </c>
      <c r="Q356" s="7">
        <v>1.772</v>
      </c>
      <c r="R356" s="7">
        <v>8.7999999999999995E-2</v>
      </c>
      <c r="S356" s="7">
        <v>16.378</v>
      </c>
      <c r="T356" s="7">
        <v>9.2590000000000003</v>
      </c>
      <c r="U356" s="7">
        <v>9.6859999999999999</v>
      </c>
      <c r="V356" s="7">
        <v>0.59899999999999998</v>
      </c>
      <c r="W356" s="7">
        <v>4.9349999999999996</v>
      </c>
      <c r="X356" s="7">
        <v>6.3559999999999999</v>
      </c>
      <c r="Y356" s="7">
        <v>0.374</v>
      </c>
      <c r="Z356" s="7">
        <v>0</v>
      </c>
      <c r="AA356" s="7">
        <v>20.117000000000001</v>
      </c>
      <c r="AB356" s="7">
        <v>0</v>
      </c>
      <c r="AC356" s="7">
        <v>1.99</v>
      </c>
      <c r="AD356" s="7">
        <v>0</v>
      </c>
      <c r="AE356" s="7">
        <v>18.911000000000001</v>
      </c>
      <c r="AF356" s="7">
        <v>31.411999999999999</v>
      </c>
      <c r="AG356" s="7">
        <v>0</v>
      </c>
      <c r="AH356" s="7">
        <v>27.245999999999999</v>
      </c>
      <c r="AI356" s="7">
        <v>0</v>
      </c>
      <c r="AJ356" s="7">
        <v>5.3470000000000004</v>
      </c>
      <c r="AK356" s="7">
        <v>6.2220000000000004</v>
      </c>
      <c r="AL356" s="7">
        <v>91.376999999999995</v>
      </c>
      <c r="AM356" s="7">
        <v>105.023</v>
      </c>
      <c r="AN356" s="7">
        <v>1.149</v>
      </c>
      <c r="AO356" s="7">
        <v>49.447000000000003</v>
      </c>
      <c r="AP356" s="7">
        <v>12.477</v>
      </c>
      <c r="AQ356" s="7">
        <v>29.452999999999999</v>
      </c>
    </row>
    <row r="357" spans="1:43" x14ac:dyDescent="0.25">
      <c r="A357" t="s">
        <v>158</v>
      </c>
      <c r="B357" t="s">
        <v>842</v>
      </c>
      <c r="C357" t="s">
        <v>283</v>
      </c>
      <c r="D357" s="22" t="s">
        <v>286</v>
      </c>
      <c r="E357" s="21">
        <v>2018</v>
      </c>
      <c r="F357" s="7">
        <v>337.282731955212</v>
      </c>
      <c r="G357" s="7">
        <v>13.696</v>
      </c>
      <c r="H357" s="7">
        <v>3.0009999999999999</v>
      </c>
      <c r="I357" s="7">
        <v>2.5289999999999999</v>
      </c>
      <c r="J357" s="7">
        <v>2.2839999999999998</v>
      </c>
      <c r="K357" s="7">
        <v>3.911</v>
      </c>
      <c r="L357" s="7">
        <v>0.56200000000000006</v>
      </c>
      <c r="M357" s="7">
        <v>3.4119999999999999</v>
      </c>
      <c r="N357" s="7">
        <v>0</v>
      </c>
      <c r="O357" s="7">
        <v>0</v>
      </c>
      <c r="P357" s="7">
        <v>7.306</v>
      </c>
      <c r="Q357" s="7">
        <v>1.5449999999999999</v>
      </c>
      <c r="R357" s="7">
        <v>7.0000000000000007E-2</v>
      </c>
      <c r="S357" s="7">
        <v>14.118</v>
      </c>
      <c r="T357" s="7">
        <v>8.4559999999999995</v>
      </c>
      <c r="U357" s="7">
        <v>8.48</v>
      </c>
      <c r="V357" s="7">
        <v>0.55500000000000005</v>
      </c>
      <c r="W357" s="7">
        <v>4.2969999999999997</v>
      </c>
      <c r="X357" s="7">
        <v>5.6639999999999997</v>
      </c>
      <c r="Y357" s="7">
        <v>0.54800000000000004</v>
      </c>
      <c r="Z357" s="7">
        <v>0</v>
      </c>
      <c r="AA357" s="7">
        <v>12.715</v>
      </c>
      <c r="AB357" s="7">
        <v>0</v>
      </c>
      <c r="AC357" s="7">
        <v>1.79</v>
      </c>
      <c r="AD357" s="7">
        <v>0.36499999999999999</v>
      </c>
      <c r="AE357" s="7">
        <v>15.513</v>
      </c>
      <c r="AF357" s="7">
        <v>29.741</v>
      </c>
      <c r="AG357" s="7">
        <v>0</v>
      </c>
      <c r="AH357" s="7">
        <v>25.98</v>
      </c>
      <c r="AI357" s="7">
        <v>0</v>
      </c>
      <c r="AJ357" s="7">
        <v>4.68</v>
      </c>
      <c r="AK357" s="7">
        <v>4.2350000000000003</v>
      </c>
      <c r="AL357" s="7">
        <v>80.433999999999997</v>
      </c>
      <c r="AM357" s="7">
        <v>90.784000000000006</v>
      </c>
      <c r="AN357" s="7">
        <v>1.129</v>
      </c>
      <c r="AO357" s="7">
        <v>43.732999999999997</v>
      </c>
      <c r="AP357" s="7">
        <v>10.718</v>
      </c>
      <c r="AQ357" s="7">
        <v>25.983000000000001</v>
      </c>
    </row>
    <row r="358" spans="1:43" x14ac:dyDescent="0.25">
      <c r="A358" t="s">
        <v>230</v>
      </c>
      <c r="B358" s="22" t="s">
        <v>7</v>
      </c>
      <c r="C358" t="s">
        <v>283</v>
      </c>
      <c r="D358" s="22" t="s">
        <v>286</v>
      </c>
      <c r="E358" s="21">
        <v>2018</v>
      </c>
      <c r="F358" s="7">
        <v>176.24708854799999</v>
      </c>
      <c r="G358" s="7">
        <v>7.0359999999999996</v>
      </c>
      <c r="H358" s="7">
        <v>1.4239999999999999</v>
      </c>
      <c r="I358" s="7">
        <v>2.0960000000000001</v>
      </c>
      <c r="J358" s="7">
        <v>1.042</v>
      </c>
      <c r="K358" s="7">
        <v>2.8010000000000002</v>
      </c>
      <c r="L358" s="7">
        <v>0</v>
      </c>
      <c r="M358" s="7">
        <v>1.88</v>
      </c>
      <c r="N358" s="7">
        <v>0</v>
      </c>
      <c r="O358" s="7">
        <v>0</v>
      </c>
      <c r="P358" s="7">
        <v>2.9940000000000002</v>
      </c>
      <c r="Q358" s="7">
        <v>0.85399999999999998</v>
      </c>
      <c r="R358" s="7">
        <v>5.0999999999999997E-2</v>
      </c>
      <c r="S358" s="7">
        <v>8.5</v>
      </c>
      <c r="T358" s="7">
        <v>4.7089999999999996</v>
      </c>
      <c r="U358" s="7">
        <v>5.9850000000000003</v>
      </c>
      <c r="V358" s="7">
        <v>0.28599999999999998</v>
      </c>
      <c r="W358" s="7">
        <v>2.431</v>
      </c>
      <c r="X358" s="7">
        <v>3.1859999999999999</v>
      </c>
      <c r="Y358" s="7">
        <v>0.158</v>
      </c>
      <c r="Z358" s="7">
        <v>0</v>
      </c>
      <c r="AA358" s="7">
        <v>4.5960000000000001</v>
      </c>
      <c r="AB358" s="7">
        <v>0.53800000000000003</v>
      </c>
      <c r="AC358" s="7">
        <v>0.47299999999999998</v>
      </c>
      <c r="AD358" s="7">
        <v>0.40699999999999997</v>
      </c>
      <c r="AE358" s="7">
        <v>12.193</v>
      </c>
      <c r="AF358" s="7">
        <v>18.486999999999998</v>
      </c>
      <c r="AG358" s="7">
        <v>0</v>
      </c>
      <c r="AH358" s="7">
        <v>11.124000000000001</v>
      </c>
      <c r="AI358" s="7">
        <v>0</v>
      </c>
      <c r="AJ358" s="7">
        <v>2.7559999999999998</v>
      </c>
      <c r="AK358" s="7">
        <v>2.052</v>
      </c>
      <c r="AL358" s="7">
        <v>45.433</v>
      </c>
      <c r="AM358" s="7">
        <v>50.573999999999998</v>
      </c>
      <c r="AN358" s="7">
        <v>1.113</v>
      </c>
      <c r="AO358" s="7">
        <v>26.16</v>
      </c>
      <c r="AP358" s="7">
        <v>4.8739999999999997</v>
      </c>
      <c r="AQ358" s="7">
        <v>14.398999999999999</v>
      </c>
    </row>
    <row r="359" spans="1:43" x14ac:dyDescent="0.25">
      <c r="A359" t="s">
        <v>231</v>
      </c>
      <c r="B359" s="22" t="s">
        <v>7</v>
      </c>
      <c r="C359" t="s">
        <v>283</v>
      </c>
      <c r="D359" s="22" t="s">
        <v>286</v>
      </c>
      <c r="E359" s="21">
        <v>2018</v>
      </c>
      <c r="F359" s="7">
        <v>133.34105708246801</v>
      </c>
      <c r="G359" s="7">
        <v>6.71</v>
      </c>
      <c r="H359" s="7">
        <v>1.8029999999999999</v>
      </c>
      <c r="I359" s="7">
        <v>2.1360000000000001</v>
      </c>
      <c r="J359" s="7">
        <v>0.51700000000000002</v>
      </c>
      <c r="K359" s="7">
        <v>2.2130000000000001</v>
      </c>
      <c r="L359" s="7">
        <v>0.2</v>
      </c>
      <c r="M359" s="7">
        <v>1.6910000000000001</v>
      </c>
      <c r="N359" s="7">
        <v>0</v>
      </c>
      <c r="O359" s="7">
        <v>0</v>
      </c>
      <c r="P359" s="7">
        <v>2.76</v>
      </c>
      <c r="Q359" s="7">
        <v>0.66600000000000004</v>
      </c>
      <c r="R359" s="7">
        <v>7.0000000000000007E-2</v>
      </c>
      <c r="S359" s="7">
        <v>7.1509999999999998</v>
      </c>
      <c r="T359" s="7">
        <v>3.556</v>
      </c>
      <c r="U359" s="7">
        <v>5.1349999999999998</v>
      </c>
      <c r="V359" s="7">
        <v>0.223</v>
      </c>
      <c r="W359" s="7">
        <v>2.0960000000000001</v>
      </c>
      <c r="X359" s="7">
        <v>2.5019999999999998</v>
      </c>
      <c r="Y359" s="7">
        <v>0.109</v>
      </c>
      <c r="Z359" s="7">
        <v>0</v>
      </c>
      <c r="AA359" s="7">
        <v>2.1150000000000002</v>
      </c>
      <c r="AB359" s="7">
        <v>0.379</v>
      </c>
      <c r="AC359" s="7">
        <v>0.45100000000000001</v>
      </c>
      <c r="AD359" s="7">
        <v>0.29599999999999999</v>
      </c>
      <c r="AE359" s="7">
        <v>3.8980000000000001</v>
      </c>
      <c r="AF359" s="7">
        <v>12.928000000000001</v>
      </c>
      <c r="AG359" s="7">
        <v>0</v>
      </c>
      <c r="AH359" s="7">
        <v>7.2009999999999996</v>
      </c>
      <c r="AI359" s="7">
        <v>0</v>
      </c>
      <c r="AJ359" s="7">
        <v>2.5230000000000001</v>
      </c>
      <c r="AK359" s="7">
        <v>1.2549999999999999</v>
      </c>
      <c r="AL359" s="7">
        <v>39.537999999999997</v>
      </c>
      <c r="AM359" s="7">
        <v>29.791</v>
      </c>
      <c r="AN359" s="7">
        <v>0.753</v>
      </c>
      <c r="AO359" s="7">
        <v>21.507999999999999</v>
      </c>
      <c r="AP359" s="7">
        <v>4.4509999999999996</v>
      </c>
      <c r="AQ359" s="7">
        <v>13.579000000000001</v>
      </c>
    </row>
    <row r="360" spans="1:43" x14ac:dyDescent="0.25">
      <c r="A360" t="s">
        <v>232</v>
      </c>
      <c r="B360" s="22" t="s">
        <v>7</v>
      </c>
      <c r="C360" t="s">
        <v>283</v>
      </c>
      <c r="D360" s="22" t="s">
        <v>286</v>
      </c>
      <c r="E360" s="21">
        <v>2018</v>
      </c>
      <c r="F360" s="7">
        <v>113.455251373362</v>
      </c>
      <c r="G360" s="7">
        <v>5.7240000000000002</v>
      </c>
      <c r="H360" s="7">
        <v>1.3839999999999999</v>
      </c>
      <c r="I360" s="7">
        <v>1.736</v>
      </c>
      <c r="J360" s="7">
        <v>0.46700000000000003</v>
      </c>
      <c r="K360" s="7">
        <v>2.319</v>
      </c>
      <c r="L360" s="7">
        <v>0</v>
      </c>
      <c r="M360" s="7">
        <v>1.4079999999999999</v>
      </c>
      <c r="N360" s="7">
        <v>0</v>
      </c>
      <c r="O360" s="7">
        <v>0</v>
      </c>
      <c r="P360" s="7">
        <v>2.2290000000000001</v>
      </c>
      <c r="Q360" s="7">
        <v>0.52900000000000003</v>
      </c>
      <c r="R360" s="7">
        <v>0</v>
      </c>
      <c r="S360" s="7">
        <v>5.9459999999999997</v>
      </c>
      <c r="T360" s="7">
        <v>2.9319999999999999</v>
      </c>
      <c r="U360" s="7">
        <v>4.2569999999999997</v>
      </c>
      <c r="V360" s="7">
        <v>0.192</v>
      </c>
      <c r="W360" s="7">
        <v>1.784</v>
      </c>
      <c r="X360" s="7">
        <v>2.121</v>
      </c>
      <c r="Y360" s="7">
        <v>8.5000000000000006E-2</v>
      </c>
      <c r="Z360" s="7">
        <v>0</v>
      </c>
      <c r="AA360" s="7">
        <v>2.2869999999999999</v>
      </c>
      <c r="AB360" s="7">
        <v>0.29599999999999999</v>
      </c>
      <c r="AC360" s="7">
        <v>0.36799999999999999</v>
      </c>
      <c r="AD360" s="7">
        <v>0.27800000000000002</v>
      </c>
      <c r="AE360" s="7">
        <v>3.6640000000000001</v>
      </c>
      <c r="AF360" s="7">
        <v>11.817</v>
      </c>
      <c r="AG360" s="7">
        <v>0</v>
      </c>
      <c r="AH360" s="7">
        <v>7.5270000000000001</v>
      </c>
      <c r="AI360" s="7">
        <v>0</v>
      </c>
      <c r="AJ360" s="7">
        <v>2.21</v>
      </c>
      <c r="AK360" s="7">
        <v>0.57299999999999995</v>
      </c>
      <c r="AL360" s="7">
        <v>33.113</v>
      </c>
      <c r="AM360" s="7">
        <v>28.446999999999999</v>
      </c>
      <c r="AN360" s="7">
        <v>0.85899999999999999</v>
      </c>
      <c r="AO360" s="7">
        <v>17.846</v>
      </c>
      <c r="AP360" s="7">
        <v>3.637</v>
      </c>
      <c r="AQ360" s="7">
        <v>11.63</v>
      </c>
    </row>
    <row r="361" spans="1:43" x14ac:dyDescent="0.25">
      <c r="A361" t="s">
        <v>233</v>
      </c>
      <c r="B361" s="22" t="s">
        <v>7</v>
      </c>
      <c r="C361" t="s">
        <v>283</v>
      </c>
      <c r="D361" s="22" t="s">
        <v>286</v>
      </c>
      <c r="E361" s="21">
        <v>2018</v>
      </c>
      <c r="F361" s="7">
        <v>200.04434381829901</v>
      </c>
      <c r="G361" s="7">
        <v>9.9429999999999996</v>
      </c>
      <c r="H361" s="7">
        <v>2.6749999999999998</v>
      </c>
      <c r="I361" s="7">
        <v>2.6320000000000001</v>
      </c>
      <c r="J361" s="7">
        <v>0.99399999999999999</v>
      </c>
      <c r="K361" s="7">
        <v>4.0049999999999999</v>
      </c>
      <c r="L361" s="7">
        <v>0.17799999999999999</v>
      </c>
      <c r="M361" s="7">
        <v>2.5979999999999999</v>
      </c>
      <c r="N361" s="7">
        <v>0</v>
      </c>
      <c r="O361" s="7">
        <v>0</v>
      </c>
      <c r="P361" s="7">
        <v>4.1639999999999997</v>
      </c>
      <c r="Q361" s="7">
        <v>0.98799999999999999</v>
      </c>
      <c r="R361" s="7">
        <v>6.4000000000000001E-2</v>
      </c>
      <c r="S361" s="7">
        <v>11.093</v>
      </c>
      <c r="T361" s="7">
        <v>5.5620000000000003</v>
      </c>
      <c r="U361" s="7">
        <v>7.1879999999999997</v>
      </c>
      <c r="V361" s="7">
        <v>0.36899999999999999</v>
      </c>
      <c r="W361" s="7">
        <v>3.2559999999999998</v>
      </c>
      <c r="X361" s="7">
        <v>3.8069999999999999</v>
      </c>
      <c r="Y361" s="7">
        <v>0.187</v>
      </c>
      <c r="Z361" s="7">
        <v>0</v>
      </c>
      <c r="AA361" s="7">
        <v>4.5579999999999998</v>
      </c>
      <c r="AB361" s="7">
        <v>0.56999999999999995</v>
      </c>
      <c r="AC361" s="7">
        <v>0.746</v>
      </c>
      <c r="AD361" s="7">
        <v>0.28999999999999998</v>
      </c>
      <c r="AE361" s="7">
        <v>6.7110000000000003</v>
      </c>
      <c r="AF361" s="7">
        <v>19.41</v>
      </c>
      <c r="AG361" s="7">
        <v>0</v>
      </c>
      <c r="AH361" s="7">
        <v>13.695</v>
      </c>
      <c r="AI361" s="7">
        <v>0</v>
      </c>
      <c r="AJ361" s="7">
        <v>3.9359999999999999</v>
      </c>
      <c r="AK361" s="7">
        <v>1.4710000000000001</v>
      </c>
      <c r="AL361" s="7">
        <v>59.703000000000003</v>
      </c>
      <c r="AM361" s="7">
        <v>49.915999999999997</v>
      </c>
      <c r="AN361" s="7">
        <v>0.83599999999999997</v>
      </c>
      <c r="AO361" s="7">
        <v>32.514000000000003</v>
      </c>
      <c r="AP361" s="7">
        <v>6.7619999999999996</v>
      </c>
      <c r="AQ361" s="7">
        <v>20.427</v>
      </c>
    </row>
    <row r="362" spans="1:43" x14ac:dyDescent="0.25">
      <c r="A362" t="s">
        <v>234</v>
      </c>
      <c r="B362" s="22" t="s">
        <v>8</v>
      </c>
      <c r="C362" t="s">
        <v>283</v>
      </c>
      <c r="D362" s="22" t="s">
        <v>283</v>
      </c>
      <c r="E362" s="21">
        <v>2018</v>
      </c>
      <c r="F362" s="7">
        <v>110.951943595731</v>
      </c>
      <c r="G362" s="7">
        <v>5.94</v>
      </c>
      <c r="H362" s="7">
        <v>1.3480000000000001</v>
      </c>
      <c r="I362" s="7">
        <v>1.25</v>
      </c>
      <c r="J362" s="7">
        <v>0.51900000000000002</v>
      </c>
      <c r="K362" s="7">
        <v>1.492</v>
      </c>
      <c r="L362" s="7">
        <v>0</v>
      </c>
      <c r="M362" s="7">
        <v>1.2290000000000001</v>
      </c>
      <c r="N362" s="7">
        <v>0</v>
      </c>
      <c r="O362" s="7">
        <v>0</v>
      </c>
      <c r="P362" s="7">
        <v>2.496</v>
      </c>
      <c r="Q362" s="7">
        <v>0.52100000000000002</v>
      </c>
      <c r="R362" s="7">
        <v>4.2000000000000003E-2</v>
      </c>
      <c r="S362" s="7">
        <v>5.7069999999999999</v>
      </c>
      <c r="T362" s="7">
        <v>2.7</v>
      </c>
      <c r="U362" s="7">
        <v>3.3940000000000001</v>
      </c>
      <c r="V362" s="7">
        <v>0.18099999999999999</v>
      </c>
      <c r="W362" s="7">
        <v>1.6850000000000001</v>
      </c>
      <c r="X362" s="7">
        <v>1.883</v>
      </c>
      <c r="Y362" s="7">
        <v>7.8E-2</v>
      </c>
      <c r="Z362" s="7">
        <v>0</v>
      </c>
      <c r="AA362" s="7">
        <v>4.1219999999999999</v>
      </c>
      <c r="AB362" s="7">
        <v>0.29699999999999999</v>
      </c>
      <c r="AC362" s="7">
        <v>0.34</v>
      </c>
      <c r="AD362" s="7">
        <v>0.20699999999999999</v>
      </c>
      <c r="AE362" s="7">
        <v>2.81</v>
      </c>
      <c r="AF362" s="7">
        <v>8.5370000000000008</v>
      </c>
      <c r="AG362" s="7">
        <v>0</v>
      </c>
      <c r="AH362" s="7">
        <v>7.66</v>
      </c>
      <c r="AI362" s="7">
        <v>0</v>
      </c>
      <c r="AJ362" s="7">
        <v>2.4119999999999999</v>
      </c>
      <c r="AK362" s="7">
        <v>1.4990000000000001</v>
      </c>
      <c r="AL362" s="7">
        <v>30.465</v>
      </c>
      <c r="AM362" s="7">
        <v>26.385000000000002</v>
      </c>
      <c r="AN362" s="7">
        <v>0.86599999999999999</v>
      </c>
      <c r="AO362" s="7">
        <v>16.190999999999999</v>
      </c>
      <c r="AP362" s="7">
        <v>3.7250000000000001</v>
      </c>
      <c r="AQ362" s="7">
        <v>10.548999999999999</v>
      </c>
    </row>
    <row r="363" spans="1:43" x14ac:dyDescent="0.25">
      <c r="A363" t="s">
        <v>235</v>
      </c>
      <c r="B363" s="22" t="s">
        <v>8</v>
      </c>
      <c r="C363" t="s">
        <v>283</v>
      </c>
      <c r="D363" s="22" t="s">
        <v>283</v>
      </c>
      <c r="E363" s="21">
        <v>2018</v>
      </c>
      <c r="F363" s="7">
        <v>223.17965957895501</v>
      </c>
      <c r="G363" s="7">
        <v>10.303000000000001</v>
      </c>
      <c r="H363" s="7">
        <v>2.1179999999999999</v>
      </c>
      <c r="I363" s="7">
        <v>2.577</v>
      </c>
      <c r="J363" s="7">
        <v>1.1930000000000001</v>
      </c>
      <c r="K363" s="7">
        <v>2.9940000000000002</v>
      </c>
      <c r="L363" s="7">
        <v>0</v>
      </c>
      <c r="M363" s="7">
        <v>2.5680000000000001</v>
      </c>
      <c r="N363" s="7">
        <v>0</v>
      </c>
      <c r="O363" s="7">
        <v>0</v>
      </c>
      <c r="P363" s="7">
        <v>4.0339999999999998</v>
      </c>
      <c r="Q363" s="7">
        <v>1.2470000000000001</v>
      </c>
      <c r="R363" s="7">
        <v>0.128</v>
      </c>
      <c r="S363" s="7">
        <v>11.938000000000001</v>
      </c>
      <c r="T363" s="7">
        <v>6.13</v>
      </c>
      <c r="U363" s="7">
        <v>7.4340000000000002</v>
      </c>
      <c r="V363" s="7">
        <v>0.43099999999999999</v>
      </c>
      <c r="W363" s="7">
        <v>3.4929999999999999</v>
      </c>
      <c r="X363" s="7">
        <v>4.125</v>
      </c>
      <c r="Y363" s="7">
        <v>0.13200000000000001</v>
      </c>
      <c r="Z363" s="7">
        <v>0</v>
      </c>
      <c r="AA363" s="7">
        <v>6.9740000000000002</v>
      </c>
      <c r="AB363" s="7">
        <v>0.496</v>
      </c>
      <c r="AC363" s="7">
        <v>0.81100000000000005</v>
      </c>
      <c r="AD363" s="7">
        <v>0.36599999999999999</v>
      </c>
      <c r="AE363" s="7">
        <v>10.073</v>
      </c>
      <c r="AF363" s="7">
        <v>20.04</v>
      </c>
      <c r="AG363" s="7">
        <v>0</v>
      </c>
      <c r="AH363" s="7">
        <v>16.085999999999999</v>
      </c>
      <c r="AI363" s="7">
        <v>0</v>
      </c>
      <c r="AJ363" s="7">
        <v>4.2380000000000004</v>
      </c>
      <c r="AK363" s="7">
        <v>1.5329999999999999</v>
      </c>
      <c r="AL363" s="7">
        <v>60.844999999999999</v>
      </c>
      <c r="AM363" s="7">
        <v>59.084000000000003</v>
      </c>
      <c r="AN363" s="7">
        <v>0.97099999999999997</v>
      </c>
      <c r="AO363" s="7">
        <v>35.058</v>
      </c>
      <c r="AP363" s="7">
        <v>6.6020000000000003</v>
      </c>
      <c r="AQ363" s="7">
        <v>19.184999999999999</v>
      </c>
    </row>
    <row r="364" spans="1:43" x14ac:dyDescent="0.25">
      <c r="A364" t="s">
        <v>236</v>
      </c>
      <c r="B364" s="22" t="s">
        <v>8</v>
      </c>
      <c r="C364" t="s">
        <v>283</v>
      </c>
      <c r="D364" s="22" t="s">
        <v>283</v>
      </c>
      <c r="E364" s="21">
        <v>2018</v>
      </c>
      <c r="F364" s="7">
        <v>137.18111910831701</v>
      </c>
      <c r="G364" s="7">
        <v>7.2080000000000002</v>
      </c>
      <c r="H364" s="7">
        <v>1.4650000000000001</v>
      </c>
      <c r="I364" s="7">
        <v>1.4930000000000001</v>
      </c>
      <c r="J364" s="7">
        <v>0.755</v>
      </c>
      <c r="K364" s="7">
        <v>1.843</v>
      </c>
      <c r="L364" s="7">
        <v>0</v>
      </c>
      <c r="M364" s="7">
        <v>1.5549999999999999</v>
      </c>
      <c r="N364" s="7">
        <v>0</v>
      </c>
      <c r="O364" s="7">
        <v>0</v>
      </c>
      <c r="P364" s="7">
        <v>3.6059999999999999</v>
      </c>
      <c r="Q364" s="7">
        <v>0.72499999999999998</v>
      </c>
      <c r="R364" s="7">
        <v>7.5999999999999998E-2</v>
      </c>
      <c r="S364" s="7">
        <v>7.6689999999999996</v>
      </c>
      <c r="T364" s="7">
        <v>3.5910000000000002</v>
      </c>
      <c r="U364" s="7">
        <v>4.3520000000000003</v>
      </c>
      <c r="V364" s="7">
        <v>0.24399999999999999</v>
      </c>
      <c r="W364" s="7">
        <v>2.262</v>
      </c>
      <c r="X364" s="7">
        <v>2.57</v>
      </c>
      <c r="Y364" s="7">
        <v>0.113</v>
      </c>
      <c r="Z364" s="7">
        <v>0</v>
      </c>
      <c r="AA364" s="7">
        <v>3.7549999999999999</v>
      </c>
      <c r="AB364" s="7">
        <v>0.375</v>
      </c>
      <c r="AC364" s="7">
        <v>0.50700000000000001</v>
      </c>
      <c r="AD364" s="7">
        <v>0.27500000000000002</v>
      </c>
      <c r="AE364" s="7">
        <v>5.3470000000000004</v>
      </c>
      <c r="AF364" s="7">
        <v>12.34</v>
      </c>
      <c r="AG364" s="7">
        <v>0</v>
      </c>
      <c r="AH364" s="7">
        <v>8.5630000000000006</v>
      </c>
      <c r="AI364" s="7">
        <v>0</v>
      </c>
      <c r="AJ364" s="7">
        <v>2.8490000000000002</v>
      </c>
      <c r="AK364" s="7">
        <v>0.92700000000000005</v>
      </c>
      <c r="AL364" s="7">
        <v>39.527000000000001</v>
      </c>
      <c r="AM364" s="7">
        <v>34.011000000000003</v>
      </c>
      <c r="AN364" s="7">
        <v>0.86</v>
      </c>
      <c r="AO364" s="7">
        <v>21.602</v>
      </c>
      <c r="AP364" s="7">
        <v>5.1609999999999996</v>
      </c>
      <c r="AQ364" s="7">
        <v>12.763999999999999</v>
      </c>
    </row>
    <row r="365" spans="1:43" x14ac:dyDescent="0.25">
      <c r="A365" t="s">
        <v>237</v>
      </c>
      <c r="B365" s="22" t="s">
        <v>8</v>
      </c>
      <c r="C365" t="s">
        <v>283</v>
      </c>
      <c r="D365" s="22" t="s">
        <v>283</v>
      </c>
      <c r="E365" s="21">
        <v>2018</v>
      </c>
      <c r="F365" s="7">
        <v>147.99357392589701</v>
      </c>
      <c r="G365" s="7">
        <v>7.2759999999999998</v>
      </c>
      <c r="H365" s="7">
        <v>1.651</v>
      </c>
      <c r="I365" s="7">
        <v>1.782</v>
      </c>
      <c r="J365" s="7">
        <v>0.64600000000000002</v>
      </c>
      <c r="K365" s="7">
        <v>2.3540000000000001</v>
      </c>
      <c r="L365" s="7">
        <v>0.20499999999999999</v>
      </c>
      <c r="M365" s="7">
        <v>1.619</v>
      </c>
      <c r="N365" s="7">
        <v>0</v>
      </c>
      <c r="O365" s="7">
        <v>0</v>
      </c>
      <c r="P365" s="7">
        <v>3.0640000000000001</v>
      </c>
      <c r="Q365" s="7">
        <v>0.77800000000000002</v>
      </c>
      <c r="R365" s="7">
        <v>7.6999999999999999E-2</v>
      </c>
      <c r="S365" s="7">
        <v>8.0640000000000001</v>
      </c>
      <c r="T365" s="7">
        <v>3.9350000000000001</v>
      </c>
      <c r="U365" s="7">
        <v>4.7960000000000003</v>
      </c>
      <c r="V365" s="7">
        <v>0.25800000000000001</v>
      </c>
      <c r="W365" s="7">
        <v>2.3149999999999999</v>
      </c>
      <c r="X365" s="7">
        <v>2.7149999999999999</v>
      </c>
      <c r="Y365" s="7">
        <v>9.8000000000000004E-2</v>
      </c>
      <c r="Z365" s="7">
        <v>0</v>
      </c>
      <c r="AA365" s="7">
        <v>3.9969999999999999</v>
      </c>
      <c r="AB365" s="7">
        <v>0.41199999999999998</v>
      </c>
      <c r="AC365" s="7">
        <v>0.505</v>
      </c>
      <c r="AD365" s="7">
        <v>0.37</v>
      </c>
      <c r="AE365" s="7">
        <v>5.2110000000000003</v>
      </c>
      <c r="AF365" s="7">
        <v>14.153</v>
      </c>
      <c r="AG365" s="7">
        <v>0</v>
      </c>
      <c r="AH365" s="7">
        <v>9.702</v>
      </c>
      <c r="AI365" s="7">
        <v>0</v>
      </c>
      <c r="AJ365" s="7">
        <v>3.2370000000000001</v>
      </c>
      <c r="AK365" s="7">
        <v>1.405</v>
      </c>
      <c r="AL365" s="7">
        <v>41.633000000000003</v>
      </c>
      <c r="AM365" s="7">
        <v>37.587000000000003</v>
      </c>
      <c r="AN365" s="7">
        <v>0.90300000000000002</v>
      </c>
      <c r="AO365" s="7">
        <v>23.036000000000001</v>
      </c>
      <c r="AP365" s="7">
        <v>4.6829999999999998</v>
      </c>
      <c r="AQ365" s="7">
        <v>13.914</v>
      </c>
    </row>
    <row r="366" spans="1:43" x14ac:dyDescent="0.25">
      <c r="A366" t="s">
        <v>238</v>
      </c>
      <c r="B366" s="22" t="s">
        <v>825</v>
      </c>
      <c r="C366" t="s">
        <v>283</v>
      </c>
      <c r="D366" s="22" t="s">
        <v>286</v>
      </c>
      <c r="E366" s="21">
        <v>2018</v>
      </c>
      <c r="F366" s="7">
        <v>101.986746142112</v>
      </c>
      <c r="G366" s="7">
        <v>5.5910000000000002</v>
      </c>
      <c r="H366" s="7">
        <v>1.431</v>
      </c>
      <c r="I366" s="7">
        <v>1.1879999999999999</v>
      </c>
      <c r="J366" s="7">
        <v>0.375</v>
      </c>
      <c r="K366" s="7">
        <v>1.2330000000000001</v>
      </c>
      <c r="L366" s="7">
        <v>0</v>
      </c>
      <c r="M366" s="7">
        <v>1.117</v>
      </c>
      <c r="N366" s="7">
        <v>0</v>
      </c>
      <c r="O366" s="7">
        <v>0</v>
      </c>
      <c r="P366" s="7">
        <v>2.6240000000000001</v>
      </c>
      <c r="Q366" s="7">
        <v>0.41499999999999998</v>
      </c>
      <c r="R366" s="7">
        <v>6.2E-2</v>
      </c>
      <c r="S366" s="7">
        <v>5.59</v>
      </c>
      <c r="T366" s="7">
        <v>2.54</v>
      </c>
      <c r="U366" s="7">
        <v>3.0019999999999998</v>
      </c>
      <c r="V366" s="7">
        <v>0.17799999999999999</v>
      </c>
      <c r="W366" s="7">
        <v>1.7609999999999999</v>
      </c>
      <c r="X366" s="7">
        <v>1.905</v>
      </c>
      <c r="Y366" s="7">
        <v>8.6999999999999994E-2</v>
      </c>
      <c r="Z366" s="7">
        <v>0</v>
      </c>
      <c r="AA366" s="7">
        <v>5.0960000000000001</v>
      </c>
      <c r="AB366" s="7">
        <v>0.42299999999999999</v>
      </c>
      <c r="AC366" s="7">
        <v>0.23799999999999999</v>
      </c>
      <c r="AD366" s="7">
        <v>0.14799999999999999</v>
      </c>
      <c r="AE366" s="7">
        <v>3.371</v>
      </c>
      <c r="AF366" s="7">
        <v>7.5759999999999996</v>
      </c>
      <c r="AG366" s="7">
        <v>0</v>
      </c>
      <c r="AH366" s="7">
        <v>7.3860000000000001</v>
      </c>
      <c r="AI366" s="7">
        <v>0</v>
      </c>
      <c r="AJ366" s="7">
        <v>2.3679999999999999</v>
      </c>
      <c r="AK366" s="7">
        <v>1.167</v>
      </c>
      <c r="AL366" s="7">
        <v>29.099</v>
      </c>
      <c r="AM366" s="7">
        <v>26.606000000000002</v>
      </c>
      <c r="AN366" s="7">
        <v>0.91400000000000003</v>
      </c>
      <c r="AO366" s="7">
        <v>15.54</v>
      </c>
      <c r="AP366" s="7">
        <v>3.7410000000000001</v>
      </c>
      <c r="AQ366" s="7">
        <v>9.8179999999999996</v>
      </c>
    </row>
    <row r="367" spans="1:43" x14ac:dyDescent="0.25">
      <c r="A367" t="s">
        <v>239</v>
      </c>
      <c r="B367" s="22" t="s">
        <v>825</v>
      </c>
      <c r="C367" t="s">
        <v>283</v>
      </c>
      <c r="D367" s="22" t="s">
        <v>286</v>
      </c>
      <c r="E367" s="21">
        <v>2018</v>
      </c>
      <c r="F367" s="7">
        <v>145.794410567548</v>
      </c>
      <c r="G367" s="7">
        <v>8.2460000000000004</v>
      </c>
      <c r="H367" s="7">
        <v>2.3639999999999999</v>
      </c>
      <c r="I367" s="7">
        <v>1.84</v>
      </c>
      <c r="J367" s="7">
        <v>0.502</v>
      </c>
      <c r="K367" s="7">
        <v>1.8169999999999999</v>
      </c>
      <c r="L367" s="7">
        <v>0</v>
      </c>
      <c r="M367" s="7">
        <v>1.552</v>
      </c>
      <c r="N367" s="7">
        <v>0</v>
      </c>
      <c r="O367" s="7">
        <v>0</v>
      </c>
      <c r="P367" s="7">
        <v>3.964</v>
      </c>
      <c r="Q367" s="7">
        <v>0.71299999999999997</v>
      </c>
      <c r="R367" s="7">
        <v>7.3999999999999996E-2</v>
      </c>
      <c r="S367" s="7">
        <v>8.266</v>
      </c>
      <c r="T367" s="7">
        <v>3.6640000000000001</v>
      </c>
      <c r="U367" s="7">
        <v>4.6120000000000001</v>
      </c>
      <c r="V367" s="7">
        <v>0.24199999999999999</v>
      </c>
      <c r="W367" s="7">
        <v>2.5259999999999998</v>
      </c>
      <c r="X367" s="7">
        <v>2.8170000000000002</v>
      </c>
      <c r="Y367" s="7">
        <v>0.122</v>
      </c>
      <c r="Z367" s="7">
        <v>0</v>
      </c>
      <c r="AA367" s="7">
        <v>10.856999999999999</v>
      </c>
      <c r="AB367" s="7">
        <v>0.59699999999999998</v>
      </c>
      <c r="AC367" s="7">
        <v>0.37</v>
      </c>
      <c r="AD367" s="7">
        <v>0.17799999999999999</v>
      </c>
      <c r="AE367" s="7">
        <v>3.8969999999999998</v>
      </c>
      <c r="AF367" s="7">
        <v>10.996</v>
      </c>
      <c r="AG367" s="7">
        <v>0</v>
      </c>
      <c r="AH367" s="7">
        <v>7.335</v>
      </c>
      <c r="AI367" s="7">
        <v>0</v>
      </c>
      <c r="AJ367" s="7">
        <v>3.7759999999999998</v>
      </c>
      <c r="AK367" s="7">
        <v>1.272</v>
      </c>
      <c r="AL367" s="7">
        <v>43.320999999999998</v>
      </c>
      <c r="AM367" s="7">
        <v>38.006</v>
      </c>
      <c r="AN367" s="7">
        <v>0.877</v>
      </c>
      <c r="AO367" s="7">
        <v>23.036000000000001</v>
      </c>
      <c r="AP367" s="7">
        <v>5.516</v>
      </c>
      <c r="AQ367" s="7">
        <v>14.769</v>
      </c>
    </row>
    <row r="368" spans="1:43" x14ac:dyDescent="0.25">
      <c r="A368" t="s">
        <v>240</v>
      </c>
      <c r="B368" s="22" t="s">
        <v>825</v>
      </c>
      <c r="C368" t="s">
        <v>283</v>
      </c>
      <c r="D368" s="22" t="s">
        <v>286</v>
      </c>
      <c r="E368" s="21">
        <v>2018</v>
      </c>
      <c r="F368" s="7">
        <v>180.513587945008</v>
      </c>
      <c r="G368" s="7">
        <v>8.5960000000000001</v>
      </c>
      <c r="H368" s="7">
        <v>2.1880000000000002</v>
      </c>
      <c r="I368" s="7">
        <v>1.863</v>
      </c>
      <c r="J368" s="7">
        <v>0.82799999999999996</v>
      </c>
      <c r="K368" s="7">
        <v>2.044</v>
      </c>
      <c r="L368" s="7">
        <v>0</v>
      </c>
      <c r="M368" s="7">
        <v>1.823</v>
      </c>
      <c r="N368" s="7">
        <v>0.22</v>
      </c>
      <c r="O368" s="7">
        <v>0</v>
      </c>
      <c r="P368" s="7">
        <v>3.8940000000000001</v>
      </c>
      <c r="Q368" s="7">
        <v>0.76200000000000001</v>
      </c>
      <c r="R368" s="7">
        <v>6.4000000000000001E-2</v>
      </c>
      <c r="S368" s="7">
        <v>9.1240000000000006</v>
      </c>
      <c r="T368" s="7">
        <v>4.5880000000000001</v>
      </c>
      <c r="U368" s="7">
        <v>5.1779999999999999</v>
      </c>
      <c r="V368" s="7">
        <v>0.31900000000000001</v>
      </c>
      <c r="W368" s="7">
        <v>2.8450000000000002</v>
      </c>
      <c r="X368" s="7">
        <v>3.0510000000000002</v>
      </c>
      <c r="Y368" s="7">
        <v>0.14799999999999999</v>
      </c>
      <c r="Z368" s="7">
        <v>0</v>
      </c>
      <c r="AA368" s="7">
        <v>11.622</v>
      </c>
      <c r="AB368" s="7">
        <v>0.61399999999999999</v>
      </c>
      <c r="AC368" s="7">
        <v>0.58899999999999997</v>
      </c>
      <c r="AD368" s="7">
        <v>0.23499999999999999</v>
      </c>
      <c r="AE368" s="7">
        <v>7.8689999999999998</v>
      </c>
      <c r="AF368" s="7">
        <v>15.266999999999999</v>
      </c>
      <c r="AG368" s="7">
        <v>0</v>
      </c>
      <c r="AH368" s="7">
        <v>11.925000000000001</v>
      </c>
      <c r="AI368" s="7">
        <v>0</v>
      </c>
      <c r="AJ368" s="7">
        <v>4.5380000000000003</v>
      </c>
      <c r="AK368" s="7">
        <v>2.2869999999999999</v>
      </c>
      <c r="AL368" s="7">
        <v>47.534999999999997</v>
      </c>
      <c r="AM368" s="7">
        <v>52.658999999999999</v>
      </c>
      <c r="AN368" s="7">
        <v>1.1080000000000001</v>
      </c>
      <c r="AO368" s="7">
        <v>26.079000000000001</v>
      </c>
      <c r="AP368" s="7">
        <v>5.9370000000000003</v>
      </c>
      <c r="AQ368" s="7">
        <v>15.519</v>
      </c>
    </row>
    <row r="369" spans="1:43" x14ac:dyDescent="0.25">
      <c r="A369" t="s">
        <v>241</v>
      </c>
      <c r="B369" s="22" t="s">
        <v>825</v>
      </c>
      <c r="C369" t="s">
        <v>283</v>
      </c>
      <c r="D369" s="22" t="s">
        <v>286</v>
      </c>
      <c r="E369" s="21">
        <v>2018</v>
      </c>
      <c r="F369" s="7">
        <v>159.78207266630599</v>
      </c>
      <c r="G369" s="7">
        <v>8.42</v>
      </c>
      <c r="H369" s="7">
        <v>2.6019999999999999</v>
      </c>
      <c r="I369" s="7">
        <v>2.0499999999999998</v>
      </c>
      <c r="J369" s="7">
        <v>0.71599999999999997</v>
      </c>
      <c r="K369" s="7">
        <v>2.12</v>
      </c>
      <c r="L369" s="7">
        <v>0.29899999999999999</v>
      </c>
      <c r="M369" s="7">
        <v>1.657</v>
      </c>
      <c r="N369" s="7">
        <v>0</v>
      </c>
      <c r="O369" s="7">
        <v>0</v>
      </c>
      <c r="P369" s="7">
        <v>4.1909999999999998</v>
      </c>
      <c r="Q369" s="7">
        <v>0.68</v>
      </c>
      <c r="R369" s="7">
        <v>0.17699999999999999</v>
      </c>
      <c r="S369" s="7">
        <v>7.4859999999999998</v>
      </c>
      <c r="T369" s="7">
        <v>3.944</v>
      </c>
      <c r="U369" s="7">
        <v>4.5579999999999998</v>
      </c>
      <c r="V369" s="7">
        <v>0.36</v>
      </c>
      <c r="W369" s="7">
        <v>2.448</v>
      </c>
      <c r="X369" s="7">
        <v>2.7080000000000002</v>
      </c>
      <c r="Y369" s="7">
        <v>0.125</v>
      </c>
      <c r="Z369" s="7">
        <v>0</v>
      </c>
      <c r="AA369" s="7">
        <v>7.6660000000000004</v>
      </c>
      <c r="AB369" s="7">
        <v>0.92300000000000004</v>
      </c>
      <c r="AC369" s="7">
        <v>0.52300000000000002</v>
      </c>
      <c r="AD369" s="7">
        <v>0.252</v>
      </c>
      <c r="AE369" s="7">
        <v>5.1180000000000003</v>
      </c>
      <c r="AF369" s="7">
        <v>13.375</v>
      </c>
      <c r="AG369" s="7">
        <v>0</v>
      </c>
      <c r="AH369" s="7">
        <v>12.132999999999999</v>
      </c>
      <c r="AI369" s="7">
        <v>0</v>
      </c>
      <c r="AJ369" s="7">
        <v>4.1260000000000003</v>
      </c>
      <c r="AK369" s="7">
        <v>2.113</v>
      </c>
      <c r="AL369" s="7">
        <v>44.540999999999997</v>
      </c>
      <c r="AM369" s="7">
        <v>44.116</v>
      </c>
      <c r="AN369" s="7">
        <v>0.99</v>
      </c>
      <c r="AO369" s="7">
        <v>22.486000000000001</v>
      </c>
      <c r="AP369" s="7">
        <v>5.8479999999999999</v>
      </c>
      <c r="AQ369" s="7">
        <v>16.207000000000001</v>
      </c>
    </row>
    <row r="370" spans="1:43" x14ac:dyDescent="0.25">
      <c r="A370" t="s">
        <v>264</v>
      </c>
      <c r="B370" s="22" t="s">
        <v>826</v>
      </c>
      <c r="C370" t="s">
        <v>283</v>
      </c>
      <c r="D370" s="22" t="s">
        <v>286</v>
      </c>
      <c r="E370" s="21">
        <v>2018</v>
      </c>
      <c r="F370" s="7">
        <v>169.49779618334799</v>
      </c>
      <c r="G370" s="7">
        <v>7.9509999999999996</v>
      </c>
      <c r="H370" s="7">
        <v>2.4060000000000001</v>
      </c>
      <c r="I370" s="7">
        <v>1.675</v>
      </c>
      <c r="J370" s="7">
        <v>0.502</v>
      </c>
      <c r="K370" s="7">
        <v>2.9350000000000001</v>
      </c>
      <c r="L370" s="7">
        <v>0</v>
      </c>
      <c r="M370" s="7">
        <v>1.6419999999999999</v>
      </c>
      <c r="N370" s="7">
        <v>0</v>
      </c>
      <c r="O370" s="7">
        <v>0</v>
      </c>
      <c r="P370" s="7">
        <v>3.456</v>
      </c>
      <c r="Q370" s="7">
        <v>0.71899999999999997</v>
      </c>
      <c r="R370" s="7">
        <v>4.5999999999999999E-2</v>
      </c>
      <c r="S370" s="7">
        <v>7.6909999999999998</v>
      </c>
      <c r="T370" s="7">
        <v>4.0259999999999998</v>
      </c>
      <c r="U370" s="7">
        <v>5.3949999999999996</v>
      </c>
      <c r="V370" s="7">
        <v>0.26300000000000001</v>
      </c>
      <c r="W370" s="7">
        <v>2.5230000000000001</v>
      </c>
      <c r="X370" s="7">
        <v>3.274</v>
      </c>
      <c r="Y370" s="7">
        <v>9.8000000000000004E-2</v>
      </c>
      <c r="Z370" s="7">
        <v>0</v>
      </c>
      <c r="AA370" s="7">
        <v>8.0809999999999995</v>
      </c>
      <c r="AB370" s="7">
        <v>0.625</v>
      </c>
      <c r="AC370" s="7">
        <v>0.43</v>
      </c>
      <c r="AD370" s="7">
        <v>0.155</v>
      </c>
      <c r="AE370" s="7">
        <v>7.5209999999999999</v>
      </c>
      <c r="AF370" s="7">
        <v>19.231000000000002</v>
      </c>
      <c r="AG370" s="7">
        <v>0</v>
      </c>
      <c r="AH370" s="7">
        <v>13.468</v>
      </c>
      <c r="AI370" s="7">
        <v>0</v>
      </c>
      <c r="AJ370" s="7">
        <v>2.472</v>
      </c>
      <c r="AK370" s="7">
        <v>1.6439999999999999</v>
      </c>
      <c r="AL370" s="7">
        <v>44.601999999999997</v>
      </c>
      <c r="AM370" s="7">
        <v>51.982999999999997</v>
      </c>
      <c r="AN370" s="7">
        <v>1.165</v>
      </c>
      <c r="AO370" s="7">
        <v>24.035</v>
      </c>
      <c r="AP370" s="7">
        <v>5.0979999999999999</v>
      </c>
      <c r="AQ370" s="7">
        <v>15.468999999999999</v>
      </c>
    </row>
    <row r="371" spans="1:43" x14ac:dyDescent="0.25">
      <c r="A371" t="s">
        <v>242</v>
      </c>
      <c r="B371" s="22" t="s">
        <v>826</v>
      </c>
      <c r="C371" t="s">
        <v>283</v>
      </c>
      <c r="D371" s="22" t="s">
        <v>286</v>
      </c>
      <c r="E371" s="21">
        <v>2018</v>
      </c>
      <c r="F371" s="7">
        <v>178.61007481348801</v>
      </c>
      <c r="G371" s="7">
        <v>7.9370000000000003</v>
      </c>
      <c r="H371" s="7">
        <v>2.3820000000000001</v>
      </c>
      <c r="I371" s="7">
        <v>1.9630000000000001</v>
      </c>
      <c r="J371" s="7">
        <v>0.83499999999999996</v>
      </c>
      <c r="K371" s="7">
        <v>2.3159999999999998</v>
      </c>
      <c r="L371" s="7">
        <v>0.19800000000000001</v>
      </c>
      <c r="M371" s="7">
        <v>1.7669999999999999</v>
      </c>
      <c r="N371" s="7">
        <v>0</v>
      </c>
      <c r="O371" s="7">
        <v>0</v>
      </c>
      <c r="P371" s="7">
        <v>3.4079999999999999</v>
      </c>
      <c r="Q371" s="7">
        <v>0.63300000000000001</v>
      </c>
      <c r="R371" s="7">
        <v>4.5999999999999999E-2</v>
      </c>
      <c r="S371" s="7">
        <v>7.3449999999999998</v>
      </c>
      <c r="T371" s="7">
        <v>4.2489999999999997</v>
      </c>
      <c r="U371" s="7">
        <v>5.1509999999999998</v>
      </c>
      <c r="V371" s="7">
        <v>0.251</v>
      </c>
      <c r="W371" s="7">
        <v>2.4769999999999999</v>
      </c>
      <c r="X371" s="7">
        <v>3.1640000000000001</v>
      </c>
      <c r="Y371" s="7">
        <v>0.14499999999999999</v>
      </c>
      <c r="Z371" s="7">
        <v>0</v>
      </c>
      <c r="AA371" s="7">
        <v>7.13</v>
      </c>
      <c r="AB371" s="7">
        <v>0.61799999999999999</v>
      </c>
      <c r="AC371" s="7">
        <v>0.53700000000000003</v>
      </c>
      <c r="AD371" s="7">
        <v>0.24199999999999999</v>
      </c>
      <c r="AE371" s="7">
        <v>10.28</v>
      </c>
      <c r="AF371" s="7">
        <v>16.812000000000001</v>
      </c>
      <c r="AG371" s="7">
        <v>0</v>
      </c>
      <c r="AH371" s="7">
        <v>13.058999999999999</v>
      </c>
      <c r="AI371" s="7">
        <v>0</v>
      </c>
      <c r="AJ371" s="7">
        <v>3.964</v>
      </c>
      <c r="AK371" s="7">
        <v>2.2599999999999998</v>
      </c>
      <c r="AL371" s="7">
        <v>44.267000000000003</v>
      </c>
      <c r="AM371" s="7">
        <v>52.642000000000003</v>
      </c>
      <c r="AN371" s="7">
        <v>1.1890000000000001</v>
      </c>
      <c r="AO371" s="7">
        <v>23.460999999999999</v>
      </c>
      <c r="AP371" s="7">
        <v>5.1749999999999998</v>
      </c>
      <c r="AQ371" s="7">
        <v>15.631</v>
      </c>
    </row>
    <row r="372" spans="1:43" x14ac:dyDescent="0.25">
      <c r="A372" t="s">
        <v>243</v>
      </c>
      <c r="B372" s="22" t="s">
        <v>826</v>
      </c>
      <c r="C372" t="s">
        <v>283</v>
      </c>
      <c r="D372" s="22" t="s">
        <v>286</v>
      </c>
      <c r="E372" s="21">
        <v>2018</v>
      </c>
      <c r="F372" s="7">
        <v>132.63989691506001</v>
      </c>
      <c r="G372" s="7">
        <v>6.8259999999999996</v>
      </c>
      <c r="H372" s="7">
        <v>2.06</v>
      </c>
      <c r="I372" s="7">
        <v>1.6060000000000001</v>
      </c>
      <c r="J372" s="7">
        <v>0.51700000000000002</v>
      </c>
      <c r="K372" s="7">
        <v>2.41</v>
      </c>
      <c r="L372" s="7">
        <v>0</v>
      </c>
      <c r="M372" s="7">
        <v>1.524</v>
      </c>
      <c r="N372" s="7">
        <v>0.16600000000000001</v>
      </c>
      <c r="O372" s="7">
        <v>0</v>
      </c>
      <c r="P372" s="7">
        <v>3.3420000000000001</v>
      </c>
      <c r="Q372" s="7">
        <v>0.58799999999999997</v>
      </c>
      <c r="R372" s="7">
        <v>0</v>
      </c>
      <c r="S372" s="7">
        <v>6.3840000000000003</v>
      </c>
      <c r="T372" s="7">
        <v>3.8559999999999999</v>
      </c>
      <c r="U372" s="7">
        <v>4.8259999999999996</v>
      </c>
      <c r="V372" s="7">
        <v>0.22600000000000001</v>
      </c>
      <c r="W372" s="7">
        <v>2.1360000000000001</v>
      </c>
      <c r="X372" s="7">
        <v>2.78</v>
      </c>
      <c r="Y372" s="7">
        <v>9.6000000000000002E-2</v>
      </c>
      <c r="Z372" s="7">
        <v>0</v>
      </c>
      <c r="AA372" s="7">
        <v>5.516</v>
      </c>
      <c r="AB372" s="7">
        <v>0</v>
      </c>
      <c r="AC372" s="7">
        <v>0.85699999999999998</v>
      </c>
      <c r="AD372" s="7">
        <v>0.24399999999999999</v>
      </c>
      <c r="AE372" s="7">
        <v>4.681</v>
      </c>
      <c r="AF372" s="7">
        <v>12.532</v>
      </c>
      <c r="AG372" s="7">
        <v>0</v>
      </c>
      <c r="AH372" s="7">
        <v>9.6180000000000003</v>
      </c>
      <c r="AI372" s="7">
        <v>0</v>
      </c>
      <c r="AJ372" s="7">
        <v>2.6640000000000001</v>
      </c>
      <c r="AK372" s="7">
        <v>0.94699999999999995</v>
      </c>
      <c r="AL372" s="7">
        <v>39.343000000000004</v>
      </c>
      <c r="AM372" s="7">
        <v>36.112000000000002</v>
      </c>
      <c r="AN372" s="7">
        <v>0.91800000000000004</v>
      </c>
      <c r="AO372" s="7">
        <v>20.891999999999999</v>
      </c>
      <c r="AP372" s="7">
        <v>5.032</v>
      </c>
      <c r="AQ372" s="7">
        <v>13.419</v>
      </c>
    </row>
    <row r="373" spans="1:43" x14ac:dyDescent="0.25">
      <c r="A373" t="s">
        <v>244</v>
      </c>
      <c r="B373" s="22" t="s">
        <v>826</v>
      </c>
      <c r="C373" t="s">
        <v>283</v>
      </c>
      <c r="D373" s="22" t="s">
        <v>286</v>
      </c>
      <c r="E373" s="21">
        <v>2018</v>
      </c>
      <c r="F373" s="7">
        <v>195.789967142759</v>
      </c>
      <c r="G373" s="7">
        <v>8.5289999999999999</v>
      </c>
      <c r="H373" s="7">
        <v>2.089</v>
      </c>
      <c r="I373" s="7">
        <v>2.3620000000000001</v>
      </c>
      <c r="J373" s="7">
        <v>0.67900000000000005</v>
      </c>
      <c r="K373" s="7">
        <v>3.2029999999999998</v>
      </c>
      <c r="L373" s="7">
        <v>0.27700000000000002</v>
      </c>
      <c r="M373" s="7">
        <v>1.9550000000000001</v>
      </c>
      <c r="N373" s="7">
        <v>0.19</v>
      </c>
      <c r="O373" s="7">
        <v>0</v>
      </c>
      <c r="P373" s="7">
        <v>4.0389999999999997</v>
      </c>
      <c r="Q373" s="7">
        <v>0.83399999999999996</v>
      </c>
      <c r="R373" s="7">
        <v>4.7E-2</v>
      </c>
      <c r="S373" s="7">
        <v>8.3740000000000006</v>
      </c>
      <c r="T373" s="7">
        <v>5.2089999999999996</v>
      </c>
      <c r="U373" s="7">
        <v>6.61</v>
      </c>
      <c r="V373" s="7">
        <v>0.29399999999999998</v>
      </c>
      <c r="W373" s="7">
        <v>2.72</v>
      </c>
      <c r="X373" s="7">
        <v>3.786</v>
      </c>
      <c r="Y373" s="7">
        <v>0.13</v>
      </c>
      <c r="Z373" s="7">
        <v>0</v>
      </c>
      <c r="AA373" s="7">
        <v>9.0150000000000006</v>
      </c>
      <c r="AB373" s="7">
        <v>0.46899999999999997</v>
      </c>
      <c r="AC373" s="7">
        <v>0.77800000000000002</v>
      </c>
      <c r="AD373" s="7">
        <v>0.26</v>
      </c>
      <c r="AE373" s="7">
        <v>9.6210000000000004</v>
      </c>
      <c r="AF373" s="7">
        <v>22.475999999999999</v>
      </c>
      <c r="AG373" s="7">
        <v>0</v>
      </c>
      <c r="AH373" s="7">
        <v>13.827</v>
      </c>
      <c r="AI373" s="7">
        <v>0</v>
      </c>
      <c r="AJ373" s="7">
        <v>3.1230000000000002</v>
      </c>
      <c r="AK373" s="7">
        <v>1.738</v>
      </c>
      <c r="AL373" s="7">
        <v>51.326999999999998</v>
      </c>
      <c r="AM373" s="7">
        <v>59.569000000000003</v>
      </c>
      <c r="AN373" s="7">
        <v>1.161</v>
      </c>
      <c r="AO373" s="7">
        <v>28.004000000000001</v>
      </c>
      <c r="AP373" s="7">
        <v>6.1840000000000002</v>
      </c>
      <c r="AQ373" s="7">
        <v>17.138999999999999</v>
      </c>
    </row>
    <row r="374" spans="1:43" x14ac:dyDescent="0.25">
      <c r="A374" t="s">
        <v>245</v>
      </c>
      <c r="B374" s="22" t="s">
        <v>824</v>
      </c>
      <c r="C374" t="s">
        <v>283</v>
      </c>
      <c r="D374" s="22" t="s">
        <v>286</v>
      </c>
      <c r="E374" s="21">
        <v>2018</v>
      </c>
      <c r="F374" s="7">
        <v>134.27123176157201</v>
      </c>
      <c r="G374" s="7">
        <v>7.202</v>
      </c>
      <c r="H374" s="7">
        <v>4.1500000000000004</v>
      </c>
      <c r="I374" s="7">
        <v>1.405</v>
      </c>
      <c r="J374" s="7">
        <v>0.60499999999999998</v>
      </c>
      <c r="K374" s="7">
        <v>2.198</v>
      </c>
      <c r="L374" s="7">
        <v>0</v>
      </c>
      <c r="M374" s="7">
        <v>1.5860000000000001</v>
      </c>
      <c r="N374" s="7">
        <v>0</v>
      </c>
      <c r="O374" s="7">
        <v>0</v>
      </c>
      <c r="P374" s="7">
        <v>4.4080000000000004</v>
      </c>
      <c r="Q374" s="7">
        <v>0.48799999999999999</v>
      </c>
      <c r="R374" s="7">
        <v>0</v>
      </c>
      <c r="S374" s="7">
        <v>5.3840000000000003</v>
      </c>
      <c r="T374" s="7">
        <v>2.9750000000000001</v>
      </c>
      <c r="U374" s="7">
        <v>4.5149999999999997</v>
      </c>
      <c r="V374" s="7">
        <v>0.20200000000000001</v>
      </c>
      <c r="W374" s="7">
        <v>2.2549999999999999</v>
      </c>
      <c r="X374" s="7">
        <v>2.7389999999999999</v>
      </c>
      <c r="Y374" s="7">
        <v>0.10100000000000001</v>
      </c>
      <c r="Z374" s="7">
        <v>0</v>
      </c>
      <c r="AA374" s="7">
        <v>11.138</v>
      </c>
      <c r="AB374" s="7">
        <v>0.56100000000000005</v>
      </c>
      <c r="AC374" s="7">
        <v>0.34</v>
      </c>
      <c r="AD374" s="7">
        <v>0.106</v>
      </c>
      <c r="AE374" s="7">
        <v>3.8109999999999999</v>
      </c>
      <c r="AF374" s="7">
        <v>11.154999999999999</v>
      </c>
      <c r="AG374" s="7">
        <v>0</v>
      </c>
      <c r="AH374" s="7">
        <v>10.061999999999999</v>
      </c>
      <c r="AI374" s="7">
        <v>0</v>
      </c>
      <c r="AJ374" s="7">
        <v>1.9730000000000001</v>
      </c>
      <c r="AK374" s="7">
        <v>2.798</v>
      </c>
      <c r="AL374" s="7">
        <v>40.213000000000001</v>
      </c>
      <c r="AM374" s="7">
        <v>39.146000000000001</v>
      </c>
      <c r="AN374" s="7">
        <v>0.97299999999999998</v>
      </c>
      <c r="AO374" s="7">
        <v>18.658999999999999</v>
      </c>
      <c r="AP374" s="7">
        <v>5.9939999999999998</v>
      </c>
      <c r="AQ374" s="7">
        <v>15.56</v>
      </c>
    </row>
    <row r="375" spans="1:43" x14ac:dyDescent="0.25">
      <c r="A375" t="s">
        <v>246</v>
      </c>
      <c r="B375" s="22" t="s">
        <v>824</v>
      </c>
      <c r="C375" t="s">
        <v>283</v>
      </c>
      <c r="D375" s="22" t="s">
        <v>286</v>
      </c>
      <c r="E375" s="21">
        <v>2018</v>
      </c>
      <c r="F375" s="7">
        <v>169.31450367223599</v>
      </c>
      <c r="G375" s="7">
        <v>9.2070000000000007</v>
      </c>
      <c r="H375" s="7">
        <v>4.6630000000000003</v>
      </c>
      <c r="I375" s="7">
        <v>1.7949999999999999</v>
      </c>
      <c r="J375" s="7">
        <v>0.85399999999999998</v>
      </c>
      <c r="K375" s="7">
        <v>3.4940000000000002</v>
      </c>
      <c r="L375" s="7">
        <v>0.17199999999999999</v>
      </c>
      <c r="M375" s="7">
        <v>1.96</v>
      </c>
      <c r="N375" s="7">
        <v>0</v>
      </c>
      <c r="O375" s="7">
        <v>0</v>
      </c>
      <c r="P375" s="7">
        <v>4.7809999999999997</v>
      </c>
      <c r="Q375" s="7">
        <v>0.67800000000000005</v>
      </c>
      <c r="R375" s="7">
        <v>0</v>
      </c>
      <c r="S375" s="7">
        <v>6.9820000000000002</v>
      </c>
      <c r="T375" s="7">
        <v>3.8940000000000001</v>
      </c>
      <c r="U375" s="7">
        <v>5.8769999999999998</v>
      </c>
      <c r="V375" s="7">
        <v>0.28100000000000003</v>
      </c>
      <c r="W375" s="7">
        <v>2.8610000000000002</v>
      </c>
      <c r="X375" s="7">
        <v>3.613</v>
      </c>
      <c r="Y375" s="7">
        <v>0.14699999999999999</v>
      </c>
      <c r="Z375" s="7">
        <v>0</v>
      </c>
      <c r="AA375" s="7">
        <v>10.787000000000001</v>
      </c>
      <c r="AB375" s="7">
        <v>0.56100000000000005</v>
      </c>
      <c r="AC375" s="7">
        <v>0.52600000000000002</v>
      </c>
      <c r="AD375" s="7">
        <v>0.16900000000000001</v>
      </c>
      <c r="AE375" s="7">
        <v>7.1840000000000002</v>
      </c>
      <c r="AF375" s="7">
        <v>14.804</v>
      </c>
      <c r="AG375" s="7">
        <v>0</v>
      </c>
      <c r="AH375" s="7">
        <v>12.62</v>
      </c>
      <c r="AI375" s="7">
        <v>0</v>
      </c>
      <c r="AJ375" s="7">
        <v>2.7469999999999999</v>
      </c>
      <c r="AK375" s="7">
        <v>1.996</v>
      </c>
      <c r="AL375" s="7">
        <v>51.259</v>
      </c>
      <c r="AM375" s="7">
        <v>49.398000000000003</v>
      </c>
      <c r="AN375" s="7">
        <v>0.96399999999999997</v>
      </c>
      <c r="AO375" s="7">
        <v>24.332999999999998</v>
      </c>
      <c r="AP375" s="7">
        <v>6.7409999999999997</v>
      </c>
      <c r="AQ375" s="7">
        <v>20.184999999999999</v>
      </c>
    </row>
    <row r="376" spans="1:43" x14ac:dyDescent="0.25">
      <c r="A376" t="s">
        <v>247</v>
      </c>
      <c r="B376" s="22" t="s">
        <v>824</v>
      </c>
      <c r="C376" t="s">
        <v>283</v>
      </c>
      <c r="D376" s="22" t="s">
        <v>286</v>
      </c>
      <c r="E376" s="21">
        <v>2018</v>
      </c>
      <c r="F376" s="7">
        <v>167.47402754780799</v>
      </c>
      <c r="G376" s="7">
        <v>8.4979999999999993</v>
      </c>
      <c r="H376" s="7">
        <v>2.77</v>
      </c>
      <c r="I376" s="7">
        <v>1.681</v>
      </c>
      <c r="J376" s="7">
        <v>0.76900000000000002</v>
      </c>
      <c r="K376" s="7">
        <v>3.0840000000000001</v>
      </c>
      <c r="L376" s="7">
        <v>0.17299999999999999</v>
      </c>
      <c r="M376" s="7">
        <v>1.956</v>
      </c>
      <c r="N376" s="7">
        <v>0.17899999999999999</v>
      </c>
      <c r="O376" s="7">
        <v>0</v>
      </c>
      <c r="P376" s="7">
        <v>4.3739999999999997</v>
      </c>
      <c r="Q376" s="7">
        <v>0.63400000000000001</v>
      </c>
      <c r="R376" s="7">
        <v>4.4999999999999998E-2</v>
      </c>
      <c r="S376" s="7">
        <v>6.952</v>
      </c>
      <c r="T376" s="7">
        <v>4.1269999999999998</v>
      </c>
      <c r="U376" s="7">
        <v>5.0049999999999999</v>
      </c>
      <c r="V376" s="7">
        <v>0.23899999999999999</v>
      </c>
      <c r="W376" s="7">
        <v>2.5230000000000001</v>
      </c>
      <c r="X376" s="7">
        <v>3.0870000000000002</v>
      </c>
      <c r="Y376" s="7">
        <v>0.13300000000000001</v>
      </c>
      <c r="Z376" s="7">
        <v>0</v>
      </c>
      <c r="AA376" s="7">
        <v>12.176</v>
      </c>
      <c r="AB376" s="7">
        <v>0.48899999999999999</v>
      </c>
      <c r="AC376" s="7">
        <v>0.53400000000000003</v>
      </c>
      <c r="AD376" s="7">
        <v>0.215</v>
      </c>
      <c r="AE376" s="7">
        <v>6.7759999999999998</v>
      </c>
      <c r="AF376" s="7">
        <v>14.422000000000001</v>
      </c>
      <c r="AG376" s="7">
        <v>0</v>
      </c>
      <c r="AH376" s="7">
        <v>12.205</v>
      </c>
      <c r="AI376" s="7">
        <v>0</v>
      </c>
      <c r="AJ376" s="7">
        <v>3.1190000000000002</v>
      </c>
      <c r="AK376" s="7">
        <v>2.1970000000000001</v>
      </c>
      <c r="AL376" s="7">
        <v>46.228999999999999</v>
      </c>
      <c r="AM376" s="7">
        <v>49.936</v>
      </c>
      <c r="AN376" s="7">
        <v>1.08</v>
      </c>
      <c r="AO376" s="7">
        <v>22.745000000000001</v>
      </c>
      <c r="AP376" s="7">
        <v>6.5090000000000003</v>
      </c>
      <c r="AQ376" s="7">
        <v>16.975000000000001</v>
      </c>
    </row>
    <row r="377" spans="1:43" x14ac:dyDescent="0.25">
      <c r="A377" t="s">
        <v>248</v>
      </c>
      <c r="B377" s="22" t="s">
        <v>824</v>
      </c>
      <c r="C377" t="s">
        <v>283</v>
      </c>
      <c r="D377" s="22" t="s">
        <v>286</v>
      </c>
      <c r="E377" s="21">
        <v>2018</v>
      </c>
      <c r="F377" s="7">
        <v>144.16752290640201</v>
      </c>
      <c r="G377" s="7">
        <v>7.4169999999999998</v>
      </c>
      <c r="H377" s="7">
        <v>2.883</v>
      </c>
      <c r="I377" s="7">
        <v>1.6359999999999999</v>
      </c>
      <c r="J377" s="7">
        <v>0.73599999999999999</v>
      </c>
      <c r="K377" s="7">
        <v>2.899</v>
      </c>
      <c r="L377" s="7">
        <v>0.20100000000000001</v>
      </c>
      <c r="M377" s="7">
        <v>1.8220000000000001</v>
      </c>
      <c r="N377" s="7">
        <v>0</v>
      </c>
      <c r="O377" s="7">
        <v>0</v>
      </c>
      <c r="P377" s="7">
        <v>4.2869999999999999</v>
      </c>
      <c r="Q377" s="7">
        <v>0.59499999999999997</v>
      </c>
      <c r="R377" s="7">
        <v>4.2999999999999997E-2</v>
      </c>
      <c r="S377" s="7">
        <v>6.048</v>
      </c>
      <c r="T377" s="7">
        <v>3.6960000000000002</v>
      </c>
      <c r="U377" s="7">
        <v>4.8869999999999996</v>
      </c>
      <c r="V377" s="7">
        <v>0.26600000000000001</v>
      </c>
      <c r="W377" s="7">
        <v>2.3340000000000001</v>
      </c>
      <c r="X377" s="7">
        <v>2.9140000000000001</v>
      </c>
      <c r="Y377" s="7">
        <v>9.5000000000000001E-2</v>
      </c>
      <c r="Z377" s="7">
        <v>0</v>
      </c>
      <c r="AA377" s="7">
        <v>7.9509999999999996</v>
      </c>
      <c r="AB377" s="7">
        <v>0.46700000000000003</v>
      </c>
      <c r="AC377" s="7">
        <v>0.434</v>
      </c>
      <c r="AD377" s="7">
        <v>0.17699999999999999</v>
      </c>
      <c r="AE377" s="7">
        <v>4.9240000000000004</v>
      </c>
      <c r="AF377" s="7">
        <v>13.553000000000001</v>
      </c>
      <c r="AG377" s="7">
        <v>0</v>
      </c>
      <c r="AH377" s="7">
        <v>10.452999999999999</v>
      </c>
      <c r="AI377" s="7">
        <v>0</v>
      </c>
      <c r="AJ377" s="7">
        <v>2.68</v>
      </c>
      <c r="AK377" s="7">
        <v>2.1389999999999998</v>
      </c>
      <c r="AL377" s="7">
        <v>42.759</v>
      </c>
      <c r="AM377" s="7">
        <v>40.639000000000003</v>
      </c>
      <c r="AN377" s="7">
        <v>0.95</v>
      </c>
      <c r="AO377" s="7">
        <v>20.878</v>
      </c>
      <c r="AP377" s="7">
        <v>6.109</v>
      </c>
      <c r="AQ377" s="7">
        <v>15.772</v>
      </c>
    </row>
    <row r="378" spans="1:43" x14ac:dyDescent="0.25">
      <c r="A378" t="s">
        <v>249</v>
      </c>
      <c r="B378" s="22" t="s">
        <v>827</v>
      </c>
      <c r="C378" t="s">
        <v>283</v>
      </c>
      <c r="D378" s="22" t="s">
        <v>286</v>
      </c>
      <c r="E378" s="21">
        <v>2018</v>
      </c>
      <c r="F378" s="7">
        <v>156.40727429299301</v>
      </c>
      <c r="G378" s="7">
        <v>7.4729999999999999</v>
      </c>
      <c r="H378" s="7">
        <v>1.8080000000000001</v>
      </c>
      <c r="I378" s="7">
        <v>1.8260000000000001</v>
      </c>
      <c r="J378" s="7">
        <v>0.69799999999999995</v>
      </c>
      <c r="K378" s="7">
        <v>1.877</v>
      </c>
      <c r="L378" s="7">
        <v>0.23</v>
      </c>
      <c r="M378" s="7">
        <v>1.641</v>
      </c>
      <c r="N378" s="7">
        <v>0</v>
      </c>
      <c r="O378" s="7">
        <v>0</v>
      </c>
      <c r="P378" s="7">
        <v>3.73</v>
      </c>
      <c r="Q378" s="7">
        <v>0.59</v>
      </c>
      <c r="R378" s="7">
        <v>0.154</v>
      </c>
      <c r="S378" s="7">
        <v>7.532</v>
      </c>
      <c r="T378" s="7">
        <v>3.5470000000000002</v>
      </c>
      <c r="U378" s="7">
        <v>4.2350000000000003</v>
      </c>
      <c r="V378" s="7">
        <v>0.39300000000000002</v>
      </c>
      <c r="W378" s="7">
        <v>2.3119999999999998</v>
      </c>
      <c r="X378" s="7">
        <v>2.5859999999999999</v>
      </c>
      <c r="Y378" s="7">
        <v>0.16500000000000001</v>
      </c>
      <c r="Z378" s="7">
        <v>0</v>
      </c>
      <c r="AA378" s="7">
        <v>6.4930000000000003</v>
      </c>
      <c r="AB378" s="7">
        <v>1.282</v>
      </c>
      <c r="AC378" s="7">
        <v>0</v>
      </c>
      <c r="AD378" s="7">
        <v>0.40899999999999997</v>
      </c>
      <c r="AE378" s="7">
        <v>5.718</v>
      </c>
      <c r="AF378" s="7">
        <v>12.38</v>
      </c>
      <c r="AG378" s="7">
        <v>0</v>
      </c>
      <c r="AH378" s="7">
        <v>11.234</v>
      </c>
      <c r="AI378" s="7">
        <v>0</v>
      </c>
      <c r="AJ378" s="7">
        <v>4.117</v>
      </c>
      <c r="AK378" s="7">
        <v>1.8120000000000001</v>
      </c>
      <c r="AL378" s="7">
        <v>40.796999999999997</v>
      </c>
      <c r="AM378" s="7">
        <v>41.633000000000003</v>
      </c>
      <c r="AN378" s="7">
        <v>1.02</v>
      </c>
      <c r="AO378" s="7">
        <v>21.513999999999999</v>
      </c>
      <c r="AP378" s="7">
        <v>5.3710000000000004</v>
      </c>
      <c r="AQ378" s="7">
        <v>13.912000000000001</v>
      </c>
    </row>
    <row r="379" spans="1:43" x14ac:dyDescent="0.25">
      <c r="A379" t="s">
        <v>265</v>
      </c>
      <c r="B379" s="22" t="s">
        <v>827</v>
      </c>
      <c r="C379" t="s">
        <v>283</v>
      </c>
      <c r="D379" s="22" t="s">
        <v>286</v>
      </c>
      <c r="E379" s="21">
        <v>2018</v>
      </c>
      <c r="F379" s="7">
        <v>127.77781510610799</v>
      </c>
      <c r="G379" s="7">
        <v>6.71</v>
      </c>
      <c r="H379" s="7">
        <v>1.6020000000000001</v>
      </c>
      <c r="I379" s="7">
        <v>1.534</v>
      </c>
      <c r="J379" s="7">
        <v>0.55700000000000005</v>
      </c>
      <c r="K379" s="7">
        <v>1.625</v>
      </c>
      <c r="L379" s="7">
        <v>0</v>
      </c>
      <c r="M379" s="7">
        <v>1.427</v>
      </c>
      <c r="N379" s="7">
        <v>0</v>
      </c>
      <c r="O379" s="7">
        <v>0</v>
      </c>
      <c r="P379" s="7">
        <v>3.056</v>
      </c>
      <c r="Q379" s="7">
        <v>0.48599999999999999</v>
      </c>
      <c r="R379" s="7">
        <v>4.2999999999999997E-2</v>
      </c>
      <c r="S379" s="7">
        <v>6.5279999999999996</v>
      </c>
      <c r="T379" s="7">
        <v>3.0209999999999999</v>
      </c>
      <c r="U379" s="7">
        <v>3.6349999999999998</v>
      </c>
      <c r="V379" s="7">
        <v>0.248</v>
      </c>
      <c r="W379" s="7">
        <v>2.077</v>
      </c>
      <c r="X379" s="7">
        <v>2.2570000000000001</v>
      </c>
      <c r="Y379" s="7">
        <v>0.115</v>
      </c>
      <c r="Z379" s="7">
        <v>0</v>
      </c>
      <c r="AA379" s="7">
        <v>4.5819999999999999</v>
      </c>
      <c r="AB379" s="7">
        <v>0.58899999999999997</v>
      </c>
      <c r="AC379" s="7">
        <v>0.29499999999999998</v>
      </c>
      <c r="AD379" s="7">
        <v>0.32700000000000001</v>
      </c>
      <c r="AE379" s="7">
        <v>4.1420000000000003</v>
      </c>
      <c r="AF379" s="7">
        <v>9.8279999999999994</v>
      </c>
      <c r="AG379" s="7">
        <v>0</v>
      </c>
      <c r="AH379" s="7">
        <v>10.542</v>
      </c>
      <c r="AI379" s="7">
        <v>0</v>
      </c>
      <c r="AJ379" s="7">
        <v>3.492</v>
      </c>
      <c r="AK379" s="7">
        <v>1.784</v>
      </c>
      <c r="AL379" s="7">
        <v>34.920999999999999</v>
      </c>
      <c r="AM379" s="7">
        <v>33.796999999999997</v>
      </c>
      <c r="AN379" s="7">
        <v>0.96799999999999997</v>
      </c>
      <c r="AO379" s="7">
        <v>18.41</v>
      </c>
      <c r="AP379" s="7">
        <v>4.4829999999999997</v>
      </c>
      <c r="AQ379" s="7">
        <v>12.028</v>
      </c>
    </row>
    <row r="380" spans="1:43" x14ac:dyDescent="0.25">
      <c r="A380" t="s">
        <v>266</v>
      </c>
      <c r="B380" s="22" t="s">
        <v>827</v>
      </c>
      <c r="C380" t="s">
        <v>283</v>
      </c>
      <c r="D380" s="22" t="s">
        <v>286</v>
      </c>
      <c r="E380" s="21">
        <v>2018</v>
      </c>
      <c r="F380" s="7">
        <v>113.882176073707</v>
      </c>
      <c r="G380" s="7">
        <v>6.7869999999999999</v>
      </c>
      <c r="H380" s="7">
        <v>1.8460000000000001</v>
      </c>
      <c r="I380" s="7">
        <v>1.5880000000000001</v>
      </c>
      <c r="J380" s="7">
        <v>0.438</v>
      </c>
      <c r="K380" s="7">
        <v>1.6240000000000001</v>
      </c>
      <c r="L380" s="7">
        <v>0</v>
      </c>
      <c r="M380" s="7">
        <v>1.46</v>
      </c>
      <c r="N380" s="7">
        <v>0.13600000000000001</v>
      </c>
      <c r="O380" s="7">
        <v>0</v>
      </c>
      <c r="P380" s="7">
        <v>3.036</v>
      </c>
      <c r="Q380" s="7">
        <v>0.47599999999999998</v>
      </c>
      <c r="R380" s="7">
        <v>5.0999999999999997E-2</v>
      </c>
      <c r="S380" s="7">
        <v>6.0910000000000002</v>
      </c>
      <c r="T380" s="7">
        <v>2.84</v>
      </c>
      <c r="U380" s="7">
        <v>3.7669999999999999</v>
      </c>
      <c r="V380" s="7">
        <v>0.22500000000000001</v>
      </c>
      <c r="W380" s="7">
        <v>2.024</v>
      </c>
      <c r="X380" s="7">
        <v>2.2789999999999999</v>
      </c>
      <c r="Y380" s="7">
        <v>0.11799999999999999</v>
      </c>
      <c r="Z380" s="7">
        <v>0</v>
      </c>
      <c r="AA380" s="7">
        <v>2.8730000000000002</v>
      </c>
      <c r="AB380" s="7">
        <v>0.51300000000000001</v>
      </c>
      <c r="AC380" s="7">
        <v>0.315</v>
      </c>
      <c r="AD380" s="7">
        <v>0.30199999999999999</v>
      </c>
      <c r="AE380" s="7">
        <v>4.1920000000000002</v>
      </c>
      <c r="AF380" s="7">
        <v>9.4640000000000004</v>
      </c>
      <c r="AG380" s="7">
        <v>0</v>
      </c>
      <c r="AH380" s="7">
        <v>5.8769999999999998</v>
      </c>
      <c r="AI380" s="7">
        <v>0</v>
      </c>
      <c r="AJ380" s="7">
        <v>2.948</v>
      </c>
      <c r="AK380" s="7">
        <v>0.97</v>
      </c>
      <c r="AL380" s="7">
        <v>34.786000000000001</v>
      </c>
      <c r="AM380" s="7">
        <v>26.484000000000002</v>
      </c>
      <c r="AN380" s="7">
        <v>0.76100000000000001</v>
      </c>
      <c r="AO380" s="7">
        <v>17.870999999999999</v>
      </c>
      <c r="AP380" s="7">
        <v>4.6319999999999997</v>
      </c>
      <c r="AQ380" s="7">
        <v>12.282999999999999</v>
      </c>
    </row>
    <row r="381" spans="1:43" x14ac:dyDescent="0.25">
      <c r="A381" t="s">
        <v>267</v>
      </c>
      <c r="B381" s="22" t="s">
        <v>827</v>
      </c>
      <c r="C381" t="s">
        <v>283</v>
      </c>
      <c r="D381" s="22" t="s">
        <v>286</v>
      </c>
      <c r="E381" s="21">
        <v>2018</v>
      </c>
      <c r="F381" s="7">
        <v>146.24923383344799</v>
      </c>
      <c r="G381" s="7">
        <v>8.2970000000000006</v>
      </c>
      <c r="H381" s="7">
        <v>2.0979999999999999</v>
      </c>
      <c r="I381" s="7">
        <v>2.2410000000000001</v>
      </c>
      <c r="J381" s="7">
        <v>0.46600000000000003</v>
      </c>
      <c r="K381" s="7">
        <v>2.1859999999999999</v>
      </c>
      <c r="L381" s="7">
        <v>0</v>
      </c>
      <c r="M381" s="7">
        <v>1.7450000000000001</v>
      </c>
      <c r="N381" s="7">
        <v>0.28199999999999997</v>
      </c>
      <c r="O381" s="7">
        <v>0</v>
      </c>
      <c r="P381" s="7">
        <v>3.8079999999999998</v>
      </c>
      <c r="Q381" s="7">
        <v>0.85299999999999998</v>
      </c>
      <c r="R381" s="7">
        <v>0</v>
      </c>
      <c r="S381" s="7">
        <v>8.09</v>
      </c>
      <c r="T381" s="7">
        <v>3.55</v>
      </c>
      <c r="U381" s="7">
        <v>4.7919999999999998</v>
      </c>
      <c r="V381" s="7">
        <v>0.28799999999999998</v>
      </c>
      <c r="W381" s="7">
        <v>2.5099999999999998</v>
      </c>
      <c r="X381" s="7">
        <v>2.734</v>
      </c>
      <c r="Y381" s="7">
        <v>0.14499999999999999</v>
      </c>
      <c r="Z381" s="7">
        <v>0</v>
      </c>
      <c r="AA381" s="7">
        <v>3.0990000000000002</v>
      </c>
      <c r="AB381" s="7">
        <v>0.53</v>
      </c>
      <c r="AC381" s="7">
        <v>0.40799999999999997</v>
      </c>
      <c r="AD381" s="7">
        <v>0.33</v>
      </c>
      <c r="AE381" s="7">
        <v>5.609</v>
      </c>
      <c r="AF381" s="7">
        <v>12.962999999999999</v>
      </c>
      <c r="AG381" s="7">
        <v>0</v>
      </c>
      <c r="AH381" s="7">
        <v>6.7969999999999997</v>
      </c>
      <c r="AI381" s="7">
        <v>0</v>
      </c>
      <c r="AJ381" s="7">
        <v>4.62</v>
      </c>
      <c r="AK381" s="7">
        <v>0.88900000000000001</v>
      </c>
      <c r="AL381" s="7">
        <v>44.085000000000001</v>
      </c>
      <c r="AM381" s="7">
        <v>34.356000000000002</v>
      </c>
      <c r="AN381" s="7">
        <v>0.77900000000000003</v>
      </c>
      <c r="AO381" s="7">
        <v>22.962</v>
      </c>
      <c r="AP381" s="7">
        <v>5.835</v>
      </c>
      <c r="AQ381" s="7">
        <v>15.288</v>
      </c>
    </row>
    <row r="382" spans="1:43" x14ac:dyDescent="0.25">
      <c r="A382" t="s">
        <v>172</v>
      </c>
      <c r="B382" s="1" t="s">
        <v>0</v>
      </c>
      <c r="C382" t="s">
        <v>298</v>
      </c>
      <c r="D382" s="22" t="s">
        <v>283</v>
      </c>
      <c r="E382" s="21">
        <v>2018</v>
      </c>
      <c r="F382" s="7">
        <v>82.556116788485497</v>
      </c>
      <c r="G382" s="7">
        <v>3.7360000000000002</v>
      </c>
      <c r="H382" s="7">
        <v>1.07</v>
      </c>
      <c r="I382" s="7">
        <v>1.081</v>
      </c>
      <c r="J382" s="7">
        <v>0.35599999999999998</v>
      </c>
      <c r="K382" s="7">
        <v>1.1200000000000001</v>
      </c>
      <c r="L382" s="7">
        <v>0</v>
      </c>
      <c r="M382" s="7">
        <v>0.98099999999999998</v>
      </c>
      <c r="N382" s="7">
        <v>0</v>
      </c>
      <c r="O382" s="7">
        <v>0</v>
      </c>
      <c r="P382" s="7">
        <v>1.83</v>
      </c>
      <c r="Q382" s="7">
        <v>0.24099999999999999</v>
      </c>
      <c r="R382" s="7">
        <v>0</v>
      </c>
      <c r="S382" s="7">
        <v>3.5790000000000002</v>
      </c>
      <c r="T382" s="7">
        <v>1.7010000000000001</v>
      </c>
      <c r="U382" s="7">
        <v>2.6659999999999999</v>
      </c>
      <c r="V382" s="7">
        <v>0.14000000000000001</v>
      </c>
      <c r="W382" s="7">
        <v>1.3440000000000001</v>
      </c>
      <c r="X382" s="7">
        <v>1.5329999999999999</v>
      </c>
      <c r="Y382" s="7">
        <v>6.5000000000000002E-2</v>
      </c>
      <c r="Z382" s="7">
        <v>0</v>
      </c>
      <c r="AA382" s="7">
        <v>1.9490000000000001</v>
      </c>
      <c r="AB382" s="7">
        <v>0.35499999999999998</v>
      </c>
      <c r="AC382" s="7">
        <v>0.23599999999999999</v>
      </c>
      <c r="AD382" s="7">
        <v>0</v>
      </c>
      <c r="AE382" s="7">
        <v>5.4260000000000002</v>
      </c>
      <c r="AF382" s="7">
        <v>9.0549999999999997</v>
      </c>
      <c r="AG382" s="7">
        <v>0</v>
      </c>
      <c r="AH382" s="7">
        <v>4.0709999999999997</v>
      </c>
      <c r="AI382" s="7">
        <v>0</v>
      </c>
      <c r="AJ382" s="7">
        <v>1.5780000000000001</v>
      </c>
      <c r="AK382" s="7">
        <v>1.595</v>
      </c>
      <c r="AL382" s="7">
        <v>21.443000000000001</v>
      </c>
      <c r="AM382" s="7">
        <v>22.67</v>
      </c>
      <c r="AN382" s="7">
        <v>1.0569999999999999</v>
      </c>
      <c r="AO382" s="7">
        <v>11.269</v>
      </c>
      <c r="AP382" s="7">
        <v>2.8109999999999999</v>
      </c>
      <c r="AQ382" s="7">
        <v>7.3630000000000004</v>
      </c>
    </row>
    <row r="383" spans="1:43" x14ac:dyDescent="0.25">
      <c r="A383" t="s">
        <v>173</v>
      </c>
      <c r="B383" s="1" t="s">
        <v>0</v>
      </c>
      <c r="C383" t="s">
        <v>298</v>
      </c>
      <c r="D383" s="22" t="s">
        <v>283</v>
      </c>
      <c r="E383" s="21">
        <v>2018</v>
      </c>
      <c r="F383" s="7">
        <v>79.480092443462098</v>
      </c>
      <c r="G383" s="7">
        <v>3.5270000000000001</v>
      </c>
      <c r="H383" s="7">
        <v>1.046</v>
      </c>
      <c r="I383" s="7">
        <v>1.159</v>
      </c>
      <c r="J383" s="7">
        <v>0.35599999999999998</v>
      </c>
      <c r="K383" s="7">
        <v>1.1299999999999999</v>
      </c>
      <c r="L383" s="7">
        <v>0</v>
      </c>
      <c r="M383" s="7">
        <v>1.1419999999999999</v>
      </c>
      <c r="N383" s="7">
        <v>0</v>
      </c>
      <c r="O383" s="7">
        <v>0</v>
      </c>
      <c r="P383" s="7">
        <v>2.032</v>
      </c>
      <c r="Q383" s="7">
        <v>0.25900000000000001</v>
      </c>
      <c r="R383" s="7">
        <v>0</v>
      </c>
      <c r="S383" s="7">
        <v>3.7709999999999999</v>
      </c>
      <c r="T383" s="7">
        <v>1.8540000000000001</v>
      </c>
      <c r="U383" s="7">
        <v>2.6989999999999998</v>
      </c>
      <c r="V383" s="7">
        <v>0.183</v>
      </c>
      <c r="W383" s="7">
        <v>1.45</v>
      </c>
      <c r="X383" s="7">
        <v>1.7270000000000001</v>
      </c>
      <c r="Y383" s="7">
        <v>5.6000000000000001E-2</v>
      </c>
      <c r="Z383" s="7">
        <v>0</v>
      </c>
      <c r="AA383" s="7">
        <v>2.5209999999999999</v>
      </c>
      <c r="AB383" s="7">
        <v>0.313</v>
      </c>
      <c r="AC383" s="7">
        <v>0.26100000000000001</v>
      </c>
      <c r="AD383" s="7">
        <v>0</v>
      </c>
      <c r="AE383" s="7">
        <v>7.2249999999999996</v>
      </c>
      <c r="AF383" s="7">
        <v>8.0419999999999998</v>
      </c>
      <c r="AG383" s="7">
        <v>0</v>
      </c>
      <c r="AH383" s="7">
        <v>4.5579999999999998</v>
      </c>
      <c r="AI383" s="7">
        <v>0</v>
      </c>
      <c r="AJ383" s="7">
        <v>0</v>
      </c>
      <c r="AK383" s="7">
        <v>0.498</v>
      </c>
      <c r="AL383" s="7">
        <v>22.390999999999998</v>
      </c>
      <c r="AM383" s="7">
        <v>22.92</v>
      </c>
      <c r="AN383" s="7">
        <v>1.024</v>
      </c>
      <c r="AO383" s="7">
        <v>11.999000000000001</v>
      </c>
      <c r="AP383" s="7">
        <v>3.1739999999999999</v>
      </c>
      <c r="AQ383" s="7">
        <v>7.218</v>
      </c>
    </row>
    <row r="384" spans="1:43" x14ac:dyDescent="0.25">
      <c r="A384" t="s">
        <v>174</v>
      </c>
      <c r="B384" s="1" t="s">
        <v>0</v>
      </c>
      <c r="C384" t="s">
        <v>298</v>
      </c>
      <c r="D384" s="22" t="s">
        <v>283</v>
      </c>
      <c r="E384" s="21">
        <v>2018</v>
      </c>
      <c r="F384" s="7">
        <v>66.560707043688893</v>
      </c>
      <c r="G384" s="7">
        <v>3.2370000000000001</v>
      </c>
      <c r="H384" s="7">
        <v>1.06</v>
      </c>
      <c r="I384" s="7">
        <v>1.01</v>
      </c>
      <c r="J384" s="7">
        <v>0.248</v>
      </c>
      <c r="K384" s="7">
        <v>1.0069999999999999</v>
      </c>
      <c r="L384" s="7">
        <v>0</v>
      </c>
      <c r="M384" s="7">
        <v>0.80600000000000005</v>
      </c>
      <c r="N384" s="7">
        <v>0.14299999999999999</v>
      </c>
      <c r="O384" s="7">
        <v>0</v>
      </c>
      <c r="P384" s="7">
        <v>1.6539999999999999</v>
      </c>
      <c r="Q384" s="7">
        <v>0.20200000000000001</v>
      </c>
      <c r="R384" s="7">
        <v>0</v>
      </c>
      <c r="S384" s="7">
        <v>2.952</v>
      </c>
      <c r="T384" s="7">
        <v>1.4139999999999999</v>
      </c>
      <c r="U384" s="7">
        <v>2.319</v>
      </c>
      <c r="V384" s="7">
        <v>0.104</v>
      </c>
      <c r="W384" s="7">
        <v>1.105</v>
      </c>
      <c r="X384" s="7">
        <v>1.268</v>
      </c>
      <c r="Y384" s="7">
        <v>5.8000000000000003E-2</v>
      </c>
      <c r="Z384" s="7">
        <v>0</v>
      </c>
      <c r="AA384" s="7">
        <v>1.736</v>
      </c>
      <c r="AB384" s="7">
        <v>0.28000000000000003</v>
      </c>
      <c r="AC384" s="7">
        <v>0.20799999999999999</v>
      </c>
      <c r="AD384" s="7">
        <v>0</v>
      </c>
      <c r="AE384" s="7">
        <v>4.3460000000000001</v>
      </c>
      <c r="AF384" s="7">
        <v>8.4090000000000007</v>
      </c>
      <c r="AG384" s="7">
        <v>0</v>
      </c>
      <c r="AH384" s="7">
        <v>3.4279999999999999</v>
      </c>
      <c r="AI384" s="7">
        <v>0</v>
      </c>
      <c r="AJ384" s="7">
        <v>0</v>
      </c>
      <c r="AK384" s="7">
        <v>0.47899999999999998</v>
      </c>
      <c r="AL384" s="7">
        <v>18.587</v>
      </c>
      <c r="AM384" s="7">
        <v>18.407</v>
      </c>
      <c r="AN384" s="7">
        <v>0.99</v>
      </c>
      <c r="AO384" s="7">
        <v>9.4220000000000006</v>
      </c>
      <c r="AP384" s="7">
        <v>2.6030000000000002</v>
      </c>
      <c r="AQ384" s="7">
        <v>6.5620000000000003</v>
      </c>
    </row>
    <row r="385" spans="1:43" x14ac:dyDescent="0.25">
      <c r="A385" t="s">
        <v>175</v>
      </c>
      <c r="B385" s="1" t="s">
        <v>0</v>
      </c>
      <c r="C385" t="s">
        <v>298</v>
      </c>
      <c r="D385" s="22" t="s">
        <v>283</v>
      </c>
      <c r="E385" s="21">
        <v>2018</v>
      </c>
      <c r="F385" s="7">
        <v>64.024753043676398</v>
      </c>
      <c r="G385" s="7">
        <v>3.1280000000000001</v>
      </c>
      <c r="H385" s="7">
        <v>0.95699999999999996</v>
      </c>
      <c r="I385" s="7">
        <v>0.85599999999999998</v>
      </c>
      <c r="J385" s="7">
        <v>0.251</v>
      </c>
      <c r="K385" s="7">
        <v>1.208</v>
      </c>
      <c r="L385" s="7">
        <v>0</v>
      </c>
      <c r="M385" s="7">
        <v>0.81299999999999994</v>
      </c>
      <c r="N385" s="7">
        <v>0</v>
      </c>
      <c r="O385" s="7">
        <v>0</v>
      </c>
      <c r="P385" s="7">
        <v>1.625</v>
      </c>
      <c r="Q385" s="7">
        <v>0.17399999999999999</v>
      </c>
      <c r="R385" s="7">
        <v>0</v>
      </c>
      <c r="S385" s="7">
        <v>2.97</v>
      </c>
      <c r="T385" s="7">
        <v>1.345</v>
      </c>
      <c r="U385" s="7">
        <v>2.3540000000000001</v>
      </c>
      <c r="V385" s="7">
        <v>0.10199999999999999</v>
      </c>
      <c r="W385" s="7">
        <v>1.1259999999999999</v>
      </c>
      <c r="X385" s="7">
        <v>1.2949999999999999</v>
      </c>
      <c r="Y385" s="7">
        <v>5.5E-2</v>
      </c>
      <c r="Z385" s="7">
        <v>0</v>
      </c>
      <c r="AA385" s="7">
        <v>2.2349999999999999</v>
      </c>
      <c r="AB385" s="7">
        <v>0.31</v>
      </c>
      <c r="AC385" s="7">
        <v>0.17299999999999999</v>
      </c>
      <c r="AD385" s="7">
        <v>7.0999999999999994E-2</v>
      </c>
      <c r="AE385" s="7">
        <v>3.4430000000000001</v>
      </c>
      <c r="AF385" s="7">
        <v>7.1829999999999998</v>
      </c>
      <c r="AG385" s="7">
        <v>0</v>
      </c>
      <c r="AH385" s="7">
        <v>3.2719999999999998</v>
      </c>
      <c r="AI385" s="7">
        <v>0</v>
      </c>
      <c r="AJ385" s="7">
        <v>1.1599999999999999</v>
      </c>
      <c r="AK385" s="7">
        <v>0.36199999999999999</v>
      </c>
      <c r="AL385" s="7">
        <v>18.259</v>
      </c>
      <c r="AM385" s="7">
        <v>17.847000000000001</v>
      </c>
      <c r="AN385" s="7">
        <v>0.97699999999999998</v>
      </c>
      <c r="AO385" s="7">
        <v>9.4209999999999994</v>
      </c>
      <c r="AP385" s="7">
        <v>2.4380000000000002</v>
      </c>
      <c r="AQ385" s="7">
        <v>6.4</v>
      </c>
    </row>
    <row r="386" spans="1:43" x14ac:dyDescent="0.25">
      <c r="A386" t="s">
        <v>176</v>
      </c>
      <c r="B386" s="1" t="s">
        <v>1</v>
      </c>
      <c r="C386" t="s">
        <v>298</v>
      </c>
      <c r="D386" s="22" t="s">
        <v>283</v>
      </c>
      <c r="E386" s="21">
        <v>2018</v>
      </c>
      <c r="F386" s="7">
        <v>104.670792517108</v>
      </c>
      <c r="G386" s="7">
        <v>5.4989999999999997</v>
      </c>
      <c r="H386" s="7">
        <v>1.4810000000000001</v>
      </c>
      <c r="I386" s="7">
        <v>1.05</v>
      </c>
      <c r="J386" s="7">
        <v>0.49299999999999999</v>
      </c>
      <c r="K386" s="7">
        <v>1.3320000000000001</v>
      </c>
      <c r="L386" s="7">
        <v>0</v>
      </c>
      <c r="M386" s="7">
        <v>1.242</v>
      </c>
      <c r="N386" s="7">
        <v>0</v>
      </c>
      <c r="O386" s="7">
        <v>0</v>
      </c>
      <c r="P386" s="7">
        <v>2.7050000000000001</v>
      </c>
      <c r="Q386" s="7">
        <v>0.45500000000000002</v>
      </c>
      <c r="R386" s="7">
        <v>0</v>
      </c>
      <c r="S386" s="7">
        <v>5.8170000000000002</v>
      </c>
      <c r="T386" s="7">
        <v>2.754</v>
      </c>
      <c r="U386" s="7">
        <v>3.6779999999999999</v>
      </c>
      <c r="V386" s="7">
        <v>0.186</v>
      </c>
      <c r="W386" s="7">
        <v>2.016</v>
      </c>
      <c r="X386" s="7">
        <v>2.181</v>
      </c>
      <c r="Y386" s="7">
        <v>0.12</v>
      </c>
      <c r="Z386" s="7">
        <v>0</v>
      </c>
      <c r="AA386" s="7">
        <v>2.669</v>
      </c>
      <c r="AB386" s="7">
        <v>0.35099999999999998</v>
      </c>
      <c r="AC386" s="7">
        <v>0.41099999999999998</v>
      </c>
      <c r="AD386" s="7">
        <v>0.19400000000000001</v>
      </c>
      <c r="AE386" s="7">
        <v>5.0529999999999999</v>
      </c>
      <c r="AF386" s="7">
        <v>7.899</v>
      </c>
      <c r="AG386" s="7">
        <v>0</v>
      </c>
      <c r="AH386" s="7">
        <v>5.1479999999999997</v>
      </c>
      <c r="AI386" s="7">
        <v>0</v>
      </c>
      <c r="AJ386" s="7">
        <v>2.6589999999999998</v>
      </c>
      <c r="AK386" s="7">
        <v>0.74299999999999999</v>
      </c>
      <c r="AL386" s="7">
        <v>31.009</v>
      </c>
      <c r="AM386" s="7">
        <v>24.384</v>
      </c>
      <c r="AN386" s="7">
        <v>0.78600000000000003</v>
      </c>
      <c r="AO386" s="7">
        <v>17.207000000000001</v>
      </c>
      <c r="AP386" s="7">
        <v>3.9470000000000001</v>
      </c>
      <c r="AQ386" s="7">
        <v>9.8550000000000004</v>
      </c>
    </row>
    <row r="387" spans="1:43" x14ac:dyDescent="0.25">
      <c r="A387" t="s">
        <v>177</v>
      </c>
      <c r="B387" s="1" t="s">
        <v>1</v>
      </c>
      <c r="C387" t="s">
        <v>298</v>
      </c>
      <c r="D387" s="22" t="s">
        <v>283</v>
      </c>
      <c r="E387" s="21">
        <v>2018</v>
      </c>
      <c r="F387" s="7">
        <v>104.43561175607201</v>
      </c>
      <c r="G387" s="7">
        <v>4.9649999999999999</v>
      </c>
      <c r="H387" s="7">
        <v>1.2110000000000001</v>
      </c>
      <c r="I387" s="7">
        <v>1.095</v>
      </c>
      <c r="J387" s="7">
        <v>0.55200000000000005</v>
      </c>
      <c r="K387" s="7">
        <v>1.337</v>
      </c>
      <c r="L387" s="7">
        <v>0</v>
      </c>
      <c r="M387" s="7">
        <v>1.1499999999999999</v>
      </c>
      <c r="N387" s="7">
        <v>0</v>
      </c>
      <c r="O387" s="7">
        <v>0</v>
      </c>
      <c r="P387" s="7">
        <v>2.5920000000000001</v>
      </c>
      <c r="Q387" s="7">
        <v>0.46300000000000002</v>
      </c>
      <c r="R387" s="7">
        <v>0</v>
      </c>
      <c r="S387" s="7">
        <v>5.8040000000000003</v>
      </c>
      <c r="T387" s="7">
        <v>2.8029999999999999</v>
      </c>
      <c r="U387" s="7">
        <v>3.6269999999999998</v>
      </c>
      <c r="V387" s="7">
        <v>0.16900000000000001</v>
      </c>
      <c r="W387" s="7">
        <v>1.881</v>
      </c>
      <c r="X387" s="7">
        <v>2.004</v>
      </c>
      <c r="Y387" s="7">
        <v>0.104</v>
      </c>
      <c r="Z387" s="7">
        <v>0</v>
      </c>
      <c r="AA387" s="7">
        <v>3.121</v>
      </c>
      <c r="AB387" s="7">
        <v>0.42099999999999999</v>
      </c>
      <c r="AC387" s="7">
        <v>0.39100000000000001</v>
      </c>
      <c r="AD387" s="7">
        <v>0.16400000000000001</v>
      </c>
      <c r="AE387" s="7">
        <v>5.468</v>
      </c>
      <c r="AF387" s="7">
        <v>8.5670000000000002</v>
      </c>
      <c r="AG387" s="7">
        <v>0</v>
      </c>
      <c r="AH387" s="7">
        <v>5.7169999999999996</v>
      </c>
      <c r="AI387" s="7">
        <v>0</v>
      </c>
      <c r="AJ387" s="7">
        <v>2.532</v>
      </c>
      <c r="AK387" s="7">
        <v>0.71799999999999997</v>
      </c>
      <c r="AL387" s="7">
        <v>29.757000000000001</v>
      </c>
      <c r="AM387" s="7">
        <v>26.381</v>
      </c>
      <c r="AN387" s="7">
        <v>0.88700000000000001</v>
      </c>
      <c r="AO387" s="7">
        <v>16.855</v>
      </c>
      <c r="AP387" s="7">
        <v>3.742</v>
      </c>
      <c r="AQ387" s="7">
        <v>9.16</v>
      </c>
    </row>
    <row r="388" spans="1:43" x14ac:dyDescent="0.25">
      <c r="A388" t="s">
        <v>178</v>
      </c>
      <c r="B388" s="1" t="s">
        <v>1</v>
      </c>
      <c r="C388" t="s">
        <v>298</v>
      </c>
      <c r="D388" s="22" t="s">
        <v>283</v>
      </c>
      <c r="E388" s="21">
        <v>2018</v>
      </c>
      <c r="F388" s="7">
        <v>114.216056294376</v>
      </c>
      <c r="G388" s="7">
        <v>5.4459999999999997</v>
      </c>
      <c r="H388" s="7">
        <v>1.3640000000000001</v>
      </c>
      <c r="I388" s="7">
        <v>1.327</v>
      </c>
      <c r="J388" s="7">
        <v>0.60599999999999998</v>
      </c>
      <c r="K388" s="7">
        <v>1.462</v>
      </c>
      <c r="L388" s="7">
        <v>0</v>
      </c>
      <c r="M388" s="7">
        <v>1.272</v>
      </c>
      <c r="N388" s="7">
        <v>0.11</v>
      </c>
      <c r="O388" s="7">
        <v>0</v>
      </c>
      <c r="P388" s="7">
        <v>2.9529999999999998</v>
      </c>
      <c r="Q388" s="7">
        <v>0.50700000000000001</v>
      </c>
      <c r="R388" s="7">
        <v>0</v>
      </c>
      <c r="S388" s="7">
        <v>6.1260000000000003</v>
      </c>
      <c r="T388" s="7">
        <v>2.9340000000000002</v>
      </c>
      <c r="U388" s="7">
        <v>3.8780000000000001</v>
      </c>
      <c r="V388" s="7">
        <v>0.20799999999999999</v>
      </c>
      <c r="W388" s="7">
        <v>2.0470000000000002</v>
      </c>
      <c r="X388" s="7">
        <v>2.2389999999999999</v>
      </c>
      <c r="Y388" s="7">
        <v>0.126</v>
      </c>
      <c r="Z388" s="7">
        <v>0</v>
      </c>
      <c r="AA388" s="7">
        <v>3.3679999999999999</v>
      </c>
      <c r="AB388" s="7">
        <v>0.49</v>
      </c>
      <c r="AC388" s="7">
        <v>0.42099999999999999</v>
      </c>
      <c r="AD388" s="7">
        <v>0.21299999999999999</v>
      </c>
      <c r="AE388" s="7">
        <v>4.3449999999999998</v>
      </c>
      <c r="AF388" s="7">
        <v>9.5269999999999992</v>
      </c>
      <c r="AG388" s="7">
        <v>0</v>
      </c>
      <c r="AH388" s="7">
        <v>5.8159999999999998</v>
      </c>
      <c r="AI388" s="7">
        <v>0</v>
      </c>
      <c r="AJ388" s="7">
        <v>2.7919999999999998</v>
      </c>
      <c r="AK388" s="7">
        <v>0.995</v>
      </c>
      <c r="AL388" s="7">
        <v>32.604999999999997</v>
      </c>
      <c r="AM388" s="7">
        <v>26.972000000000001</v>
      </c>
      <c r="AN388" s="7">
        <v>0.82699999999999996</v>
      </c>
      <c r="AO388" s="7">
        <v>18.065000000000001</v>
      </c>
      <c r="AP388" s="7">
        <v>4.335</v>
      </c>
      <c r="AQ388" s="7">
        <v>10.205</v>
      </c>
    </row>
    <row r="389" spans="1:43" x14ac:dyDescent="0.25">
      <c r="A389" t="s">
        <v>179</v>
      </c>
      <c r="B389" s="1" t="s">
        <v>1</v>
      </c>
      <c r="C389" t="s">
        <v>298</v>
      </c>
      <c r="D389" s="22" t="s">
        <v>283</v>
      </c>
      <c r="E389" s="21">
        <v>2018</v>
      </c>
      <c r="F389" s="7">
        <v>99.097424946731607</v>
      </c>
      <c r="G389" s="7">
        <v>4.798</v>
      </c>
      <c r="H389" s="7">
        <v>1.399</v>
      </c>
      <c r="I389" s="7">
        <v>1.1379999999999999</v>
      </c>
      <c r="J389" s="7">
        <v>0.439</v>
      </c>
      <c r="K389" s="7">
        <v>1.3480000000000001</v>
      </c>
      <c r="L389" s="7">
        <v>0</v>
      </c>
      <c r="M389" s="7">
        <v>1.0509999999999999</v>
      </c>
      <c r="N389" s="7">
        <v>0</v>
      </c>
      <c r="O389" s="7">
        <v>0</v>
      </c>
      <c r="P389" s="7">
        <v>2.5750000000000002</v>
      </c>
      <c r="Q389" s="7">
        <v>0.40100000000000002</v>
      </c>
      <c r="R389" s="7">
        <v>0</v>
      </c>
      <c r="S389" s="7">
        <v>5.375</v>
      </c>
      <c r="T389" s="7">
        <v>2.5630000000000002</v>
      </c>
      <c r="U389" s="7">
        <v>3.5529999999999999</v>
      </c>
      <c r="V389" s="7">
        <v>0.152</v>
      </c>
      <c r="W389" s="7">
        <v>1.843</v>
      </c>
      <c r="X389" s="7">
        <v>1.996</v>
      </c>
      <c r="Y389" s="7">
        <v>0.10299999999999999</v>
      </c>
      <c r="Z389" s="7">
        <v>0</v>
      </c>
      <c r="AA389" s="7">
        <v>2.548</v>
      </c>
      <c r="AB389" s="7">
        <v>0.38300000000000001</v>
      </c>
      <c r="AC389" s="7">
        <v>0.36</v>
      </c>
      <c r="AD389" s="7">
        <v>0.18</v>
      </c>
      <c r="AE389" s="7">
        <v>5.7149999999999999</v>
      </c>
      <c r="AF389" s="7">
        <v>9.1010000000000009</v>
      </c>
      <c r="AG389" s="7">
        <v>0</v>
      </c>
      <c r="AH389" s="7">
        <v>5.2779999999999996</v>
      </c>
      <c r="AI389" s="7">
        <v>0</v>
      </c>
      <c r="AJ389" s="7">
        <v>2.41</v>
      </c>
      <c r="AK389" s="7">
        <v>0.63100000000000001</v>
      </c>
      <c r="AL389" s="7">
        <v>28.734000000000002</v>
      </c>
      <c r="AM389" s="7">
        <v>25.975000000000001</v>
      </c>
      <c r="AN389" s="7">
        <v>0.90400000000000003</v>
      </c>
      <c r="AO389" s="7">
        <v>15.986000000000001</v>
      </c>
      <c r="AP389" s="7">
        <v>3.6259999999999999</v>
      </c>
      <c r="AQ389" s="7">
        <v>9.1219999999999999</v>
      </c>
    </row>
    <row r="390" spans="1:43" x14ac:dyDescent="0.25">
      <c r="A390" t="s">
        <v>180</v>
      </c>
      <c r="B390" s="1" t="s">
        <v>2</v>
      </c>
      <c r="C390" t="s">
        <v>298</v>
      </c>
      <c r="D390" s="22" t="s">
        <v>283</v>
      </c>
      <c r="E390" s="21">
        <v>2018</v>
      </c>
      <c r="F390" s="7">
        <v>58.640282469825998</v>
      </c>
      <c r="G390" s="7">
        <v>2.7759999999999998</v>
      </c>
      <c r="H390" s="7">
        <v>1.1819999999999999</v>
      </c>
      <c r="I390" s="7">
        <v>0.77800000000000002</v>
      </c>
      <c r="J390" s="7">
        <v>0.20399999999999999</v>
      </c>
      <c r="K390" s="7">
        <v>1.2330000000000001</v>
      </c>
      <c r="L390" s="7">
        <v>0</v>
      </c>
      <c r="M390" s="7">
        <v>0.71699999999999997</v>
      </c>
      <c r="N390" s="7">
        <v>0</v>
      </c>
      <c r="O390" s="7">
        <v>0</v>
      </c>
      <c r="P390" s="7">
        <v>1.5469999999999999</v>
      </c>
      <c r="Q390" s="7">
        <v>0.187</v>
      </c>
      <c r="R390" s="7">
        <v>0</v>
      </c>
      <c r="S390" s="7">
        <v>2.9550000000000001</v>
      </c>
      <c r="T390" s="7">
        <v>1.2470000000000001</v>
      </c>
      <c r="U390" s="7">
        <v>2.4119999999999999</v>
      </c>
      <c r="V390" s="7">
        <v>0.122</v>
      </c>
      <c r="W390" s="7">
        <v>1.274</v>
      </c>
      <c r="X390" s="7">
        <v>1.2190000000000001</v>
      </c>
      <c r="Y390" s="7">
        <v>5.8000000000000003E-2</v>
      </c>
      <c r="Z390" s="7">
        <v>0</v>
      </c>
      <c r="AA390" s="7">
        <v>2.6360000000000001</v>
      </c>
      <c r="AB390" s="7">
        <v>0.30599999999999999</v>
      </c>
      <c r="AC390" s="7">
        <v>0.189</v>
      </c>
      <c r="AD390" s="7">
        <v>8.2000000000000003E-2</v>
      </c>
      <c r="AE390" s="7">
        <v>2.762</v>
      </c>
      <c r="AF390" s="7">
        <v>5.4729999999999999</v>
      </c>
      <c r="AG390" s="7">
        <v>0</v>
      </c>
      <c r="AH390" s="7">
        <v>2.3410000000000002</v>
      </c>
      <c r="AI390" s="7">
        <v>0</v>
      </c>
      <c r="AJ390" s="7">
        <v>1.2190000000000001</v>
      </c>
      <c r="AK390" s="7">
        <v>0.35599999999999998</v>
      </c>
      <c r="AL390" s="7">
        <v>17.911000000000001</v>
      </c>
      <c r="AM390" s="7">
        <v>15.007999999999999</v>
      </c>
      <c r="AN390" s="7">
        <v>0.83799999999999997</v>
      </c>
      <c r="AO390" s="7">
        <v>9.4740000000000002</v>
      </c>
      <c r="AP390" s="7">
        <v>2.2639999999999998</v>
      </c>
      <c r="AQ390" s="7">
        <v>6.173</v>
      </c>
    </row>
    <row r="391" spans="1:43" x14ac:dyDescent="0.25">
      <c r="A391" t="s">
        <v>181</v>
      </c>
      <c r="B391" s="1" t="s">
        <v>2</v>
      </c>
      <c r="C391" t="s">
        <v>298</v>
      </c>
      <c r="D391" s="22" t="s">
        <v>283</v>
      </c>
      <c r="E391" s="21">
        <v>2018</v>
      </c>
      <c r="F391" s="7">
        <v>74.611076819893498</v>
      </c>
      <c r="G391" s="7">
        <v>3.3740000000000001</v>
      </c>
      <c r="H391" s="7">
        <v>1.6060000000000001</v>
      </c>
      <c r="I391" s="7">
        <v>1.2789999999999999</v>
      </c>
      <c r="J391" s="7">
        <v>0.35899999999999999</v>
      </c>
      <c r="K391" s="7">
        <v>1.385</v>
      </c>
      <c r="L391" s="7">
        <v>0</v>
      </c>
      <c r="M391" s="7">
        <v>0.98899999999999999</v>
      </c>
      <c r="N391" s="7">
        <v>0</v>
      </c>
      <c r="O391" s="7">
        <v>0</v>
      </c>
      <c r="P391" s="7">
        <v>1.5940000000000001</v>
      </c>
      <c r="Q391" s="7">
        <v>0.246</v>
      </c>
      <c r="R391" s="7">
        <v>0</v>
      </c>
      <c r="S391" s="7">
        <v>3.6789999999999998</v>
      </c>
      <c r="T391" s="7">
        <v>1.7</v>
      </c>
      <c r="U391" s="7">
        <v>3.13</v>
      </c>
      <c r="V391" s="7">
        <v>0.14199999999999999</v>
      </c>
      <c r="W391" s="7">
        <v>1.5089999999999999</v>
      </c>
      <c r="X391" s="7">
        <v>1.514</v>
      </c>
      <c r="Y391" s="7">
        <v>4.2000000000000003E-2</v>
      </c>
      <c r="Z391" s="7">
        <v>0</v>
      </c>
      <c r="AA391" s="7">
        <v>3.0659999999999998</v>
      </c>
      <c r="AB391" s="7">
        <v>0.4</v>
      </c>
      <c r="AC391" s="7">
        <v>0.24199999999999999</v>
      </c>
      <c r="AD391" s="7">
        <v>0.1</v>
      </c>
      <c r="AE391" s="7">
        <v>3.47</v>
      </c>
      <c r="AF391" s="7">
        <v>7.4610000000000003</v>
      </c>
      <c r="AG391" s="7">
        <v>0</v>
      </c>
      <c r="AH391" s="7">
        <v>3.8490000000000002</v>
      </c>
      <c r="AI391" s="7">
        <v>0</v>
      </c>
      <c r="AJ391" s="7">
        <v>1.9870000000000001</v>
      </c>
      <c r="AK391" s="7">
        <v>0.42199999999999999</v>
      </c>
      <c r="AL391" s="7">
        <v>22.547999999999998</v>
      </c>
      <c r="AM391" s="7">
        <v>20.574999999999999</v>
      </c>
      <c r="AN391" s="7">
        <v>0.91200000000000003</v>
      </c>
      <c r="AO391" s="7">
        <v>11.962</v>
      </c>
      <c r="AP391" s="7">
        <v>2.5830000000000002</v>
      </c>
      <c r="AQ391" s="7">
        <v>8.0030000000000001</v>
      </c>
    </row>
    <row r="392" spans="1:43" x14ac:dyDescent="0.25">
      <c r="A392" t="s">
        <v>182</v>
      </c>
      <c r="B392" s="1" t="s">
        <v>2</v>
      </c>
      <c r="C392" t="s">
        <v>298</v>
      </c>
      <c r="D392" s="22" t="s">
        <v>283</v>
      </c>
      <c r="E392" s="21">
        <v>2018</v>
      </c>
      <c r="F392" s="7">
        <v>50.992768326860997</v>
      </c>
      <c r="G392" s="7">
        <v>2.5369999999999999</v>
      </c>
      <c r="H392" s="7">
        <v>1.4430000000000001</v>
      </c>
      <c r="I392" s="7">
        <v>0.78500000000000003</v>
      </c>
      <c r="J392" s="7">
        <v>0.14599999999999999</v>
      </c>
      <c r="K392" s="7">
        <v>0.90300000000000002</v>
      </c>
      <c r="L392" s="7">
        <v>0</v>
      </c>
      <c r="M392" s="7">
        <v>0.63700000000000001</v>
      </c>
      <c r="N392" s="7">
        <v>0</v>
      </c>
      <c r="O392" s="7">
        <v>0</v>
      </c>
      <c r="P392" s="7">
        <v>1.7569999999999999</v>
      </c>
      <c r="Q392" s="7">
        <v>0.13500000000000001</v>
      </c>
      <c r="R392" s="7">
        <v>0</v>
      </c>
      <c r="S392" s="7">
        <v>2.427</v>
      </c>
      <c r="T392" s="7">
        <v>1.0229999999999999</v>
      </c>
      <c r="U392" s="7">
        <v>2.177</v>
      </c>
      <c r="V392" s="7">
        <v>0.10299999999999999</v>
      </c>
      <c r="W392" s="7">
        <v>1.2589999999999999</v>
      </c>
      <c r="X392" s="7">
        <v>1.1000000000000001</v>
      </c>
      <c r="Y392" s="7">
        <v>5.7000000000000002E-2</v>
      </c>
      <c r="Z392" s="7">
        <v>0</v>
      </c>
      <c r="AA392" s="7">
        <v>2.823</v>
      </c>
      <c r="AB392" s="7">
        <v>0.26300000000000001</v>
      </c>
      <c r="AC392" s="7">
        <v>0.2</v>
      </c>
      <c r="AD392" s="7">
        <v>7.5999999999999998E-2</v>
      </c>
      <c r="AE392" s="7">
        <v>1.748</v>
      </c>
      <c r="AF392" s="7">
        <v>4.5359999999999996</v>
      </c>
      <c r="AG392" s="7">
        <v>0</v>
      </c>
      <c r="AH392" s="7">
        <v>1.9390000000000001</v>
      </c>
      <c r="AI392" s="7">
        <v>0</v>
      </c>
      <c r="AJ392" s="7">
        <v>1.0669999999999999</v>
      </c>
      <c r="AK392" s="7">
        <v>0.34399999999999997</v>
      </c>
      <c r="AL392" s="7">
        <v>16.489000000000001</v>
      </c>
      <c r="AM392" s="7">
        <v>12.651999999999999</v>
      </c>
      <c r="AN392" s="7">
        <v>0.76700000000000002</v>
      </c>
      <c r="AO392" s="7">
        <v>8.2810000000000006</v>
      </c>
      <c r="AP392" s="7">
        <v>2.3940000000000001</v>
      </c>
      <c r="AQ392" s="7">
        <v>5.8140000000000001</v>
      </c>
    </row>
    <row r="393" spans="1:43" x14ac:dyDescent="0.25">
      <c r="A393" t="s">
        <v>183</v>
      </c>
      <c r="B393" s="1" t="s">
        <v>2</v>
      </c>
      <c r="C393" t="s">
        <v>298</v>
      </c>
      <c r="D393" s="22" t="s">
        <v>283</v>
      </c>
      <c r="E393" s="21">
        <v>2018</v>
      </c>
      <c r="F393" s="7">
        <v>46.773819773191299</v>
      </c>
      <c r="G393" s="7">
        <v>2.3330000000000002</v>
      </c>
      <c r="H393" s="7">
        <v>1.175</v>
      </c>
      <c r="I393" s="7">
        <v>0.67700000000000005</v>
      </c>
      <c r="J393" s="7">
        <v>0.14499999999999999</v>
      </c>
      <c r="K393" s="7">
        <v>0.90900000000000003</v>
      </c>
      <c r="L393" s="7">
        <v>0</v>
      </c>
      <c r="M393" s="7">
        <v>0.623</v>
      </c>
      <c r="N393" s="7">
        <v>0</v>
      </c>
      <c r="O393" s="7">
        <v>0</v>
      </c>
      <c r="P393" s="7">
        <v>1.367</v>
      </c>
      <c r="Q393" s="7">
        <v>0.126</v>
      </c>
      <c r="R393" s="7">
        <v>0</v>
      </c>
      <c r="S393" s="7">
        <v>2.3650000000000002</v>
      </c>
      <c r="T393" s="7">
        <v>0.97799999999999998</v>
      </c>
      <c r="U393" s="7">
        <v>2.0470000000000002</v>
      </c>
      <c r="V393" s="7">
        <v>0.09</v>
      </c>
      <c r="W393" s="7">
        <v>1.173</v>
      </c>
      <c r="X393" s="7">
        <v>1.0389999999999999</v>
      </c>
      <c r="Y393" s="7">
        <v>5.6000000000000001E-2</v>
      </c>
      <c r="Z393" s="7">
        <v>0</v>
      </c>
      <c r="AA393" s="7">
        <v>1.1120000000000001</v>
      </c>
      <c r="AB393" s="7">
        <v>0.22700000000000001</v>
      </c>
      <c r="AC393" s="7">
        <v>0.161</v>
      </c>
      <c r="AD393" s="7">
        <v>6.9000000000000006E-2</v>
      </c>
      <c r="AE393" s="7">
        <v>2.0270000000000001</v>
      </c>
      <c r="AF393" s="7">
        <v>4.29</v>
      </c>
      <c r="AG393" s="7">
        <v>0</v>
      </c>
      <c r="AH393" s="7">
        <v>1.538</v>
      </c>
      <c r="AI393" s="7">
        <v>0</v>
      </c>
      <c r="AJ393" s="7">
        <v>1.0660000000000001</v>
      </c>
      <c r="AK393" s="7">
        <v>0.30599999999999999</v>
      </c>
      <c r="AL393" s="7">
        <v>15.103</v>
      </c>
      <c r="AM393" s="7">
        <v>10.49</v>
      </c>
      <c r="AN393" s="7">
        <v>0.69499999999999995</v>
      </c>
      <c r="AO393" s="7">
        <v>7.8739999999999997</v>
      </c>
      <c r="AP393" s="7">
        <v>1.99</v>
      </c>
      <c r="AQ393" s="7">
        <v>5.2389999999999999</v>
      </c>
    </row>
    <row r="394" spans="1:43" x14ac:dyDescent="0.25">
      <c r="A394" t="s">
        <v>250</v>
      </c>
      <c r="B394" s="1" t="s">
        <v>834</v>
      </c>
      <c r="C394" t="s">
        <v>286</v>
      </c>
      <c r="D394" s="22" t="s">
        <v>286</v>
      </c>
      <c r="E394" s="21">
        <v>2018</v>
      </c>
      <c r="F394" s="7">
        <v>267.54992332419198</v>
      </c>
      <c r="G394" s="7">
        <v>10.249000000000001</v>
      </c>
      <c r="H394" s="7">
        <v>1.96</v>
      </c>
      <c r="I394" s="7">
        <v>2.786</v>
      </c>
      <c r="J394" s="7">
        <v>1.3460000000000001</v>
      </c>
      <c r="K394" s="7">
        <v>3.4820000000000002</v>
      </c>
      <c r="L394" s="7">
        <v>0.161</v>
      </c>
      <c r="M394" s="7">
        <v>3.202</v>
      </c>
      <c r="N394" s="7">
        <v>0</v>
      </c>
      <c r="O394" s="7">
        <v>0</v>
      </c>
      <c r="P394" s="7">
        <v>5.6189999999999998</v>
      </c>
      <c r="Q394" s="7">
        <v>1.1830000000000001</v>
      </c>
      <c r="R394" s="7">
        <v>0.11799999999999999</v>
      </c>
      <c r="S394" s="7">
        <v>9.4510000000000005</v>
      </c>
      <c r="T394" s="7">
        <v>6.6079999999999997</v>
      </c>
      <c r="U394" s="7">
        <v>7.7880000000000003</v>
      </c>
      <c r="V394" s="7">
        <v>0.42499999999999999</v>
      </c>
      <c r="W394" s="7">
        <v>3.5</v>
      </c>
      <c r="X394" s="7">
        <v>4.7549999999999999</v>
      </c>
      <c r="Y394" s="7">
        <v>0.40400000000000003</v>
      </c>
      <c r="Z394" s="7">
        <v>0</v>
      </c>
      <c r="AA394" s="7">
        <v>5.351</v>
      </c>
      <c r="AB394" s="7">
        <v>0</v>
      </c>
      <c r="AC394" s="7">
        <v>1.5009999999999999</v>
      </c>
      <c r="AD394" s="7">
        <v>0.52700000000000002</v>
      </c>
      <c r="AE394" s="7">
        <v>21.532</v>
      </c>
      <c r="AF394" s="7">
        <v>26.827000000000002</v>
      </c>
      <c r="AG394" s="7">
        <v>0</v>
      </c>
      <c r="AH394" s="7">
        <v>19.222000000000001</v>
      </c>
      <c r="AI394" s="7">
        <v>0</v>
      </c>
      <c r="AJ394" s="7">
        <v>5.9169999999999998</v>
      </c>
      <c r="AK394" s="7">
        <v>1.5609999999999999</v>
      </c>
      <c r="AL394" s="7">
        <v>63.036999999999999</v>
      </c>
      <c r="AM394" s="7">
        <v>80.876999999999995</v>
      </c>
      <c r="AN394" s="7">
        <v>1.2829999999999999</v>
      </c>
      <c r="AO394" s="7">
        <v>34.231999999999999</v>
      </c>
      <c r="AP394" s="7">
        <v>8.8209999999999997</v>
      </c>
      <c r="AQ394" s="7">
        <v>19.984000000000002</v>
      </c>
    </row>
    <row r="395" spans="1:43" x14ac:dyDescent="0.25">
      <c r="A395" t="s">
        <v>251</v>
      </c>
      <c r="B395" s="1" t="s">
        <v>834</v>
      </c>
      <c r="C395" t="s">
        <v>286</v>
      </c>
      <c r="D395" s="22" t="s">
        <v>286</v>
      </c>
      <c r="E395" s="21">
        <v>2018</v>
      </c>
      <c r="F395" s="7">
        <v>235.495055960027</v>
      </c>
      <c r="G395" s="7">
        <v>8.7309999999999999</v>
      </c>
      <c r="H395" s="7">
        <v>1.71</v>
      </c>
      <c r="I395" s="7">
        <v>2.4700000000000002</v>
      </c>
      <c r="J395" s="7">
        <v>1.3340000000000001</v>
      </c>
      <c r="K395" s="7">
        <v>2.7869999999999999</v>
      </c>
      <c r="L395" s="7">
        <v>0.44400000000000001</v>
      </c>
      <c r="M395" s="7">
        <v>2.758</v>
      </c>
      <c r="N395" s="7">
        <v>0</v>
      </c>
      <c r="O395" s="7">
        <v>0</v>
      </c>
      <c r="P395" s="7">
        <v>4.6289999999999996</v>
      </c>
      <c r="Q395" s="7">
        <v>0.88600000000000001</v>
      </c>
      <c r="R395" s="7">
        <v>0.08</v>
      </c>
      <c r="S395" s="7">
        <v>7.7930000000000001</v>
      </c>
      <c r="T395" s="7">
        <v>4.9950000000000001</v>
      </c>
      <c r="U395" s="7">
        <v>5.9740000000000002</v>
      </c>
      <c r="V395" s="7">
        <v>0.34599999999999997</v>
      </c>
      <c r="W395" s="7">
        <v>3.109</v>
      </c>
      <c r="X395" s="7">
        <v>3.8380000000000001</v>
      </c>
      <c r="Y395" s="7">
        <v>0.309</v>
      </c>
      <c r="Z395" s="7">
        <v>0</v>
      </c>
      <c r="AA395" s="7">
        <v>5.7270000000000003</v>
      </c>
      <c r="AB395" s="7">
        <v>0.57699999999999996</v>
      </c>
      <c r="AC395" s="7">
        <v>0.745</v>
      </c>
      <c r="AD395" s="7">
        <v>0.33500000000000002</v>
      </c>
      <c r="AE395" s="7">
        <v>17.664000000000001</v>
      </c>
      <c r="AF395" s="7">
        <v>23.748999999999999</v>
      </c>
      <c r="AG395" s="7">
        <v>0</v>
      </c>
      <c r="AH395" s="7">
        <v>17.373000000000001</v>
      </c>
      <c r="AI395" s="7">
        <v>0</v>
      </c>
      <c r="AJ395" s="7">
        <v>3.7530000000000001</v>
      </c>
      <c r="AK395" s="7">
        <v>3.4220000000000002</v>
      </c>
      <c r="AL395" s="7">
        <v>52.192999999999998</v>
      </c>
      <c r="AM395" s="7">
        <v>69.923000000000002</v>
      </c>
      <c r="AN395" s="7">
        <v>1.34</v>
      </c>
      <c r="AO395" s="7">
        <v>27.33</v>
      </c>
      <c r="AP395" s="7">
        <v>7.3869999999999996</v>
      </c>
      <c r="AQ395" s="7">
        <v>17.475999999999999</v>
      </c>
    </row>
    <row r="396" spans="1:43" x14ac:dyDescent="0.25">
      <c r="A396" t="s">
        <v>252</v>
      </c>
      <c r="B396" s="1" t="s">
        <v>834</v>
      </c>
      <c r="C396" t="s">
        <v>286</v>
      </c>
      <c r="D396" s="22" t="s">
        <v>286</v>
      </c>
      <c r="E396" s="21">
        <v>2018</v>
      </c>
      <c r="F396" s="7">
        <v>236.805275743246</v>
      </c>
      <c r="G396" s="7">
        <v>8.6180000000000003</v>
      </c>
      <c r="H396" s="7">
        <v>1.8009999999999999</v>
      </c>
      <c r="I396" s="7">
        <v>2.327</v>
      </c>
      <c r="J396" s="7">
        <v>1.2869999999999999</v>
      </c>
      <c r="K396" s="7">
        <v>2.65</v>
      </c>
      <c r="L396" s="7">
        <v>0.36199999999999999</v>
      </c>
      <c r="M396" s="7">
        <v>2.605</v>
      </c>
      <c r="N396" s="7">
        <v>0</v>
      </c>
      <c r="O396" s="7">
        <v>0</v>
      </c>
      <c r="P396" s="7">
        <v>4.891</v>
      </c>
      <c r="Q396" s="7">
        <v>1.0109999999999999</v>
      </c>
      <c r="R396" s="7">
        <v>0.104</v>
      </c>
      <c r="S396" s="7">
        <v>8.1080000000000005</v>
      </c>
      <c r="T396" s="7">
        <v>5.4109999999999996</v>
      </c>
      <c r="U396" s="7">
        <v>6.44</v>
      </c>
      <c r="V396" s="7">
        <v>0.33900000000000002</v>
      </c>
      <c r="W396" s="7">
        <v>2.9569999999999999</v>
      </c>
      <c r="X396" s="7">
        <v>3.8570000000000002</v>
      </c>
      <c r="Y396" s="7">
        <v>0.214</v>
      </c>
      <c r="Z396" s="7">
        <v>0</v>
      </c>
      <c r="AA396" s="7">
        <v>9.5779999999999994</v>
      </c>
      <c r="AB396" s="7">
        <v>0.55900000000000005</v>
      </c>
      <c r="AC396" s="7">
        <v>0.69199999999999995</v>
      </c>
      <c r="AD396" s="7">
        <v>0.309</v>
      </c>
      <c r="AE396" s="7">
        <v>17.398</v>
      </c>
      <c r="AF396" s="7">
        <v>21.809000000000001</v>
      </c>
      <c r="AG396" s="7">
        <v>0</v>
      </c>
      <c r="AH396" s="7">
        <v>16.591999999999999</v>
      </c>
      <c r="AI396" s="7">
        <v>0</v>
      </c>
      <c r="AJ396" s="7">
        <v>3.8370000000000002</v>
      </c>
      <c r="AK396" s="7">
        <v>2.6339999999999999</v>
      </c>
      <c r="AL396" s="7">
        <v>52.981999999999999</v>
      </c>
      <c r="AM396" s="7">
        <v>70.774000000000001</v>
      </c>
      <c r="AN396" s="7">
        <v>1.3360000000000001</v>
      </c>
      <c r="AO396" s="7">
        <v>28.440999999999999</v>
      </c>
      <c r="AP396" s="7">
        <v>7.4960000000000004</v>
      </c>
      <c r="AQ396" s="7">
        <v>17.045000000000002</v>
      </c>
    </row>
    <row r="397" spans="1:43" x14ac:dyDescent="0.25">
      <c r="A397" t="s">
        <v>253</v>
      </c>
      <c r="B397" s="1" t="s">
        <v>834</v>
      </c>
      <c r="C397" t="s">
        <v>286</v>
      </c>
      <c r="D397" s="22" t="s">
        <v>286</v>
      </c>
      <c r="E397" s="21">
        <v>2018</v>
      </c>
      <c r="F397" s="7">
        <v>287.379958191534</v>
      </c>
      <c r="G397" s="7">
        <v>10.349</v>
      </c>
      <c r="H397" s="7">
        <v>1.897</v>
      </c>
      <c r="I397" s="7">
        <v>2.5640000000000001</v>
      </c>
      <c r="J397" s="7">
        <v>1.929</v>
      </c>
      <c r="K397" s="7">
        <v>3.3769999999999998</v>
      </c>
      <c r="L397" s="7">
        <v>0.60399999999999998</v>
      </c>
      <c r="M397" s="7">
        <v>3.266</v>
      </c>
      <c r="N397" s="7">
        <v>0</v>
      </c>
      <c r="O397" s="7">
        <v>0</v>
      </c>
      <c r="P397" s="7">
        <v>6.3929999999999998</v>
      </c>
      <c r="Q397" s="7">
        <v>1.39</v>
      </c>
      <c r="R397" s="7">
        <v>0.17599999999999999</v>
      </c>
      <c r="S397" s="7">
        <v>10.577</v>
      </c>
      <c r="T397" s="7">
        <v>6.7510000000000003</v>
      </c>
      <c r="U397" s="7">
        <v>7.6159999999999997</v>
      </c>
      <c r="V397" s="7">
        <v>0.39</v>
      </c>
      <c r="W397" s="7">
        <v>3.8370000000000002</v>
      </c>
      <c r="X397" s="7">
        <v>4.7759999999999998</v>
      </c>
      <c r="Y397" s="7">
        <v>0.46300000000000002</v>
      </c>
      <c r="Z397" s="7">
        <v>0</v>
      </c>
      <c r="AA397" s="7">
        <v>7.0270000000000001</v>
      </c>
      <c r="AB397" s="7">
        <v>0.75800000000000001</v>
      </c>
      <c r="AC397" s="7">
        <v>0.90700000000000003</v>
      </c>
      <c r="AD397" s="7">
        <v>0.45200000000000001</v>
      </c>
      <c r="AE397" s="7">
        <v>16.923999999999999</v>
      </c>
      <c r="AF397" s="7">
        <v>27.19</v>
      </c>
      <c r="AG397" s="7">
        <v>0</v>
      </c>
      <c r="AH397" s="7">
        <v>21.428000000000001</v>
      </c>
      <c r="AI397" s="7">
        <v>0</v>
      </c>
      <c r="AJ397" s="7">
        <v>6.202</v>
      </c>
      <c r="AK397" s="7">
        <v>2.8460000000000001</v>
      </c>
      <c r="AL397" s="7">
        <v>66.355000000000004</v>
      </c>
      <c r="AM397" s="7">
        <v>80.888000000000005</v>
      </c>
      <c r="AN397" s="7">
        <v>1.2190000000000001</v>
      </c>
      <c r="AO397" s="7">
        <v>35.975999999999999</v>
      </c>
      <c r="AP397" s="7">
        <v>9.6590000000000007</v>
      </c>
      <c r="AQ397" s="7">
        <v>20.72</v>
      </c>
    </row>
    <row r="398" spans="1:43" x14ac:dyDescent="0.25">
      <c r="A398" t="s">
        <v>254</v>
      </c>
      <c r="B398" s="1" t="s">
        <v>833</v>
      </c>
      <c r="C398" t="s">
        <v>298</v>
      </c>
      <c r="D398" s="22" t="s">
        <v>286</v>
      </c>
      <c r="E398" s="21">
        <v>2018</v>
      </c>
      <c r="F398" s="7">
        <v>177.577997186007</v>
      </c>
      <c r="G398" s="7">
        <v>4.55</v>
      </c>
      <c r="H398" s="7">
        <v>0.73599999999999999</v>
      </c>
      <c r="I398" s="7">
        <v>1.4730000000000001</v>
      </c>
      <c r="J398" s="7">
        <v>0.67300000000000004</v>
      </c>
      <c r="K398" s="7">
        <v>1.9530000000000001</v>
      </c>
      <c r="L398" s="7">
        <v>0</v>
      </c>
      <c r="M398" s="7">
        <v>1.6</v>
      </c>
      <c r="N398" s="7">
        <v>0</v>
      </c>
      <c r="O398" s="7">
        <v>0</v>
      </c>
      <c r="P398" s="7">
        <v>3.762</v>
      </c>
      <c r="Q398" s="7">
        <v>0.63600000000000001</v>
      </c>
      <c r="R398" s="7">
        <v>8.2000000000000003E-2</v>
      </c>
      <c r="S398" s="7">
        <v>5.6059999999999999</v>
      </c>
      <c r="T398" s="7">
        <v>3.1949999999999998</v>
      </c>
      <c r="U398" s="7">
        <v>4.0339999999999998</v>
      </c>
      <c r="V398" s="7">
        <v>0.28599999999999998</v>
      </c>
      <c r="W398" s="7">
        <v>2.2109999999999999</v>
      </c>
      <c r="X398" s="7">
        <v>2.3149999999999999</v>
      </c>
      <c r="Y398" s="7">
        <v>0.31900000000000001</v>
      </c>
      <c r="Z398" s="7">
        <v>0</v>
      </c>
      <c r="AA398" s="7">
        <v>6.6950000000000003</v>
      </c>
      <c r="AB398" s="7">
        <v>0.495</v>
      </c>
      <c r="AC398" s="7">
        <v>0.51700000000000002</v>
      </c>
      <c r="AD398" s="7">
        <v>0.33400000000000002</v>
      </c>
      <c r="AE398" s="7">
        <v>9.5869999999999997</v>
      </c>
      <c r="AF398" s="7">
        <v>14.23</v>
      </c>
      <c r="AG398" s="7">
        <v>0</v>
      </c>
      <c r="AH398" s="7">
        <v>10.096</v>
      </c>
      <c r="AI398" s="7">
        <v>0</v>
      </c>
      <c r="AJ398" s="7">
        <v>4.9370000000000003</v>
      </c>
      <c r="AK398" s="7">
        <v>5.0910000000000002</v>
      </c>
      <c r="AL398" s="7">
        <v>33.430999999999997</v>
      </c>
      <c r="AM398" s="7">
        <v>46.890999999999998</v>
      </c>
      <c r="AN398" s="7">
        <v>1.403</v>
      </c>
      <c r="AO398" s="7">
        <v>18.684000000000001</v>
      </c>
      <c r="AP398" s="7">
        <v>5.3620000000000001</v>
      </c>
      <c r="AQ398" s="7">
        <v>9.3849999999999998</v>
      </c>
    </row>
    <row r="399" spans="1:43" x14ac:dyDescent="0.25">
      <c r="A399" t="s">
        <v>255</v>
      </c>
      <c r="B399" s="1" t="s">
        <v>833</v>
      </c>
      <c r="C399" t="s">
        <v>298</v>
      </c>
      <c r="D399" s="22" t="s">
        <v>286</v>
      </c>
      <c r="E399" s="21">
        <v>2018</v>
      </c>
      <c r="F399" s="7">
        <v>135.618227597973</v>
      </c>
      <c r="G399" s="7">
        <v>4.4589999999999996</v>
      </c>
      <c r="H399" s="7">
        <v>0.627</v>
      </c>
      <c r="I399" s="7">
        <v>1.03</v>
      </c>
      <c r="J399" s="7">
        <v>0.52100000000000002</v>
      </c>
      <c r="K399" s="7">
        <v>1.4159999999999999</v>
      </c>
      <c r="L399" s="7">
        <v>0</v>
      </c>
      <c r="M399" s="7">
        <v>1.3340000000000001</v>
      </c>
      <c r="N399" s="7">
        <v>0</v>
      </c>
      <c r="O399" s="7">
        <v>0</v>
      </c>
      <c r="P399" s="7">
        <v>2.5310000000000001</v>
      </c>
      <c r="Q399" s="7">
        <v>0.52700000000000002</v>
      </c>
      <c r="R399" s="7">
        <v>5.5E-2</v>
      </c>
      <c r="S399" s="7">
        <v>5.1580000000000004</v>
      </c>
      <c r="T399" s="7">
        <v>2.7490000000000001</v>
      </c>
      <c r="U399" s="7">
        <v>3.2639999999999998</v>
      </c>
      <c r="V399" s="7">
        <v>0.187</v>
      </c>
      <c r="W399" s="7">
        <v>1.9379999999999999</v>
      </c>
      <c r="X399" s="7">
        <v>1.9730000000000001</v>
      </c>
      <c r="Y399" s="7">
        <v>0.123</v>
      </c>
      <c r="Z399" s="7">
        <v>0</v>
      </c>
      <c r="AA399" s="7">
        <v>3.6280000000000001</v>
      </c>
      <c r="AB399" s="7">
        <v>0.33600000000000002</v>
      </c>
      <c r="AC399" s="7">
        <v>0.36399999999999999</v>
      </c>
      <c r="AD399" s="7">
        <v>0.246</v>
      </c>
      <c r="AE399" s="7">
        <v>6.3659999999999997</v>
      </c>
      <c r="AF399" s="7">
        <v>11.334</v>
      </c>
      <c r="AG399" s="7">
        <v>0</v>
      </c>
      <c r="AH399" s="7">
        <v>8.8780000000000001</v>
      </c>
      <c r="AI399" s="7">
        <v>0</v>
      </c>
      <c r="AJ399" s="7">
        <v>4.6989999999999998</v>
      </c>
      <c r="AK399" s="7">
        <v>2.2759999999999998</v>
      </c>
      <c r="AL399" s="7">
        <v>27.891999999999999</v>
      </c>
      <c r="AM399" s="7">
        <v>35.850999999999999</v>
      </c>
      <c r="AN399" s="7">
        <v>1.2849999999999999</v>
      </c>
      <c r="AO399" s="7">
        <v>15.974</v>
      </c>
      <c r="AP399" s="7">
        <v>3.8650000000000002</v>
      </c>
      <c r="AQ399" s="7">
        <v>8.0530000000000008</v>
      </c>
    </row>
    <row r="400" spans="1:43" x14ac:dyDescent="0.25">
      <c r="A400" t="s">
        <v>256</v>
      </c>
      <c r="B400" s="1" t="s">
        <v>833</v>
      </c>
      <c r="C400" t="s">
        <v>298</v>
      </c>
      <c r="D400" s="22" t="s">
        <v>286</v>
      </c>
      <c r="E400" s="21">
        <v>2018</v>
      </c>
      <c r="F400" s="7">
        <v>164.606634400129</v>
      </c>
      <c r="G400" s="7">
        <v>4.665</v>
      </c>
      <c r="H400" s="7">
        <v>0.53200000000000003</v>
      </c>
      <c r="I400" s="7">
        <v>1.4590000000000001</v>
      </c>
      <c r="J400" s="7">
        <v>0.622</v>
      </c>
      <c r="K400" s="7">
        <v>1.681</v>
      </c>
      <c r="L400" s="7">
        <v>0</v>
      </c>
      <c r="M400" s="7">
        <v>1.53</v>
      </c>
      <c r="N400" s="7">
        <v>0.114</v>
      </c>
      <c r="O400" s="7">
        <v>0</v>
      </c>
      <c r="P400" s="7">
        <v>2.052</v>
      </c>
      <c r="Q400" s="7">
        <v>0.63600000000000001</v>
      </c>
      <c r="R400" s="7">
        <v>0.109</v>
      </c>
      <c r="S400" s="7">
        <v>5.6859999999999999</v>
      </c>
      <c r="T400" s="7">
        <v>3.2749999999999999</v>
      </c>
      <c r="U400" s="7">
        <v>3.948</v>
      </c>
      <c r="V400" s="7">
        <v>0.34100000000000003</v>
      </c>
      <c r="W400" s="7">
        <v>1.9890000000000001</v>
      </c>
      <c r="X400" s="7">
        <v>2.254</v>
      </c>
      <c r="Y400" s="7">
        <v>0.13300000000000001</v>
      </c>
      <c r="Z400" s="7">
        <v>0</v>
      </c>
      <c r="AA400" s="7">
        <v>3.274</v>
      </c>
      <c r="AB400" s="7">
        <v>4.7119999999999997</v>
      </c>
      <c r="AC400" s="7">
        <v>0</v>
      </c>
      <c r="AD400" s="7">
        <v>0.36499999999999999</v>
      </c>
      <c r="AE400" s="7">
        <v>10.214</v>
      </c>
      <c r="AF400" s="7">
        <v>15.205</v>
      </c>
      <c r="AG400" s="7">
        <v>0</v>
      </c>
      <c r="AH400" s="7">
        <v>11.654999999999999</v>
      </c>
      <c r="AI400" s="7">
        <v>0</v>
      </c>
      <c r="AJ400" s="7">
        <v>5.0110000000000001</v>
      </c>
      <c r="AK400" s="7">
        <v>1.097</v>
      </c>
      <c r="AL400" s="7">
        <v>31.026</v>
      </c>
      <c r="AM400" s="7">
        <v>50.436</v>
      </c>
      <c r="AN400" s="7">
        <v>1.6259999999999999</v>
      </c>
      <c r="AO400" s="7">
        <v>18.370999999999999</v>
      </c>
      <c r="AP400" s="7">
        <v>3.6960000000000002</v>
      </c>
      <c r="AQ400" s="7">
        <v>8.9589999999999996</v>
      </c>
    </row>
    <row r="401" spans="1:43" x14ac:dyDescent="0.25">
      <c r="A401" t="s">
        <v>257</v>
      </c>
      <c r="B401" s="1" t="s">
        <v>833</v>
      </c>
      <c r="C401" t="s">
        <v>298</v>
      </c>
      <c r="D401" s="22" t="s">
        <v>286</v>
      </c>
      <c r="E401" s="21">
        <v>2018</v>
      </c>
      <c r="F401" s="7">
        <v>160.93934976486</v>
      </c>
      <c r="G401" s="7">
        <v>5.5030000000000001</v>
      </c>
      <c r="H401" s="7">
        <v>0.94599999999999995</v>
      </c>
      <c r="I401" s="7">
        <v>1.657</v>
      </c>
      <c r="J401" s="7">
        <v>0.59399999999999997</v>
      </c>
      <c r="K401" s="7">
        <v>1.9590000000000001</v>
      </c>
      <c r="L401" s="7">
        <v>0</v>
      </c>
      <c r="M401" s="7">
        <v>1.556</v>
      </c>
      <c r="N401" s="7">
        <v>0</v>
      </c>
      <c r="O401" s="7">
        <v>0</v>
      </c>
      <c r="P401" s="7">
        <v>2.7029999999999998</v>
      </c>
      <c r="Q401" s="7">
        <v>0.60299999999999998</v>
      </c>
      <c r="R401" s="7">
        <v>0.06</v>
      </c>
      <c r="S401" s="7">
        <v>5.8259999999999996</v>
      </c>
      <c r="T401" s="7">
        <v>3.1440000000000001</v>
      </c>
      <c r="U401" s="7">
        <v>4.3310000000000004</v>
      </c>
      <c r="V401" s="7">
        <v>0.25600000000000001</v>
      </c>
      <c r="W401" s="7">
        <v>2.1469999999999998</v>
      </c>
      <c r="X401" s="7">
        <v>2.3780000000000001</v>
      </c>
      <c r="Y401" s="7">
        <v>0.16900000000000001</v>
      </c>
      <c r="Z401" s="7">
        <v>0</v>
      </c>
      <c r="AA401" s="7">
        <v>7.3970000000000002</v>
      </c>
      <c r="AB401" s="7">
        <v>0.54300000000000004</v>
      </c>
      <c r="AC401" s="7">
        <v>0.46200000000000002</v>
      </c>
      <c r="AD401" s="7">
        <v>0.34399999999999997</v>
      </c>
      <c r="AE401" s="7">
        <v>8.0410000000000004</v>
      </c>
      <c r="AF401" s="7">
        <v>14.433</v>
      </c>
      <c r="AG401" s="7">
        <v>0</v>
      </c>
      <c r="AH401" s="7">
        <v>10.016</v>
      </c>
      <c r="AI401" s="7">
        <v>0</v>
      </c>
      <c r="AJ401" s="7">
        <v>4.5869999999999997</v>
      </c>
      <c r="AK401" s="7">
        <v>1.171</v>
      </c>
      <c r="AL401" s="7">
        <v>33.832000000000001</v>
      </c>
      <c r="AM401" s="7">
        <v>45.823</v>
      </c>
      <c r="AN401" s="7">
        <v>1.3540000000000001</v>
      </c>
      <c r="AO401" s="7">
        <v>18.914000000000001</v>
      </c>
      <c r="AP401" s="7">
        <v>4.2590000000000003</v>
      </c>
      <c r="AQ401" s="7">
        <v>10.659000000000001</v>
      </c>
    </row>
    <row r="402" spans="1:43" x14ac:dyDescent="0.25">
      <c r="A402" t="s">
        <v>258</v>
      </c>
      <c r="B402" s="1" t="s">
        <v>835</v>
      </c>
      <c r="C402" t="s">
        <v>298</v>
      </c>
      <c r="D402" s="22" t="s">
        <v>286</v>
      </c>
      <c r="E402" s="21">
        <v>2018</v>
      </c>
      <c r="F402" s="7">
        <v>132.132806879897</v>
      </c>
      <c r="G402" s="7">
        <v>5.0629999999999997</v>
      </c>
      <c r="H402" s="7">
        <v>0.96799999999999997</v>
      </c>
      <c r="I402" s="7">
        <v>0.871</v>
      </c>
      <c r="J402" s="7">
        <v>0.56799999999999995</v>
      </c>
      <c r="K402" s="7">
        <v>1.361</v>
      </c>
      <c r="L402" s="7">
        <v>0</v>
      </c>
      <c r="M402" s="7">
        <v>1.137</v>
      </c>
      <c r="N402" s="7">
        <v>0</v>
      </c>
      <c r="O402" s="7">
        <v>0</v>
      </c>
      <c r="P402" s="7">
        <v>3.4129999999999998</v>
      </c>
      <c r="Q402" s="7">
        <v>0.48099999999999998</v>
      </c>
      <c r="R402" s="7">
        <v>0</v>
      </c>
      <c r="S402" s="7">
        <v>4.6980000000000004</v>
      </c>
      <c r="T402" s="7">
        <v>2.8290000000000002</v>
      </c>
      <c r="U402" s="7">
        <v>2.9420000000000002</v>
      </c>
      <c r="V402" s="7">
        <v>0.19800000000000001</v>
      </c>
      <c r="W402" s="7">
        <v>1.804</v>
      </c>
      <c r="X402" s="7">
        <v>1.9930000000000001</v>
      </c>
      <c r="Y402" s="7">
        <v>0.11700000000000001</v>
      </c>
      <c r="Z402" s="7">
        <v>0</v>
      </c>
      <c r="AA402" s="7">
        <v>7.8780000000000001</v>
      </c>
      <c r="AB402" s="7">
        <v>0.253</v>
      </c>
      <c r="AC402" s="7">
        <v>0.34</v>
      </c>
      <c r="AD402" s="7">
        <v>0.14499999999999999</v>
      </c>
      <c r="AE402" s="7">
        <v>6.8739999999999997</v>
      </c>
      <c r="AF402" s="7">
        <v>12.375</v>
      </c>
      <c r="AG402" s="7">
        <v>0</v>
      </c>
      <c r="AH402" s="7">
        <v>9.1389999999999993</v>
      </c>
      <c r="AI402" s="7">
        <v>0</v>
      </c>
      <c r="AJ402" s="7">
        <v>2.657</v>
      </c>
      <c r="AK402" s="7">
        <v>0.99399999999999999</v>
      </c>
      <c r="AL402" s="7">
        <v>28.443000000000001</v>
      </c>
      <c r="AM402" s="7">
        <v>39.661000000000001</v>
      </c>
      <c r="AN402" s="7">
        <v>1.3939999999999999</v>
      </c>
      <c r="AO402" s="7">
        <v>15.061999999999999</v>
      </c>
      <c r="AP402" s="7">
        <v>4.55</v>
      </c>
      <c r="AQ402" s="7">
        <v>8.8309999999999995</v>
      </c>
    </row>
    <row r="403" spans="1:43" x14ac:dyDescent="0.25">
      <c r="A403" t="s">
        <v>259</v>
      </c>
      <c r="B403" s="1" t="s">
        <v>835</v>
      </c>
      <c r="C403" t="s">
        <v>298</v>
      </c>
      <c r="D403" s="22" t="s">
        <v>286</v>
      </c>
      <c r="E403" s="21">
        <v>2018</v>
      </c>
      <c r="F403" s="7">
        <v>113.049081283332</v>
      </c>
      <c r="G403" s="7">
        <v>4.6260000000000003</v>
      </c>
      <c r="H403" s="7">
        <v>0.86099999999999999</v>
      </c>
      <c r="I403" s="7">
        <v>0.70399999999999996</v>
      </c>
      <c r="J403" s="7">
        <v>0.46</v>
      </c>
      <c r="K403" s="7">
        <v>1.0940000000000001</v>
      </c>
      <c r="L403" s="7">
        <v>0</v>
      </c>
      <c r="M403" s="7">
        <v>1.1140000000000001</v>
      </c>
      <c r="N403" s="7">
        <v>7.5999999999999998E-2</v>
      </c>
      <c r="O403" s="7">
        <v>0</v>
      </c>
      <c r="P403" s="7">
        <v>2.7549999999999999</v>
      </c>
      <c r="Q403" s="7">
        <v>0.33100000000000002</v>
      </c>
      <c r="R403" s="7">
        <v>0</v>
      </c>
      <c r="S403" s="7">
        <v>4.1390000000000002</v>
      </c>
      <c r="T403" s="7">
        <v>2.0569999999999999</v>
      </c>
      <c r="U403" s="7">
        <v>2.552</v>
      </c>
      <c r="V403" s="7">
        <v>0.13500000000000001</v>
      </c>
      <c r="W403" s="7">
        <v>1.6220000000000001</v>
      </c>
      <c r="X403" s="7">
        <v>1.62</v>
      </c>
      <c r="Y403" s="7">
        <v>8.5999999999999993E-2</v>
      </c>
      <c r="Z403" s="7">
        <v>0</v>
      </c>
      <c r="AA403" s="7">
        <v>7.8540000000000001</v>
      </c>
      <c r="AB403" s="7">
        <v>0.30499999999999999</v>
      </c>
      <c r="AC403" s="7">
        <v>0.26900000000000002</v>
      </c>
      <c r="AD403" s="7">
        <v>0.13100000000000001</v>
      </c>
      <c r="AE403" s="7">
        <v>5.8419999999999996</v>
      </c>
      <c r="AF403" s="7">
        <v>8.4580000000000002</v>
      </c>
      <c r="AG403" s="7">
        <v>0</v>
      </c>
      <c r="AH403" s="7">
        <v>8.2309999999999999</v>
      </c>
      <c r="AI403" s="7">
        <v>0</v>
      </c>
      <c r="AJ403" s="7">
        <v>2.081</v>
      </c>
      <c r="AK403" s="7">
        <v>0.77300000000000002</v>
      </c>
      <c r="AL403" s="7">
        <v>24.231999999999999</v>
      </c>
      <c r="AM403" s="7">
        <v>33.170999999999999</v>
      </c>
      <c r="AN403" s="7">
        <v>1.369</v>
      </c>
      <c r="AO403" s="7">
        <v>12.542</v>
      </c>
      <c r="AP403" s="7">
        <v>3.9449999999999998</v>
      </c>
      <c r="AQ403" s="7">
        <v>7.7450000000000001</v>
      </c>
    </row>
    <row r="404" spans="1:43" x14ac:dyDescent="0.25">
      <c r="A404" t="s">
        <v>260</v>
      </c>
      <c r="B404" s="1" t="s">
        <v>835</v>
      </c>
      <c r="C404" t="s">
        <v>298</v>
      </c>
      <c r="D404" s="22" t="s">
        <v>286</v>
      </c>
      <c r="E404" s="21">
        <v>2018</v>
      </c>
      <c r="F404" s="7">
        <v>107.762673899437</v>
      </c>
      <c r="G404" s="7">
        <v>5.3449999999999998</v>
      </c>
      <c r="H404" s="7">
        <v>0.97099999999999997</v>
      </c>
      <c r="I404" s="7">
        <v>0.71199999999999997</v>
      </c>
      <c r="J404" s="7">
        <v>0.51700000000000002</v>
      </c>
      <c r="K404" s="7">
        <v>1.105</v>
      </c>
      <c r="L404" s="7">
        <v>0</v>
      </c>
      <c r="M404" s="7">
        <v>1.115</v>
      </c>
      <c r="N404" s="7">
        <v>9.7000000000000003E-2</v>
      </c>
      <c r="O404" s="7">
        <v>0</v>
      </c>
      <c r="P404" s="7">
        <v>3.1669999999999998</v>
      </c>
      <c r="Q404" s="7">
        <v>0.41199999999999998</v>
      </c>
      <c r="R404" s="7">
        <v>0</v>
      </c>
      <c r="S404" s="7">
        <v>4.6520000000000001</v>
      </c>
      <c r="T404" s="7">
        <v>2.3809999999999998</v>
      </c>
      <c r="U404" s="7">
        <v>2.48</v>
      </c>
      <c r="V404" s="7">
        <v>0.16500000000000001</v>
      </c>
      <c r="W404" s="7">
        <v>1.7210000000000001</v>
      </c>
      <c r="X404" s="7">
        <v>1.696</v>
      </c>
      <c r="Y404" s="7">
        <v>8.5000000000000006E-2</v>
      </c>
      <c r="Z404" s="7">
        <v>0</v>
      </c>
      <c r="AA404" s="7">
        <v>5.1989999999999998</v>
      </c>
      <c r="AB404" s="7">
        <v>0.30099999999999999</v>
      </c>
      <c r="AC404" s="7">
        <v>0.315</v>
      </c>
      <c r="AD404" s="7">
        <v>0.126</v>
      </c>
      <c r="AE404" s="7">
        <v>6.1219999999999999</v>
      </c>
      <c r="AF404" s="7">
        <v>9.7710000000000008</v>
      </c>
      <c r="AG404" s="7">
        <v>0</v>
      </c>
      <c r="AH404" s="7">
        <v>6.8049999999999997</v>
      </c>
      <c r="AI404" s="7">
        <v>0</v>
      </c>
      <c r="AJ404" s="7">
        <v>2.456</v>
      </c>
      <c r="AK404" s="7">
        <v>0.67</v>
      </c>
      <c r="AL404" s="7">
        <v>26.620999999999999</v>
      </c>
      <c r="AM404" s="7">
        <v>31.094999999999999</v>
      </c>
      <c r="AN404" s="7">
        <v>1.1679999999999999</v>
      </c>
      <c r="AO404" s="7">
        <v>13.592000000000001</v>
      </c>
      <c r="AP404" s="7">
        <v>4.3789999999999996</v>
      </c>
      <c r="AQ404" s="7">
        <v>8.65</v>
      </c>
    </row>
    <row r="405" spans="1:43" x14ac:dyDescent="0.25">
      <c r="A405" t="s">
        <v>261</v>
      </c>
      <c r="B405" s="1" t="s">
        <v>835</v>
      </c>
      <c r="C405" t="s">
        <v>298</v>
      </c>
      <c r="D405" s="22" t="s">
        <v>286</v>
      </c>
      <c r="E405" s="21">
        <v>2018</v>
      </c>
      <c r="F405" s="7">
        <v>157.24192261329199</v>
      </c>
      <c r="G405" s="7">
        <v>6.0380000000000003</v>
      </c>
      <c r="H405" s="7">
        <v>0.98</v>
      </c>
      <c r="I405" s="7">
        <v>1.012</v>
      </c>
      <c r="J405" s="7">
        <v>0.77600000000000002</v>
      </c>
      <c r="K405" s="7">
        <v>1.6439999999999999</v>
      </c>
      <c r="L405" s="7">
        <v>0</v>
      </c>
      <c r="M405" s="7">
        <v>1.552</v>
      </c>
      <c r="N405" s="7">
        <v>0</v>
      </c>
      <c r="O405" s="7">
        <v>0</v>
      </c>
      <c r="P405" s="7">
        <v>3.637</v>
      </c>
      <c r="Q405" s="7">
        <v>0.60399999999999998</v>
      </c>
      <c r="R405" s="7">
        <v>4.9000000000000002E-2</v>
      </c>
      <c r="S405" s="7">
        <v>5.68</v>
      </c>
      <c r="T405" s="7">
        <v>3.6</v>
      </c>
      <c r="U405" s="7">
        <v>3.5779999999999998</v>
      </c>
      <c r="V405" s="7">
        <v>0.245</v>
      </c>
      <c r="W405" s="7">
        <v>2.2269999999999999</v>
      </c>
      <c r="X405" s="7">
        <v>2.4900000000000002</v>
      </c>
      <c r="Y405" s="7">
        <v>0.20399999999999999</v>
      </c>
      <c r="Z405" s="7">
        <v>0</v>
      </c>
      <c r="AA405" s="7">
        <v>6.8440000000000003</v>
      </c>
      <c r="AB405" s="7">
        <v>0.371</v>
      </c>
      <c r="AC405" s="7">
        <v>0.439</v>
      </c>
      <c r="AD405" s="7">
        <v>0.182</v>
      </c>
      <c r="AE405" s="7">
        <v>7.9539999999999997</v>
      </c>
      <c r="AF405" s="7">
        <v>14.585000000000001</v>
      </c>
      <c r="AG405" s="7">
        <v>0</v>
      </c>
      <c r="AH405" s="7">
        <v>11.250999999999999</v>
      </c>
      <c r="AI405" s="7">
        <v>0</v>
      </c>
      <c r="AJ405" s="7">
        <v>3.7360000000000002</v>
      </c>
      <c r="AK405" s="7">
        <v>1.464</v>
      </c>
      <c r="AL405" s="7">
        <v>34.316000000000003</v>
      </c>
      <c r="AM405" s="7">
        <v>45.362000000000002</v>
      </c>
      <c r="AN405" s="7">
        <v>1.3220000000000001</v>
      </c>
      <c r="AO405" s="7">
        <v>18.677</v>
      </c>
      <c r="AP405" s="7">
        <v>5.1890000000000001</v>
      </c>
      <c r="AQ405" s="7">
        <v>10.45</v>
      </c>
    </row>
    <row r="406" spans="1:43" x14ac:dyDescent="0.25">
      <c r="A406" t="s">
        <v>208</v>
      </c>
      <c r="B406" s="22" t="s">
        <v>836</v>
      </c>
      <c r="C406" t="s">
        <v>283</v>
      </c>
      <c r="D406" s="22" t="s">
        <v>283</v>
      </c>
      <c r="E406" s="21">
        <v>2018</v>
      </c>
      <c r="F406" s="7">
        <v>110.538932525638</v>
      </c>
      <c r="G406" s="7">
        <v>4.2169999999999996</v>
      </c>
      <c r="H406" s="7">
        <v>0.65</v>
      </c>
      <c r="I406" s="7">
        <v>0.88100000000000001</v>
      </c>
      <c r="J406" s="7">
        <v>0.58199999999999996</v>
      </c>
      <c r="K406" s="7">
        <v>0.996</v>
      </c>
      <c r="L406" s="7">
        <v>0</v>
      </c>
      <c r="M406" s="7">
        <v>1.0820000000000001</v>
      </c>
      <c r="N406" s="7">
        <v>0.16600000000000001</v>
      </c>
      <c r="O406" s="7">
        <v>0</v>
      </c>
      <c r="P406" s="7">
        <v>2.0830000000000002</v>
      </c>
      <c r="Q406" s="7">
        <v>0.4</v>
      </c>
      <c r="R406" s="7">
        <v>0</v>
      </c>
      <c r="S406" s="7">
        <v>4.46</v>
      </c>
      <c r="T406" s="7">
        <v>2.4750000000000001</v>
      </c>
      <c r="U406" s="7">
        <v>2.964</v>
      </c>
      <c r="V406" s="7">
        <v>0.27800000000000002</v>
      </c>
      <c r="W406" s="7">
        <v>1.502</v>
      </c>
      <c r="X406" s="7">
        <v>1.69</v>
      </c>
      <c r="Y406" s="7">
        <v>0.09</v>
      </c>
      <c r="Z406" s="7">
        <v>0</v>
      </c>
      <c r="AA406" s="7">
        <v>3.18</v>
      </c>
      <c r="AB406" s="7">
        <v>0.47699999999999998</v>
      </c>
      <c r="AC406" s="7">
        <v>0.504</v>
      </c>
      <c r="AD406" s="7">
        <v>0.248</v>
      </c>
      <c r="AE406" s="7">
        <v>7.9059999999999997</v>
      </c>
      <c r="AF406" s="7">
        <v>9.141</v>
      </c>
      <c r="AG406" s="7">
        <v>0</v>
      </c>
      <c r="AH406" s="7">
        <v>12.077999999999999</v>
      </c>
      <c r="AI406" s="7">
        <v>0</v>
      </c>
      <c r="AJ406" s="7">
        <v>2.1760000000000002</v>
      </c>
      <c r="AK406" s="7">
        <v>1.2250000000000001</v>
      </c>
      <c r="AL406" s="7">
        <v>24.515999999999998</v>
      </c>
      <c r="AM406" s="7">
        <v>35.71</v>
      </c>
      <c r="AN406" s="7">
        <v>1.4570000000000001</v>
      </c>
      <c r="AO406" s="7">
        <v>13.859</v>
      </c>
      <c r="AP406" s="7">
        <v>3.331</v>
      </c>
      <c r="AQ406" s="7">
        <v>7.3259999999999996</v>
      </c>
    </row>
    <row r="407" spans="1:43" x14ac:dyDescent="0.25">
      <c r="A407" t="s">
        <v>209</v>
      </c>
      <c r="B407" s="22" t="s">
        <v>836</v>
      </c>
      <c r="C407" t="s">
        <v>283</v>
      </c>
      <c r="D407" s="22" t="s">
        <v>283</v>
      </c>
      <c r="E407" s="21">
        <v>2018</v>
      </c>
      <c r="F407" s="7">
        <v>67.308035731131199</v>
      </c>
      <c r="G407" s="7">
        <v>3.419</v>
      </c>
      <c r="H407" s="7">
        <v>0.873</v>
      </c>
      <c r="I407" s="7">
        <v>0.86899999999999999</v>
      </c>
      <c r="J407" s="7">
        <v>0.73199999999999998</v>
      </c>
      <c r="K407" s="7">
        <v>1.282</v>
      </c>
      <c r="L407" s="7">
        <v>0</v>
      </c>
      <c r="M407" s="7">
        <v>0.77</v>
      </c>
      <c r="N407" s="7">
        <v>0.68700000000000006</v>
      </c>
      <c r="O407" s="7">
        <v>0</v>
      </c>
      <c r="P407" s="7">
        <v>1.903</v>
      </c>
      <c r="Q407" s="7">
        <v>0.27900000000000003</v>
      </c>
      <c r="R407" s="7">
        <v>0</v>
      </c>
      <c r="S407" s="7">
        <v>2.8540000000000001</v>
      </c>
      <c r="T407" s="7">
        <v>1.482</v>
      </c>
      <c r="U407" s="7">
        <v>2.0059999999999998</v>
      </c>
      <c r="V407" s="7">
        <v>0.16400000000000001</v>
      </c>
      <c r="W407" s="7">
        <v>1.095</v>
      </c>
      <c r="X407" s="7">
        <v>1.181</v>
      </c>
      <c r="Y407" s="7">
        <v>0.26500000000000001</v>
      </c>
      <c r="Z407" s="7">
        <v>0</v>
      </c>
      <c r="AA407" s="7">
        <v>1.4350000000000001</v>
      </c>
      <c r="AB407" s="7">
        <v>0.374</v>
      </c>
      <c r="AC407" s="7">
        <v>0.25700000000000001</v>
      </c>
      <c r="AD407" s="7">
        <v>0.14000000000000001</v>
      </c>
      <c r="AE407" s="7">
        <v>3.1389999999999998</v>
      </c>
      <c r="AF407" s="7">
        <v>5.577</v>
      </c>
      <c r="AG407" s="7">
        <v>0</v>
      </c>
      <c r="AH407" s="7">
        <v>4.2539999999999996</v>
      </c>
      <c r="AI407" s="7">
        <v>0</v>
      </c>
      <c r="AJ407" s="7">
        <v>0</v>
      </c>
      <c r="AK407" s="7">
        <v>0.41499999999999998</v>
      </c>
      <c r="AL407" s="7">
        <v>19.861000000000001</v>
      </c>
      <c r="AM407" s="7">
        <v>15.176</v>
      </c>
      <c r="AN407" s="7">
        <v>0.76400000000000001</v>
      </c>
      <c r="AO407" s="7">
        <v>9.3260000000000005</v>
      </c>
      <c r="AP407" s="7">
        <v>3.36</v>
      </c>
      <c r="AQ407" s="7">
        <v>7.1749999999999998</v>
      </c>
    </row>
    <row r="408" spans="1:43" x14ac:dyDescent="0.25">
      <c r="A408" t="s">
        <v>210</v>
      </c>
      <c r="B408" s="22" t="s">
        <v>836</v>
      </c>
      <c r="C408" t="s">
        <v>283</v>
      </c>
      <c r="D408" s="22" t="s">
        <v>283</v>
      </c>
      <c r="E408" s="21">
        <v>2018</v>
      </c>
      <c r="F408" s="7">
        <v>54.895296374292897</v>
      </c>
      <c r="G408" s="7">
        <v>2.3050000000000002</v>
      </c>
      <c r="H408" s="7">
        <v>0.54500000000000004</v>
      </c>
      <c r="I408" s="7">
        <v>0.52500000000000002</v>
      </c>
      <c r="J408" s="7">
        <v>0.33300000000000002</v>
      </c>
      <c r="K408" s="7">
        <v>0.83</v>
      </c>
      <c r="L408" s="7">
        <v>0</v>
      </c>
      <c r="M408" s="7">
        <v>0.63200000000000001</v>
      </c>
      <c r="N408" s="7">
        <v>0.22600000000000001</v>
      </c>
      <c r="O408" s="7">
        <v>0</v>
      </c>
      <c r="P408" s="7">
        <v>1.3140000000000001</v>
      </c>
      <c r="Q408" s="7">
        <v>0.14599999999999999</v>
      </c>
      <c r="R408" s="7">
        <v>0</v>
      </c>
      <c r="S408" s="7">
        <v>2.0760000000000001</v>
      </c>
      <c r="T408" s="7">
        <v>1.226</v>
      </c>
      <c r="U408" s="7">
        <v>1.5549999999999999</v>
      </c>
      <c r="V408" s="7">
        <v>8.8999999999999996E-2</v>
      </c>
      <c r="W408" s="7">
        <v>0.79800000000000004</v>
      </c>
      <c r="X408" s="7">
        <v>0.95799999999999996</v>
      </c>
      <c r="Y408" s="7">
        <v>0.17499999999999999</v>
      </c>
      <c r="Z408" s="7">
        <v>0</v>
      </c>
      <c r="AA408" s="7">
        <v>2.1549999999999998</v>
      </c>
      <c r="AB408" s="7">
        <v>0.27900000000000003</v>
      </c>
      <c r="AC408" s="7">
        <v>0.17100000000000001</v>
      </c>
      <c r="AD408" s="7">
        <v>0.152</v>
      </c>
      <c r="AE408" s="7">
        <v>4.0170000000000003</v>
      </c>
      <c r="AF408" s="7">
        <v>5.5759999999999996</v>
      </c>
      <c r="AG408" s="7">
        <v>0</v>
      </c>
      <c r="AH408" s="7">
        <v>3.0459999999999998</v>
      </c>
      <c r="AI408" s="7">
        <v>0</v>
      </c>
      <c r="AJ408" s="7">
        <v>0.89700000000000002</v>
      </c>
      <c r="AK408" s="7">
        <v>0.38300000000000001</v>
      </c>
      <c r="AL408" s="7">
        <v>13.733000000000001</v>
      </c>
      <c r="AM408" s="7">
        <v>16.292999999999999</v>
      </c>
      <c r="AN408" s="7">
        <v>1.1859999999999999</v>
      </c>
      <c r="AO408" s="7">
        <v>7.0229999999999997</v>
      </c>
      <c r="AP408" s="7">
        <v>2.1720000000000002</v>
      </c>
      <c r="AQ408" s="7">
        <v>4.5380000000000003</v>
      </c>
    </row>
    <row r="409" spans="1:43" x14ac:dyDescent="0.25">
      <c r="A409" t="s">
        <v>211</v>
      </c>
      <c r="B409" s="22" t="s">
        <v>836</v>
      </c>
      <c r="C409" t="s">
        <v>283</v>
      </c>
      <c r="D409" s="22" t="s">
        <v>283</v>
      </c>
      <c r="E409" s="21">
        <v>2018</v>
      </c>
      <c r="F409" s="7">
        <v>89.797169763905202</v>
      </c>
      <c r="G409" s="7">
        <v>3.298</v>
      </c>
      <c r="H409" s="7">
        <v>0.69599999999999995</v>
      </c>
      <c r="I409" s="7">
        <v>0.84299999999999997</v>
      </c>
      <c r="J409" s="7">
        <v>0.63200000000000001</v>
      </c>
      <c r="K409" s="7">
        <v>1.4219999999999999</v>
      </c>
      <c r="L409" s="7">
        <v>0</v>
      </c>
      <c r="M409" s="7">
        <v>0.94099999999999995</v>
      </c>
      <c r="N409" s="7">
        <v>0.16600000000000001</v>
      </c>
      <c r="O409" s="7">
        <v>0</v>
      </c>
      <c r="P409" s="7">
        <v>1.806</v>
      </c>
      <c r="Q409" s="7">
        <v>0.252</v>
      </c>
      <c r="R409" s="7">
        <v>0</v>
      </c>
      <c r="S409" s="7">
        <v>3.202</v>
      </c>
      <c r="T409" s="7">
        <v>1.9510000000000001</v>
      </c>
      <c r="U409" s="7">
        <v>2.3639999999999999</v>
      </c>
      <c r="V409" s="7">
        <v>0.156</v>
      </c>
      <c r="W409" s="7">
        <v>1.2090000000000001</v>
      </c>
      <c r="X409" s="7">
        <v>1.502</v>
      </c>
      <c r="Y409" s="7">
        <v>0.13800000000000001</v>
      </c>
      <c r="Z409" s="7">
        <v>0</v>
      </c>
      <c r="AA409" s="7">
        <v>2.1789999999999998</v>
      </c>
      <c r="AB409" s="7">
        <v>0.40500000000000003</v>
      </c>
      <c r="AC409" s="7">
        <v>0.307</v>
      </c>
      <c r="AD409" s="7">
        <v>0.17899999999999999</v>
      </c>
      <c r="AE409" s="7">
        <v>6.4859999999999998</v>
      </c>
      <c r="AF409" s="7">
        <v>10.378</v>
      </c>
      <c r="AG409" s="7">
        <v>0</v>
      </c>
      <c r="AH409" s="7">
        <v>6.0220000000000002</v>
      </c>
      <c r="AI409" s="7">
        <v>0</v>
      </c>
      <c r="AJ409" s="7">
        <v>1.9590000000000001</v>
      </c>
      <c r="AK409" s="7">
        <v>0.75800000000000001</v>
      </c>
      <c r="AL409" s="7">
        <v>20.577999999999999</v>
      </c>
      <c r="AM409" s="7">
        <v>27.914999999999999</v>
      </c>
      <c r="AN409" s="7">
        <v>1.357</v>
      </c>
      <c r="AO409" s="7">
        <v>10.773999999999999</v>
      </c>
      <c r="AP409" s="7">
        <v>2.9129999999999998</v>
      </c>
      <c r="AQ409" s="7">
        <v>6.891</v>
      </c>
    </row>
    <row r="410" spans="1:43" x14ac:dyDescent="0.25">
      <c r="A410" t="s">
        <v>212</v>
      </c>
      <c r="B410" s="22" t="s">
        <v>832</v>
      </c>
      <c r="C410" t="s">
        <v>286</v>
      </c>
      <c r="D410" s="22" t="s">
        <v>286</v>
      </c>
      <c r="E410" s="21">
        <v>2018</v>
      </c>
      <c r="F410" s="7">
        <v>67.5581150323044</v>
      </c>
      <c r="G410" s="7">
        <v>2.33</v>
      </c>
      <c r="H410" s="7">
        <v>0.78100000000000003</v>
      </c>
      <c r="I410" s="7">
        <v>0.44900000000000001</v>
      </c>
      <c r="J410" s="7">
        <v>0.41599999999999998</v>
      </c>
      <c r="K410" s="7">
        <v>0.82499999999999996</v>
      </c>
      <c r="L410" s="7">
        <v>0</v>
      </c>
      <c r="M410" s="7">
        <v>0.628</v>
      </c>
      <c r="N410" s="7">
        <v>0.36499999999999999</v>
      </c>
      <c r="O410" s="7">
        <v>0</v>
      </c>
      <c r="P410" s="7">
        <v>1.43</v>
      </c>
      <c r="Q410" s="7">
        <v>0.15</v>
      </c>
      <c r="R410" s="7">
        <v>0</v>
      </c>
      <c r="S410" s="7">
        <v>2.0910000000000002</v>
      </c>
      <c r="T410" s="7">
        <v>1.091</v>
      </c>
      <c r="U410" s="7">
        <v>1.389</v>
      </c>
      <c r="V410" s="7">
        <v>0.17100000000000001</v>
      </c>
      <c r="W410" s="7">
        <v>0.83199999999999996</v>
      </c>
      <c r="X410" s="7">
        <v>0.83799999999999997</v>
      </c>
      <c r="Y410" s="7">
        <v>0.20799999999999999</v>
      </c>
      <c r="Z410" s="7">
        <v>0</v>
      </c>
      <c r="AA410" s="7">
        <v>4.7450000000000001</v>
      </c>
      <c r="AB410" s="7">
        <v>0.379</v>
      </c>
      <c r="AC410" s="7">
        <v>0.12</v>
      </c>
      <c r="AD410" s="7">
        <v>0.11600000000000001</v>
      </c>
      <c r="AE410" s="7">
        <v>3.694</v>
      </c>
      <c r="AF410" s="7">
        <v>7.6989999999999998</v>
      </c>
      <c r="AG410" s="7">
        <v>0</v>
      </c>
      <c r="AH410" s="7">
        <v>4.157</v>
      </c>
      <c r="AI410" s="7">
        <v>0</v>
      </c>
      <c r="AJ410" s="7">
        <v>1.2230000000000001</v>
      </c>
      <c r="AK410" s="7">
        <v>0.6</v>
      </c>
      <c r="AL410" s="7">
        <v>13.994</v>
      </c>
      <c r="AM410" s="7">
        <v>22.132999999999999</v>
      </c>
      <c r="AN410" s="7">
        <v>1.5820000000000001</v>
      </c>
      <c r="AO410" s="7">
        <v>6.77</v>
      </c>
      <c r="AP410" s="7">
        <v>2.423</v>
      </c>
      <c r="AQ410" s="7">
        <v>4.8010000000000002</v>
      </c>
    </row>
    <row r="411" spans="1:43" x14ac:dyDescent="0.25">
      <c r="A411" t="s">
        <v>262</v>
      </c>
      <c r="B411" s="22" t="s">
        <v>832</v>
      </c>
      <c r="C411" t="s">
        <v>286</v>
      </c>
      <c r="D411" s="22" t="s">
        <v>286</v>
      </c>
      <c r="E411" s="21">
        <v>2018</v>
      </c>
      <c r="F411" s="7">
        <v>104.011023729535</v>
      </c>
      <c r="G411" s="7">
        <v>3.4540000000000002</v>
      </c>
      <c r="H411" s="7">
        <v>0.92500000000000004</v>
      </c>
      <c r="I411" s="7">
        <v>0.872</v>
      </c>
      <c r="J411" s="7">
        <v>0.58699999999999997</v>
      </c>
      <c r="K411" s="7">
        <v>1.1779999999999999</v>
      </c>
      <c r="L411" s="7">
        <v>0</v>
      </c>
      <c r="M411" s="7">
        <v>0.92100000000000004</v>
      </c>
      <c r="N411" s="7">
        <v>0</v>
      </c>
      <c r="O411" s="7">
        <v>0</v>
      </c>
      <c r="P411" s="7">
        <v>2.1259999999999999</v>
      </c>
      <c r="Q411" s="7">
        <v>0.26400000000000001</v>
      </c>
      <c r="R411" s="7">
        <v>0</v>
      </c>
      <c r="S411" s="7">
        <v>3.2719999999999998</v>
      </c>
      <c r="T411" s="7">
        <v>1.6080000000000001</v>
      </c>
      <c r="U411" s="7">
        <v>2.38</v>
      </c>
      <c r="V411" s="7">
        <v>0.14799999999999999</v>
      </c>
      <c r="W411" s="7">
        <v>1.33</v>
      </c>
      <c r="X411" s="7">
        <v>1.39</v>
      </c>
      <c r="Y411" s="7">
        <v>0.16200000000000001</v>
      </c>
      <c r="Z411" s="7">
        <v>0</v>
      </c>
      <c r="AA411" s="7">
        <v>7.2910000000000004</v>
      </c>
      <c r="AB411" s="7">
        <v>0.44700000000000001</v>
      </c>
      <c r="AC411" s="7">
        <v>0.255</v>
      </c>
      <c r="AD411" s="7">
        <v>0.153</v>
      </c>
      <c r="AE411" s="7">
        <v>6.1749999999999998</v>
      </c>
      <c r="AF411" s="7">
        <v>8.7200000000000006</v>
      </c>
      <c r="AG411" s="7">
        <v>0</v>
      </c>
      <c r="AH411" s="7">
        <v>9.641</v>
      </c>
      <c r="AI411" s="7">
        <v>0</v>
      </c>
      <c r="AJ411" s="7">
        <v>1.619</v>
      </c>
      <c r="AK411" s="7">
        <v>0.74399999999999999</v>
      </c>
      <c r="AL411" s="7">
        <v>20.617000000000001</v>
      </c>
      <c r="AM411" s="7">
        <v>34.301000000000002</v>
      </c>
      <c r="AN411" s="7">
        <v>1.6639999999999999</v>
      </c>
      <c r="AO411" s="7">
        <v>10.554</v>
      </c>
      <c r="AP411" s="7">
        <v>3.0470000000000002</v>
      </c>
      <c r="AQ411" s="7">
        <v>7.016</v>
      </c>
    </row>
    <row r="412" spans="1:43" x14ac:dyDescent="0.25">
      <c r="A412" t="s">
        <v>213</v>
      </c>
      <c r="B412" s="22" t="s">
        <v>832</v>
      </c>
      <c r="C412" t="s">
        <v>286</v>
      </c>
      <c r="D412" s="22" t="s">
        <v>286</v>
      </c>
      <c r="E412" s="21">
        <v>2018</v>
      </c>
      <c r="F412" s="7">
        <v>72.228748018538596</v>
      </c>
      <c r="G412" s="7">
        <v>2.3290000000000002</v>
      </c>
      <c r="H412" s="7">
        <v>0.80200000000000005</v>
      </c>
      <c r="I412" s="7">
        <v>0.72699999999999998</v>
      </c>
      <c r="J412" s="7">
        <v>0.33200000000000002</v>
      </c>
      <c r="K412" s="7">
        <v>1.788</v>
      </c>
      <c r="L412" s="7">
        <v>0</v>
      </c>
      <c r="M412" s="7">
        <v>0.60499999999999998</v>
      </c>
      <c r="N412" s="7">
        <v>0</v>
      </c>
      <c r="O412" s="7">
        <v>0</v>
      </c>
      <c r="P412" s="7">
        <v>1.4279999999999999</v>
      </c>
      <c r="Q412" s="7">
        <v>0.14599999999999999</v>
      </c>
      <c r="R412" s="7">
        <v>0</v>
      </c>
      <c r="S412" s="7">
        <v>2.1309999999999998</v>
      </c>
      <c r="T412" s="7">
        <v>1.028</v>
      </c>
      <c r="U412" s="7">
        <v>1.498</v>
      </c>
      <c r="V412" s="7">
        <v>0.13400000000000001</v>
      </c>
      <c r="W412" s="7">
        <v>0.88300000000000001</v>
      </c>
      <c r="X412" s="7">
        <v>0.871</v>
      </c>
      <c r="Y412" s="7">
        <v>0.185</v>
      </c>
      <c r="Z412" s="7">
        <v>0</v>
      </c>
      <c r="AA412" s="7">
        <v>5.5819999999999999</v>
      </c>
      <c r="AB412" s="7">
        <v>0.58899999999999997</v>
      </c>
      <c r="AC412" s="7">
        <v>0</v>
      </c>
      <c r="AD412" s="7">
        <v>0.11</v>
      </c>
      <c r="AE412" s="7">
        <v>3.0990000000000002</v>
      </c>
      <c r="AF412" s="7">
        <v>6.0279999999999996</v>
      </c>
      <c r="AG412" s="7">
        <v>0</v>
      </c>
      <c r="AH412" s="7">
        <v>9.4320000000000004</v>
      </c>
      <c r="AI412" s="7">
        <v>0</v>
      </c>
      <c r="AJ412" s="7">
        <v>1.0489999999999999</v>
      </c>
      <c r="AK412" s="7">
        <v>0.67100000000000004</v>
      </c>
      <c r="AL412" s="7">
        <v>14.887</v>
      </c>
      <c r="AM412" s="7">
        <v>25.888999999999999</v>
      </c>
      <c r="AN412" s="7">
        <v>1.7390000000000001</v>
      </c>
      <c r="AO412" s="7">
        <v>6.8760000000000003</v>
      </c>
      <c r="AP412" s="7">
        <v>2.0329999999999999</v>
      </c>
      <c r="AQ412" s="7">
        <v>5.9779999999999998</v>
      </c>
    </row>
    <row r="413" spans="1:43" x14ac:dyDescent="0.25">
      <c r="A413" t="s">
        <v>214</v>
      </c>
      <c r="B413" s="22" t="s">
        <v>832</v>
      </c>
      <c r="C413" t="s">
        <v>286</v>
      </c>
      <c r="D413" s="22" t="s">
        <v>286</v>
      </c>
      <c r="E413" s="21">
        <v>2018</v>
      </c>
      <c r="F413" s="7">
        <v>91.959842323443596</v>
      </c>
      <c r="G413" s="7">
        <v>3.3029999999999999</v>
      </c>
      <c r="H413" s="7">
        <v>0.81499999999999995</v>
      </c>
      <c r="I413" s="7">
        <v>0.66</v>
      </c>
      <c r="J413" s="7">
        <v>0.442</v>
      </c>
      <c r="K413" s="7">
        <v>0.81</v>
      </c>
      <c r="L413" s="7">
        <v>0</v>
      </c>
      <c r="M413" s="7">
        <v>0.83199999999999996</v>
      </c>
      <c r="N413" s="7">
        <v>0.14699999999999999</v>
      </c>
      <c r="O413" s="7">
        <v>0</v>
      </c>
      <c r="P413" s="7">
        <v>1.849</v>
      </c>
      <c r="Q413" s="7">
        <v>0.224</v>
      </c>
      <c r="R413" s="7">
        <v>0</v>
      </c>
      <c r="S413" s="7">
        <v>2.9820000000000002</v>
      </c>
      <c r="T413" s="7">
        <v>1.319</v>
      </c>
      <c r="U413" s="7">
        <v>1.821</v>
      </c>
      <c r="V413" s="7">
        <v>0.113</v>
      </c>
      <c r="W413" s="7">
        <v>1.149</v>
      </c>
      <c r="X413" s="7">
        <v>1.0720000000000001</v>
      </c>
      <c r="Y413" s="7">
        <v>0.187</v>
      </c>
      <c r="Z413" s="7">
        <v>0</v>
      </c>
      <c r="AA413" s="7">
        <v>5.367</v>
      </c>
      <c r="AB413" s="7">
        <v>0.377</v>
      </c>
      <c r="AC413" s="7">
        <v>0.19400000000000001</v>
      </c>
      <c r="AD413" s="7">
        <v>7.9000000000000001E-2</v>
      </c>
      <c r="AE413" s="7">
        <v>5.1360000000000001</v>
      </c>
      <c r="AF413" s="7">
        <v>6.633</v>
      </c>
      <c r="AG413" s="7">
        <v>0</v>
      </c>
      <c r="AH413" s="7">
        <v>9.6579999999999995</v>
      </c>
      <c r="AI413" s="7">
        <v>0</v>
      </c>
      <c r="AJ413" s="7">
        <v>1.62</v>
      </c>
      <c r="AK413" s="7">
        <v>0.84799999999999998</v>
      </c>
      <c r="AL413" s="7">
        <v>17.725000000000001</v>
      </c>
      <c r="AM413" s="7">
        <v>29.064</v>
      </c>
      <c r="AN413" s="7">
        <v>1.64</v>
      </c>
      <c r="AO413" s="7">
        <v>8.8670000000000009</v>
      </c>
      <c r="AP413" s="7">
        <v>2.8279999999999998</v>
      </c>
      <c r="AQ413" s="7">
        <v>6.03</v>
      </c>
    </row>
    <row r="414" spans="1:43" x14ac:dyDescent="0.25">
      <c r="A414" t="s">
        <v>215</v>
      </c>
      <c r="B414" s="22" t="s">
        <v>820</v>
      </c>
      <c r="C414" t="s">
        <v>286</v>
      </c>
      <c r="D414" s="22" t="s">
        <v>283</v>
      </c>
      <c r="E414" s="21">
        <v>2018</v>
      </c>
      <c r="F414" s="7">
        <v>23.650528035381399</v>
      </c>
      <c r="G414" s="7">
        <v>1.1819999999999999</v>
      </c>
      <c r="H414" s="7">
        <v>0.35699999999999998</v>
      </c>
      <c r="I414" s="7">
        <v>0.36199999999999999</v>
      </c>
      <c r="J414" s="7">
        <v>0.11799999999999999</v>
      </c>
      <c r="K414" s="7">
        <v>0.45700000000000002</v>
      </c>
      <c r="L414" s="7">
        <v>0</v>
      </c>
      <c r="M414" s="7">
        <v>0.29899999999999999</v>
      </c>
      <c r="N414" s="7">
        <v>0.13700000000000001</v>
      </c>
      <c r="O414" s="7">
        <v>0</v>
      </c>
      <c r="P414" s="7">
        <v>0.58399999999999996</v>
      </c>
      <c r="Q414" s="7">
        <v>4.7E-2</v>
      </c>
      <c r="R414" s="7">
        <v>0</v>
      </c>
      <c r="S414" s="7">
        <v>0.85299999999999998</v>
      </c>
      <c r="T414" s="7">
        <v>0.442</v>
      </c>
      <c r="U414" s="7">
        <v>0.63900000000000001</v>
      </c>
      <c r="V414" s="7">
        <v>3.6999999999999998E-2</v>
      </c>
      <c r="W414" s="7">
        <v>0.36599999999999999</v>
      </c>
      <c r="X414" s="7">
        <v>0.375</v>
      </c>
      <c r="Y414" s="7">
        <v>0</v>
      </c>
      <c r="Z414" s="7">
        <v>0</v>
      </c>
      <c r="AA414" s="7">
        <v>0.42799999999999999</v>
      </c>
      <c r="AB414" s="7">
        <v>0.152</v>
      </c>
      <c r="AC414" s="7">
        <v>4.5999999999999999E-2</v>
      </c>
      <c r="AD414" s="7">
        <v>0</v>
      </c>
      <c r="AE414" s="7">
        <v>1.458</v>
      </c>
      <c r="AF414" s="7">
        <v>2.2959999999999998</v>
      </c>
      <c r="AG414" s="7">
        <v>0</v>
      </c>
      <c r="AH414" s="7">
        <v>1.4590000000000001</v>
      </c>
      <c r="AI414" s="7">
        <v>0</v>
      </c>
      <c r="AJ414" s="7">
        <v>0</v>
      </c>
      <c r="AK414" s="7">
        <v>0.12</v>
      </c>
      <c r="AL414" s="7">
        <v>6.2549999999999999</v>
      </c>
      <c r="AM414" s="7">
        <v>5.8390000000000004</v>
      </c>
      <c r="AN414" s="7">
        <v>0.93300000000000005</v>
      </c>
      <c r="AO414" s="7">
        <v>2.7589999999999999</v>
      </c>
      <c r="AP414" s="7">
        <v>1.02</v>
      </c>
      <c r="AQ414" s="7">
        <v>2.476</v>
      </c>
    </row>
    <row r="415" spans="1:43" x14ac:dyDescent="0.25">
      <c r="A415" t="s">
        <v>216</v>
      </c>
      <c r="B415" s="22" t="s">
        <v>820</v>
      </c>
      <c r="C415" t="s">
        <v>286</v>
      </c>
      <c r="D415" s="22" t="s">
        <v>283</v>
      </c>
      <c r="E415" s="21">
        <v>2018</v>
      </c>
      <c r="F415" s="7">
        <v>17.5165692673677</v>
      </c>
      <c r="G415" s="7">
        <v>0.91800000000000004</v>
      </c>
      <c r="H415" s="7">
        <v>0.318</v>
      </c>
      <c r="I415" s="7">
        <v>0.38700000000000001</v>
      </c>
      <c r="J415" s="7">
        <v>7.0999999999999994E-2</v>
      </c>
      <c r="K415" s="7">
        <v>0.307</v>
      </c>
      <c r="L415" s="7">
        <v>0</v>
      </c>
      <c r="M415" s="7">
        <v>0.24</v>
      </c>
      <c r="N415" s="7">
        <v>4.9000000000000002E-2</v>
      </c>
      <c r="O415" s="7">
        <v>0</v>
      </c>
      <c r="P415" s="7">
        <v>0.48299999999999998</v>
      </c>
      <c r="Q415" s="7">
        <v>3.1E-2</v>
      </c>
      <c r="R415" s="7">
        <v>0</v>
      </c>
      <c r="S415" s="7">
        <v>0.61399999999999999</v>
      </c>
      <c r="T415" s="7">
        <v>0.28699999999999998</v>
      </c>
      <c r="U415" s="7">
        <v>0.48899999999999999</v>
      </c>
      <c r="V415" s="7">
        <v>0</v>
      </c>
      <c r="W415" s="7">
        <v>0.29799999999999999</v>
      </c>
      <c r="X415" s="7">
        <v>0.28899999999999998</v>
      </c>
      <c r="Y415" s="7">
        <v>0</v>
      </c>
      <c r="Z415" s="7">
        <v>0</v>
      </c>
      <c r="AA415" s="7">
        <v>0.441</v>
      </c>
      <c r="AB415" s="7">
        <v>0.129</v>
      </c>
      <c r="AC415" s="7">
        <v>4.7E-2</v>
      </c>
      <c r="AD415" s="7">
        <v>0</v>
      </c>
      <c r="AE415" s="7">
        <v>0.86499999999999999</v>
      </c>
      <c r="AF415" s="7">
        <v>1.905</v>
      </c>
      <c r="AG415" s="7">
        <v>0</v>
      </c>
      <c r="AH415" s="7">
        <v>1.0069999999999999</v>
      </c>
      <c r="AI415" s="7">
        <v>0</v>
      </c>
      <c r="AJ415" s="7">
        <v>0</v>
      </c>
      <c r="AK415" s="7">
        <v>0.13</v>
      </c>
      <c r="AL415" s="7">
        <v>4.7809999999999997</v>
      </c>
      <c r="AM415" s="7">
        <v>4.3940000000000001</v>
      </c>
      <c r="AN415" s="7">
        <v>0.91900000000000004</v>
      </c>
      <c r="AO415" s="7">
        <v>2.008</v>
      </c>
      <c r="AP415" s="7">
        <v>0.77200000000000002</v>
      </c>
      <c r="AQ415" s="7">
        <v>2.0009999999999999</v>
      </c>
    </row>
    <row r="416" spans="1:43" x14ac:dyDescent="0.25">
      <c r="A416" t="s">
        <v>217</v>
      </c>
      <c r="B416" s="22" t="s">
        <v>820</v>
      </c>
      <c r="C416" t="s">
        <v>286</v>
      </c>
      <c r="D416" s="22" t="s">
        <v>283</v>
      </c>
      <c r="E416" s="21">
        <v>2018</v>
      </c>
      <c r="F416" s="7">
        <v>13.160439320451299</v>
      </c>
      <c r="G416" s="7">
        <v>0.61799999999999999</v>
      </c>
      <c r="H416" s="7">
        <v>0.23</v>
      </c>
      <c r="I416" s="7">
        <v>0.312</v>
      </c>
      <c r="J416" s="7">
        <v>4.9000000000000002E-2</v>
      </c>
      <c r="K416" s="7">
        <v>0.158</v>
      </c>
      <c r="L416" s="7">
        <v>0</v>
      </c>
      <c r="M416" s="7">
        <v>0.19</v>
      </c>
      <c r="N416" s="7">
        <v>0</v>
      </c>
      <c r="O416" s="7">
        <v>0</v>
      </c>
      <c r="P416" s="7">
        <v>0.311</v>
      </c>
      <c r="Q416" s="7">
        <v>2.8000000000000001E-2</v>
      </c>
      <c r="R416" s="7">
        <v>0</v>
      </c>
      <c r="S416" s="7">
        <v>0.40799999999999997</v>
      </c>
      <c r="T416" s="7">
        <v>0.25</v>
      </c>
      <c r="U416" s="7">
        <v>0.38500000000000001</v>
      </c>
      <c r="V416" s="7">
        <v>3.4000000000000002E-2</v>
      </c>
      <c r="W416" s="7">
        <v>0.219</v>
      </c>
      <c r="X416" s="7">
        <v>0.214</v>
      </c>
      <c r="Y416" s="7">
        <v>0</v>
      </c>
      <c r="Z416" s="7">
        <v>0</v>
      </c>
      <c r="AA416" s="7">
        <v>0.28499999999999998</v>
      </c>
      <c r="AB416" s="7">
        <v>0.2</v>
      </c>
      <c r="AC416" s="7">
        <v>0</v>
      </c>
      <c r="AD416" s="7">
        <v>0</v>
      </c>
      <c r="AE416" s="7">
        <v>0.81699999999999995</v>
      </c>
      <c r="AF416" s="7">
        <v>1.3640000000000001</v>
      </c>
      <c r="AG416" s="7">
        <v>0</v>
      </c>
      <c r="AH416" s="7">
        <v>0.89800000000000002</v>
      </c>
      <c r="AI416" s="7">
        <v>0</v>
      </c>
      <c r="AJ416" s="7">
        <v>0.25700000000000001</v>
      </c>
      <c r="AK416" s="7">
        <v>9.9000000000000005E-2</v>
      </c>
      <c r="AL416" s="7">
        <v>3.4060000000000001</v>
      </c>
      <c r="AM416" s="7">
        <v>3.8210000000000002</v>
      </c>
      <c r="AN416" s="7">
        <v>1.1220000000000001</v>
      </c>
      <c r="AO416" s="7">
        <v>1.538</v>
      </c>
      <c r="AP416" s="7">
        <v>0.501</v>
      </c>
      <c r="AQ416" s="7">
        <v>1.367</v>
      </c>
    </row>
    <row r="417" spans="1:43" x14ac:dyDescent="0.25">
      <c r="A417" t="s">
        <v>263</v>
      </c>
      <c r="B417" s="22" t="s">
        <v>820</v>
      </c>
      <c r="C417" t="s">
        <v>286</v>
      </c>
      <c r="D417" s="22" t="s">
        <v>283</v>
      </c>
      <c r="E417" s="21">
        <v>2018</v>
      </c>
      <c r="F417" s="7">
        <v>28.433400758968901</v>
      </c>
      <c r="G417" s="7">
        <v>1.4570000000000001</v>
      </c>
      <c r="H417" s="7">
        <v>0.45500000000000002</v>
      </c>
      <c r="I417" s="7">
        <v>0.45300000000000001</v>
      </c>
      <c r="J417" s="7">
        <v>0.109</v>
      </c>
      <c r="K417" s="7">
        <v>0.39800000000000002</v>
      </c>
      <c r="L417" s="7">
        <v>0</v>
      </c>
      <c r="M417" s="7">
        <v>0.38800000000000001</v>
      </c>
      <c r="N417" s="7">
        <v>4.4999999999999998E-2</v>
      </c>
      <c r="O417" s="7">
        <v>0</v>
      </c>
      <c r="P417" s="7">
        <v>0.88200000000000001</v>
      </c>
      <c r="Q417" s="7">
        <v>6.5000000000000002E-2</v>
      </c>
      <c r="R417" s="7">
        <v>0</v>
      </c>
      <c r="S417" s="7">
        <v>1.1619999999999999</v>
      </c>
      <c r="T417" s="7">
        <v>0.51100000000000001</v>
      </c>
      <c r="U417" s="7">
        <v>0.79</v>
      </c>
      <c r="V417" s="7">
        <v>4.2000000000000003E-2</v>
      </c>
      <c r="W417" s="7">
        <v>0.52400000000000002</v>
      </c>
      <c r="X417" s="7">
        <v>0.439</v>
      </c>
      <c r="Y417" s="7">
        <v>0</v>
      </c>
      <c r="Z417" s="7">
        <v>0</v>
      </c>
      <c r="AA417" s="7">
        <v>0.6</v>
      </c>
      <c r="AB417" s="7">
        <v>0.16300000000000001</v>
      </c>
      <c r="AC417" s="7">
        <v>7.9000000000000001E-2</v>
      </c>
      <c r="AD417" s="7">
        <v>0</v>
      </c>
      <c r="AE417" s="7">
        <v>2.7490000000000001</v>
      </c>
      <c r="AF417" s="7">
        <v>3.4350000000000001</v>
      </c>
      <c r="AG417" s="7">
        <v>0</v>
      </c>
      <c r="AH417" s="7">
        <v>1.833</v>
      </c>
      <c r="AI417" s="7">
        <v>0</v>
      </c>
      <c r="AJ417" s="7">
        <v>0</v>
      </c>
      <c r="AK417" s="7">
        <v>0.247</v>
      </c>
      <c r="AL417" s="7">
        <v>7.72</v>
      </c>
      <c r="AM417" s="7">
        <v>8.859</v>
      </c>
      <c r="AN417" s="7">
        <v>1.1479999999999999</v>
      </c>
      <c r="AO417" s="7">
        <v>3.5329999999999999</v>
      </c>
      <c r="AP417" s="7">
        <v>1.3149999999999999</v>
      </c>
      <c r="AQ417" s="7">
        <v>2.8719999999999999</v>
      </c>
    </row>
    <row r="418" spans="1:43" x14ac:dyDescent="0.25">
      <c r="A418" t="s">
        <v>218</v>
      </c>
      <c r="B418" s="22" t="s">
        <v>821</v>
      </c>
      <c r="C418" t="s">
        <v>286</v>
      </c>
      <c r="D418" s="22" t="s">
        <v>286</v>
      </c>
      <c r="E418" s="21">
        <v>2018</v>
      </c>
      <c r="F418" s="7">
        <v>70.561112070976293</v>
      </c>
      <c r="G418" s="7">
        <v>3.34</v>
      </c>
      <c r="H418" s="7">
        <v>0.77300000000000002</v>
      </c>
      <c r="I418" s="7">
        <v>1.1639999999999999</v>
      </c>
      <c r="J418" s="7">
        <v>0.4</v>
      </c>
      <c r="K418" s="7">
        <v>0.95299999999999996</v>
      </c>
      <c r="L418" s="7">
        <v>0</v>
      </c>
      <c r="M418" s="7">
        <v>0.93500000000000005</v>
      </c>
      <c r="N418" s="7">
        <v>0.217</v>
      </c>
      <c r="O418" s="7">
        <v>0</v>
      </c>
      <c r="P418" s="7">
        <v>1.7849999999999999</v>
      </c>
      <c r="Q418" s="7">
        <v>0.219</v>
      </c>
      <c r="R418" s="7">
        <v>0</v>
      </c>
      <c r="S418" s="7">
        <v>2.6930000000000001</v>
      </c>
      <c r="T418" s="7">
        <v>1.5720000000000001</v>
      </c>
      <c r="U418" s="7">
        <v>2.06</v>
      </c>
      <c r="V418" s="7">
        <v>0.13400000000000001</v>
      </c>
      <c r="W418" s="7">
        <v>1.1020000000000001</v>
      </c>
      <c r="X418" s="7">
        <v>1.24</v>
      </c>
      <c r="Y418" s="7">
        <v>0.183</v>
      </c>
      <c r="Z418" s="7">
        <v>0</v>
      </c>
      <c r="AA418" s="7">
        <v>1.577</v>
      </c>
      <c r="AB418" s="7">
        <v>0.245</v>
      </c>
      <c r="AC418" s="7">
        <v>0.218</v>
      </c>
      <c r="AD418" s="7">
        <v>0</v>
      </c>
      <c r="AE418" s="7">
        <v>2.992</v>
      </c>
      <c r="AF418" s="7">
        <v>6.9029999999999996</v>
      </c>
      <c r="AG418" s="7">
        <v>0</v>
      </c>
      <c r="AH418" s="7">
        <v>4.7110000000000003</v>
      </c>
      <c r="AI418" s="7">
        <v>0</v>
      </c>
      <c r="AJ418" s="7">
        <v>1.8979999999999999</v>
      </c>
      <c r="AK418" s="7">
        <v>0.22800000000000001</v>
      </c>
      <c r="AL418" s="7">
        <v>18.77</v>
      </c>
      <c r="AM418" s="7">
        <v>18.544</v>
      </c>
      <c r="AN418" s="7">
        <v>0.98799999999999999</v>
      </c>
      <c r="AO418" s="7">
        <v>9.2029999999999994</v>
      </c>
      <c r="AP418" s="7">
        <v>2.9369999999999998</v>
      </c>
      <c r="AQ418" s="7">
        <v>6.63</v>
      </c>
    </row>
    <row r="419" spans="1:43" x14ac:dyDescent="0.25">
      <c r="A419" t="s">
        <v>219</v>
      </c>
      <c r="B419" s="22" t="s">
        <v>821</v>
      </c>
      <c r="C419" t="s">
        <v>286</v>
      </c>
      <c r="D419" s="22" t="s">
        <v>286</v>
      </c>
      <c r="E419" s="21">
        <v>2018</v>
      </c>
      <c r="F419" s="7">
        <v>72.491524139642493</v>
      </c>
      <c r="G419" s="7">
        <v>3.5790000000000002</v>
      </c>
      <c r="H419" s="7">
        <v>0.83699999999999997</v>
      </c>
      <c r="I419" s="7">
        <v>0.79900000000000004</v>
      </c>
      <c r="J419" s="7">
        <v>0.40699999999999997</v>
      </c>
      <c r="K419" s="7">
        <v>1.0089999999999999</v>
      </c>
      <c r="L419" s="7">
        <v>0</v>
      </c>
      <c r="M419" s="7">
        <v>0.87</v>
      </c>
      <c r="N419" s="7">
        <v>0.17699999999999999</v>
      </c>
      <c r="O419" s="7">
        <v>0</v>
      </c>
      <c r="P419" s="7">
        <v>1.861</v>
      </c>
      <c r="Q419" s="7">
        <v>0.245</v>
      </c>
      <c r="R419" s="7">
        <v>5.8999999999999997E-2</v>
      </c>
      <c r="S419" s="7">
        <v>3.048</v>
      </c>
      <c r="T419" s="7">
        <v>1.5189999999999999</v>
      </c>
      <c r="U419" s="7">
        <v>1.9419999999999999</v>
      </c>
      <c r="V419" s="7">
        <v>0.14599999999999999</v>
      </c>
      <c r="W419" s="7">
        <v>1.1180000000000001</v>
      </c>
      <c r="X419" s="7">
        <v>1.1339999999999999</v>
      </c>
      <c r="Y419" s="7">
        <v>0.16800000000000001</v>
      </c>
      <c r="Z419" s="7">
        <v>0</v>
      </c>
      <c r="AA419" s="7">
        <v>1.8779999999999999</v>
      </c>
      <c r="AB419" s="7">
        <v>0.34300000000000003</v>
      </c>
      <c r="AC419" s="7">
        <v>0.215</v>
      </c>
      <c r="AD419" s="7">
        <v>0.10100000000000001</v>
      </c>
      <c r="AE419" s="7">
        <v>3.0659999999999998</v>
      </c>
      <c r="AF419" s="7">
        <v>6.0110000000000001</v>
      </c>
      <c r="AG419" s="7">
        <v>0</v>
      </c>
      <c r="AH419" s="7">
        <v>5.2839999999999998</v>
      </c>
      <c r="AI419" s="7">
        <v>0</v>
      </c>
      <c r="AJ419" s="7">
        <v>2.4569999999999999</v>
      </c>
      <c r="AK419" s="7">
        <v>0.42199999999999999</v>
      </c>
      <c r="AL419" s="7">
        <v>18.917999999999999</v>
      </c>
      <c r="AM419" s="7">
        <v>19.355</v>
      </c>
      <c r="AN419" s="7">
        <v>1.0229999999999999</v>
      </c>
      <c r="AO419" s="7">
        <v>9.3789999999999996</v>
      </c>
      <c r="AP419" s="7">
        <v>2.9079999999999999</v>
      </c>
      <c r="AQ419" s="7">
        <v>6.6310000000000002</v>
      </c>
    </row>
    <row r="420" spans="1:43" x14ac:dyDescent="0.25">
      <c r="A420" t="s">
        <v>220</v>
      </c>
      <c r="B420" s="22" t="s">
        <v>821</v>
      </c>
      <c r="C420" t="s">
        <v>286</v>
      </c>
      <c r="D420" s="22" t="s">
        <v>286</v>
      </c>
      <c r="E420" s="21">
        <v>2018</v>
      </c>
      <c r="F420" s="7">
        <v>119.785492975412</v>
      </c>
      <c r="G420" s="7">
        <v>4.4409999999999998</v>
      </c>
      <c r="H420" s="7">
        <v>0.79400000000000004</v>
      </c>
      <c r="I420" s="7">
        <v>1.1850000000000001</v>
      </c>
      <c r="J420" s="7">
        <v>0.56799999999999995</v>
      </c>
      <c r="K420" s="7">
        <v>1.3109999999999999</v>
      </c>
      <c r="L420" s="7">
        <v>0</v>
      </c>
      <c r="M420" s="7">
        <v>1.2350000000000001</v>
      </c>
      <c r="N420" s="7">
        <v>0.28499999999999998</v>
      </c>
      <c r="O420" s="7">
        <v>0</v>
      </c>
      <c r="P420" s="7">
        <v>2.4889999999999999</v>
      </c>
      <c r="Q420" s="7">
        <v>0.36499999999999999</v>
      </c>
      <c r="R420" s="7">
        <v>6.0999999999999999E-2</v>
      </c>
      <c r="S420" s="7">
        <v>4.1980000000000004</v>
      </c>
      <c r="T420" s="7">
        <v>2.1070000000000002</v>
      </c>
      <c r="U420" s="7">
        <v>2.69</v>
      </c>
      <c r="V420" s="7">
        <v>0.26500000000000001</v>
      </c>
      <c r="W420" s="7">
        <v>1.613</v>
      </c>
      <c r="X420" s="7">
        <v>1.575</v>
      </c>
      <c r="Y420" s="7">
        <v>0.27400000000000002</v>
      </c>
      <c r="Z420" s="7">
        <v>0</v>
      </c>
      <c r="AA420" s="7">
        <v>8.5250000000000004</v>
      </c>
      <c r="AB420" s="7">
        <v>0.45800000000000002</v>
      </c>
      <c r="AC420" s="7">
        <v>0.29599999999999999</v>
      </c>
      <c r="AD420" s="7">
        <v>0.128</v>
      </c>
      <c r="AE420" s="7">
        <v>6.6619999999999999</v>
      </c>
      <c r="AF420" s="7">
        <v>10.220000000000001</v>
      </c>
      <c r="AG420" s="7">
        <v>0</v>
      </c>
      <c r="AH420" s="7">
        <v>8.2170000000000005</v>
      </c>
      <c r="AI420" s="7">
        <v>0</v>
      </c>
      <c r="AJ420" s="7">
        <v>4.4000000000000004</v>
      </c>
      <c r="AK420" s="7">
        <v>0.57799999999999996</v>
      </c>
      <c r="AL420" s="7">
        <v>25.456</v>
      </c>
      <c r="AM420" s="7">
        <v>38.905999999999999</v>
      </c>
      <c r="AN420" s="7">
        <v>1.528</v>
      </c>
      <c r="AO420" s="7">
        <v>13.148</v>
      </c>
      <c r="AP420" s="7">
        <v>4.0090000000000003</v>
      </c>
      <c r="AQ420" s="7">
        <v>8.2989999999999995</v>
      </c>
    </row>
    <row r="421" spans="1:43" x14ac:dyDescent="0.25">
      <c r="A421" t="s">
        <v>221</v>
      </c>
      <c r="B421" s="22" t="s">
        <v>821</v>
      </c>
      <c r="C421" t="s">
        <v>286</v>
      </c>
      <c r="D421" s="22" t="s">
        <v>286</v>
      </c>
      <c r="E421" s="21">
        <v>2018</v>
      </c>
      <c r="F421" s="7">
        <v>77.574826458337299</v>
      </c>
      <c r="G421" s="7">
        <v>2.952</v>
      </c>
      <c r="H421" s="7">
        <v>0.72199999999999998</v>
      </c>
      <c r="I421" s="7">
        <v>0.52400000000000002</v>
      </c>
      <c r="J421" s="7">
        <v>0.436</v>
      </c>
      <c r="K421" s="7">
        <v>1.127</v>
      </c>
      <c r="L421" s="7">
        <v>0</v>
      </c>
      <c r="M421" s="7">
        <v>0.76</v>
      </c>
      <c r="N421" s="7">
        <v>0.16</v>
      </c>
      <c r="O421" s="7">
        <v>0</v>
      </c>
      <c r="P421" s="7">
        <v>1.7130000000000001</v>
      </c>
      <c r="Q421" s="7">
        <v>0.19800000000000001</v>
      </c>
      <c r="R421" s="7">
        <v>0.13100000000000001</v>
      </c>
      <c r="S421" s="7">
        <v>2.6389999999999998</v>
      </c>
      <c r="T421" s="7">
        <v>1.254</v>
      </c>
      <c r="U421" s="7">
        <v>1.5960000000000001</v>
      </c>
      <c r="V421" s="7">
        <v>0.26600000000000001</v>
      </c>
      <c r="W421" s="7">
        <v>1</v>
      </c>
      <c r="X421" s="7">
        <v>0.91900000000000004</v>
      </c>
      <c r="Y421" s="7">
        <v>0.38400000000000001</v>
      </c>
      <c r="Z421" s="7">
        <v>0</v>
      </c>
      <c r="AA421" s="7">
        <v>3.58</v>
      </c>
      <c r="AB421" s="7">
        <v>0.57999999999999996</v>
      </c>
      <c r="AC421" s="7">
        <v>0</v>
      </c>
      <c r="AD421" s="7">
        <v>0.13600000000000001</v>
      </c>
      <c r="AE421" s="7">
        <v>3.4430000000000001</v>
      </c>
      <c r="AF421" s="7">
        <v>8.4450000000000003</v>
      </c>
      <c r="AG421" s="7">
        <v>0</v>
      </c>
      <c r="AH421" s="7">
        <v>5.5789999999999997</v>
      </c>
      <c r="AI421" s="7">
        <v>0</v>
      </c>
      <c r="AJ421" s="7">
        <v>1.629</v>
      </c>
      <c r="AK421" s="7">
        <v>0.55500000000000005</v>
      </c>
      <c r="AL421" s="7">
        <v>16.780999999999999</v>
      </c>
      <c r="AM421" s="7">
        <v>23.391999999999999</v>
      </c>
      <c r="AN421" s="7">
        <v>1.3939999999999999</v>
      </c>
      <c r="AO421" s="7">
        <v>8.3870000000000005</v>
      </c>
      <c r="AP421" s="7">
        <v>2.633</v>
      </c>
      <c r="AQ421" s="7">
        <v>5.7610000000000001</v>
      </c>
    </row>
    <row r="422" spans="1:43" x14ac:dyDescent="0.25">
      <c r="A422" t="s">
        <v>222</v>
      </c>
      <c r="B422" s="22" t="s">
        <v>822</v>
      </c>
      <c r="C422" t="s">
        <v>286</v>
      </c>
      <c r="D422" s="22" t="s">
        <v>283</v>
      </c>
      <c r="E422" s="21">
        <v>2018</v>
      </c>
      <c r="F422" s="7">
        <v>84.004661315818396</v>
      </c>
      <c r="G422" s="7">
        <v>2.8</v>
      </c>
      <c r="H422" s="7">
        <v>0.60799999999999998</v>
      </c>
      <c r="I422" s="7">
        <v>0.98699999999999999</v>
      </c>
      <c r="J422" s="7">
        <v>0.44600000000000001</v>
      </c>
      <c r="K422" s="7">
        <v>0.88200000000000001</v>
      </c>
      <c r="L422" s="7">
        <v>0</v>
      </c>
      <c r="M422" s="7">
        <v>0.84</v>
      </c>
      <c r="N422" s="7">
        <v>0.27600000000000002</v>
      </c>
      <c r="O422" s="7">
        <v>0</v>
      </c>
      <c r="P422" s="7">
        <v>1.306</v>
      </c>
      <c r="Q422" s="7">
        <v>0.30099999999999999</v>
      </c>
      <c r="R422" s="7">
        <v>0</v>
      </c>
      <c r="S422" s="7">
        <v>2.8679999999999999</v>
      </c>
      <c r="T422" s="7">
        <v>1.732</v>
      </c>
      <c r="U422" s="7">
        <v>2.15</v>
      </c>
      <c r="V422" s="7">
        <v>0.13600000000000001</v>
      </c>
      <c r="W422" s="7">
        <v>0.97199999999999998</v>
      </c>
      <c r="X422" s="7">
        <v>1.234</v>
      </c>
      <c r="Y422" s="7">
        <v>0.29299999999999998</v>
      </c>
      <c r="Z422" s="7">
        <v>0</v>
      </c>
      <c r="AA422" s="7">
        <v>1.946</v>
      </c>
      <c r="AB422" s="7">
        <v>0.312</v>
      </c>
      <c r="AC422" s="7">
        <v>0.251</v>
      </c>
      <c r="AD422" s="7">
        <v>0</v>
      </c>
      <c r="AE422" s="7">
        <v>6.0259999999999998</v>
      </c>
      <c r="AF422" s="7">
        <v>8.0879999999999992</v>
      </c>
      <c r="AG422" s="7">
        <v>0</v>
      </c>
      <c r="AH422" s="7">
        <v>4.59</v>
      </c>
      <c r="AI422" s="7">
        <v>0</v>
      </c>
      <c r="AJ422" s="7">
        <v>2.2690000000000001</v>
      </c>
      <c r="AK422" s="7">
        <v>0.29399999999999998</v>
      </c>
      <c r="AL422" s="7">
        <v>17.831</v>
      </c>
      <c r="AM422" s="7">
        <v>23.481999999999999</v>
      </c>
      <c r="AN422" s="7">
        <v>1.3169999999999999</v>
      </c>
      <c r="AO422" s="7">
        <v>9.6859999999999999</v>
      </c>
      <c r="AP422" s="7">
        <v>2.4220000000000002</v>
      </c>
      <c r="AQ422" s="7">
        <v>5.7229999999999999</v>
      </c>
    </row>
    <row r="423" spans="1:43" x14ac:dyDescent="0.25">
      <c r="A423" t="s">
        <v>223</v>
      </c>
      <c r="B423" s="22" t="s">
        <v>822</v>
      </c>
      <c r="C423" t="s">
        <v>286</v>
      </c>
      <c r="D423" s="22" t="s">
        <v>283</v>
      </c>
      <c r="E423" s="21">
        <v>2018</v>
      </c>
      <c r="F423" s="7">
        <v>45.885902516927501</v>
      </c>
      <c r="G423" s="7">
        <v>2.0409999999999999</v>
      </c>
      <c r="H423" s="7">
        <v>0.85099999999999998</v>
      </c>
      <c r="I423" s="7">
        <v>0.495</v>
      </c>
      <c r="J423" s="7">
        <v>0.14799999999999999</v>
      </c>
      <c r="K423" s="7">
        <v>0.55000000000000004</v>
      </c>
      <c r="L423" s="7">
        <v>0</v>
      </c>
      <c r="M423" s="7">
        <v>0.57399999999999995</v>
      </c>
      <c r="N423" s="7">
        <v>5.7000000000000002E-2</v>
      </c>
      <c r="O423" s="7">
        <v>0</v>
      </c>
      <c r="P423" s="7">
        <v>0.95599999999999996</v>
      </c>
      <c r="Q423" s="7">
        <v>0.115</v>
      </c>
      <c r="R423" s="7">
        <v>0</v>
      </c>
      <c r="S423" s="7">
        <v>1.7909999999999999</v>
      </c>
      <c r="T423" s="7">
        <v>0.92600000000000005</v>
      </c>
      <c r="U423" s="7">
        <v>1.3460000000000001</v>
      </c>
      <c r="V423" s="7">
        <v>0.128</v>
      </c>
      <c r="W423" s="7">
        <v>0.71399999999999997</v>
      </c>
      <c r="X423" s="7">
        <v>0.76100000000000001</v>
      </c>
      <c r="Y423" s="7">
        <v>4.9000000000000002E-2</v>
      </c>
      <c r="Z423" s="7">
        <v>0</v>
      </c>
      <c r="AA423" s="7">
        <v>1.1779999999999999</v>
      </c>
      <c r="AB423" s="7">
        <v>0.216</v>
      </c>
      <c r="AC423" s="7">
        <v>0.10199999999999999</v>
      </c>
      <c r="AD423" s="7">
        <v>3.9E-2</v>
      </c>
      <c r="AE423" s="7">
        <v>2.2669999999999999</v>
      </c>
      <c r="AF423" s="7">
        <v>5.5010000000000003</v>
      </c>
      <c r="AG423" s="7">
        <v>0</v>
      </c>
      <c r="AH423" s="7">
        <v>2.63</v>
      </c>
      <c r="AI423" s="7">
        <v>0</v>
      </c>
      <c r="AJ423" s="7">
        <v>1.286</v>
      </c>
      <c r="AK423" s="7">
        <v>0.16700000000000001</v>
      </c>
      <c r="AL423" s="7">
        <v>11.502000000000001</v>
      </c>
      <c r="AM423" s="7">
        <v>13.218999999999999</v>
      </c>
      <c r="AN423" s="7">
        <v>1.149</v>
      </c>
      <c r="AO423" s="7">
        <v>5.83</v>
      </c>
      <c r="AP423" s="7">
        <v>1.587</v>
      </c>
      <c r="AQ423" s="7">
        <v>4.085</v>
      </c>
    </row>
    <row r="424" spans="1:43" x14ac:dyDescent="0.25">
      <c r="A424" t="s">
        <v>224</v>
      </c>
      <c r="B424" s="22" t="s">
        <v>822</v>
      </c>
      <c r="C424" t="s">
        <v>286</v>
      </c>
      <c r="D424" s="22" t="s">
        <v>283</v>
      </c>
      <c r="E424" s="21">
        <v>2018</v>
      </c>
      <c r="F424" s="7">
        <v>72.769617977401396</v>
      </c>
      <c r="G424" s="7">
        <v>2.7330000000000001</v>
      </c>
      <c r="H424" s="7">
        <v>0.59599999999999997</v>
      </c>
      <c r="I424" s="7">
        <v>1.1839999999999999</v>
      </c>
      <c r="J424" s="7">
        <v>0.42099999999999999</v>
      </c>
      <c r="K424" s="7">
        <v>0.99299999999999999</v>
      </c>
      <c r="L424" s="7">
        <v>0</v>
      </c>
      <c r="M424" s="7">
        <v>0.78900000000000003</v>
      </c>
      <c r="N424" s="7">
        <v>0.317</v>
      </c>
      <c r="O424" s="7">
        <v>0</v>
      </c>
      <c r="P424" s="7">
        <v>1.466</v>
      </c>
      <c r="Q424" s="7">
        <v>0.22600000000000001</v>
      </c>
      <c r="R424" s="7">
        <v>0</v>
      </c>
      <c r="S424" s="7">
        <v>2.774</v>
      </c>
      <c r="T424" s="7">
        <v>1.5680000000000001</v>
      </c>
      <c r="U424" s="7">
        <v>1.9670000000000001</v>
      </c>
      <c r="V424" s="7">
        <v>0.13600000000000001</v>
      </c>
      <c r="W424" s="7">
        <v>1.0189999999999999</v>
      </c>
      <c r="X424" s="7">
        <v>1.167</v>
      </c>
      <c r="Y424" s="7">
        <v>0.14899999999999999</v>
      </c>
      <c r="Z424" s="7">
        <v>0</v>
      </c>
      <c r="AA424" s="7">
        <v>1.5760000000000001</v>
      </c>
      <c r="AB424" s="7">
        <v>0.32900000000000001</v>
      </c>
      <c r="AC424" s="7">
        <v>0.25800000000000001</v>
      </c>
      <c r="AD424" s="7">
        <v>8.1000000000000003E-2</v>
      </c>
      <c r="AE424" s="7">
        <v>4.6669999999999998</v>
      </c>
      <c r="AF424" s="7">
        <v>7.9160000000000004</v>
      </c>
      <c r="AG424" s="7">
        <v>0</v>
      </c>
      <c r="AH424" s="7">
        <v>3.6429999999999998</v>
      </c>
      <c r="AI424" s="7">
        <v>0</v>
      </c>
      <c r="AJ424" s="7">
        <v>2.31</v>
      </c>
      <c r="AK424" s="7">
        <v>0.30599999999999999</v>
      </c>
      <c r="AL424" s="7">
        <v>17.504999999999999</v>
      </c>
      <c r="AM424" s="7">
        <v>20.78</v>
      </c>
      <c r="AN424" s="7">
        <v>1.1870000000000001</v>
      </c>
      <c r="AO424" s="7">
        <v>9.0060000000000002</v>
      </c>
      <c r="AP424" s="7">
        <v>2.5720000000000001</v>
      </c>
      <c r="AQ424" s="7">
        <v>5.9269999999999996</v>
      </c>
    </row>
    <row r="425" spans="1:43" x14ac:dyDescent="0.25">
      <c r="A425" t="s">
        <v>225</v>
      </c>
      <c r="B425" s="22" t="s">
        <v>822</v>
      </c>
      <c r="C425" t="s">
        <v>286</v>
      </c>
      <c r="D425" s="22" t="s">
        <v>283</v>
      </c>
      <c r="E425" s="21">
        <v>2018</v>
      </c>
      <c r="F425" s="7">
        <v>50.853812915346801</v>
      </c>
      <c r="G425" s="7">
        <v>2.4380000000000002</v>
      </c>
      <c r="H425" s="7">
        <v>0.55500000000000005</v>
      </c>
      <c r="I425" s="7">
        <v>0.77900000000000003</v>
      </c>
      <c r="J425" s="7">
        <v>0.221</v>
      </c>
      <c r="K425" s="7">
        <v>0.78100000000000003</v>
      </c>
      <c r="L425" s="7">
        <v>0</v>
      </c>
      <c r="M425" s="7">
        <v>0.61199999999999999</v>
      </c>
      <c r="N425" s="7">
        <v>0.255</v>
      </c>
      <c r="O425" s="7">
        <v>0</v>
      </c>
      <c r="P425" s="7">
        <v>1.0429999999999999</v>
      </c>
      <c r="Q425" s="7">
        <v>0.156</v>
      </c>
      <c r="R425" s="7">
        <v>0</v>
      </c>
      <c r="S425" s="7">
        <v>2.036</v>
      </c>
      <c r="T425" s="7">
        <v>1.125</v>
      </c>
      <c r="U425" s="7">
        <v>1.4219999999999999</v>
      </c>
      <c r="V425" s="7">
        <v>0.14299999999999999</v>
      </c>
      <c r="W425" s="7">
        <v>0.755</v>
      </c>
      <c r="X425" s="7">
        <v>0.83499999999999996</v>
      </c>
      <c r="Y425" s="7">
        <v>0.14099999999999999</v>
      </c>
      <c r="Z425" s="7">
        <v>0</v>
      </c>
      <c r="AA425" s="7">
        <v>1.1919999999999999</v>
      </c>
      <c r="AB425" s="7">
        <v>0.39900000000000002</v>
      </c>
      <c r="AC425" s="7">
        <v>0.111</v>
      </c>
      <c r="AD425" s="7">
        <v>0</v>
      </c>
      <c r="AE425" s="7">
        <v>2.6930000000000001</v>
      </c>
      <c r="AF425" s="7">
        <v>5.024</v>
      </c>
      <c r="AG425" s="7">
        <v>0</v>
      </c>
      <c r="AH425" s="7">
        <v>2.4260000000000002</v>
      </c>
      <c r="AI425" s="7">
        <v>0</v>
      </c>
      <c r="AJ425" s="7">
        <v>1.232</v>
      </c>
      <c r="AK425" s="7">
        <v>0.29199999999999998</v>
      </c>
      <c r="AL425" s="7">
        <v>13.297000000000001</v>
      </c>
      <c r="AM425" s="7">
        <v>13.077</v>
      </c>
      <c r="AN425" s="7">
        <v>0.98299999999999998</v>
      </c>
      <c r="AO425" s="7">
        <v>6.6130000000000004</v>
      </c>
      <c r="AP425" s="7">
        <v>1.91</v>
      </c>
      <c r="AQ425" s="7">
        <v>4.774</v>
      </c>
    </row>
    <row r="426" spans="1:43" x14ac:dyDescent="0.25">
      <c r="A426" t="s">
        <v>226</v>
      </c>
      <c r="B426" s="22" t="s">
        <v>823</v>
      </c>
      <c r="C426" t="s">
        <v>298</v>
      </c>
      <c r="D426" s="22" t="s">
        <v>283</v>
      </c>
      <c r="E426" s="21">
        <v>2018</v>
      </c>
      <c r="F426" s="7">
        <v>119.017221256318</v>
      </c>
      <c r="G426" s="7">
        <v>5.3070000000000004</v>
      </c>
      <c r="H426" s="7">
        <v>3.47</v>
      </c>
      <c r="I426" s="7">
        <v>1.522</v>
      </c>
      <c r="J426" s="7">
        <v>0.60599999999999998</v>
      </c>
      <c r="K426" s="7">
        <v>1.7330000000000001</v>
      </c>
      <c r="L426" s="7">
        <v>0</v>
      </c>
      <c r="M426" s="7">
        <v>1.3360000000000001</v>
      </c>
      <c r="N426" s="7">
        <v>0</v>
      </c>
      <c r="O426" s="7">
        <v>0</v>
      </c>
      <c r="P426" s="7">
        <v>2.9129999999999998</v>
      </c>
      <c r="Q426" s="7">
        <v>0.42</v>
      </c>
      <c r="R426" s="7">
        <v>0.03</v>
      </c>
      <c r="S426" s="7">
        <v>5.5259999999999998</v>
      </c>
      <c r="T426" s="7">
        <v>2.3130000000000002</v>
      </c>
      <c r="U426" s="7">
        <v>4.2779999999999996</v>
      </c>
      <c r="V426" s="7">
        <v>0.25800000000000001</v>
      </c>
      <c r="W426" s="7">
        <v>2.238</v>
      </c>
      <c r="X426" s="7">
        <v>2.2469999999999999</v>
      </c>
      <c r="Y426" s="7">
        <v>0.11799999999999999</v>
      </c>
      <c r="Z426" s="7">
        <v>0</v>
      </c>
      <c r="AA426" s="7">
        <v>6.9749999999999996</v>
      </c>
      <c r="AB426" s="7">
        <v>0.496</v>
      </c>
      <c r="AC426" s="7">
        <v>0.377</v>
      </c>
      <c r="AD426" s="7">
        <v>0.13100000000000001</v>
      </c>
      <c r="AE426" s="7">
        <v>4.0309999999999997</v>
      </c>
      <c r="AF426" s="7">
        <v>12.824</v>
      </c>
      <c r="AG426" s="7">
        <v>0</v>
      </c>
      <c r="AH426" s="7">
        <v>5.9779999999999998</v>
      </c>
      <c r="AI426" s="7">
        <v>0</v>
      </c>
      <c r="AJ426" s="7">
        <v>1.929</v>
      </c>
      <c r="AK426" s="7">
        <v>0.59799999999999998</v>
      </c>
      <c r="AL426" s="7">
        <v>34.314999999999998</v>
      </c>
      <c r="AM426" s="7">
        <v>32.741</v>
      </c>
      <c r="AN426" s="7">
        <v>0.95399999999999996</v>
      </c>
      <c r="AO426" s="7">
        <v>17.428000000000001</v>
      </c>
      <c r="AP426" s="7">
        <v>4.2489999999999997</v>
      </c>
      <c r="AQ426" s="7">
        <v>12.638</v>
      </c>
    </row>
    <row r="427" spans="1:43" x14ac:dyDescent="0.25">
      <c r="A427" t="s">
        <v>227</v>
      </c>
      <c r="B427" s="22" t="s">
        <v>823</v>
      </c>
      <c r="C427" t="s">
        <v>298</v>
      </c>
      <c r="D427" s="22" t="s">
        <v>283</v>
      </c>
      <c r="E427" s="21">
        <v>2018</v>
      </c>
      <c r="F427" s="7">
        <v>127.04808177315</v>
      </c>
      <c r="G427" s="7">
        <v>5.6050000000000004</v>
      </c>
      <c r="H427" s="7">
        <v>3.56</v>
      </c>
      <c r="I427" s="7">
        <v>1.806</v>
      </c>
      <c r="J427" s="7">
        <v>0.73</v>
      </c>
      <c r="K427" s="7">
        <v>2.3490000000000002</v>
      </c>
      <c r="L427" s="7">
        <v>0</v>
      </c>
      <c r="M427" s="7">
        <v>1.403</v>
      </c>
      <c r="N427" s="7">
        <v>0</v>
      </c>
      <c r="O427" s="7">
        <v>0</v>
      </c>
      <c r="P427" s="7">
        <v>2.6629999999999998</v>
      </c>
      <c r="Q427" s="7">
        <v>0.42099999999999999</v>
      </c>
      <c r="R427" s="7">
        <v>2.9000000000000001E-2</v>
      </c>
      <c r="S427" s="7">
        <v>5.8150000000000004</v>
      </c>
      <c r="T427" s="7">
        <v>2.6269999999999998</v>
      </c>
      <c r="U427" s="7">
        <v>4.5119999999999996</v>
      </c>
      <c r="V427" s="7">
        <v>0.27500000000000002</v>
      </c>
      <c r="W427" s="7">
        <v>2.3359999999999999</v>
      </c>
      <c r="X427" s="7">
        <v>2.3650000000000002</v>
      </c>
      <c r="Y427" s="7">
        <v>0.23599999999999999</v>
      </c>
      <c r="Z427" s="7">
        <v>0</v>
      </c>
      <c r="AA427" s="7">
        <v>6.1529999999999996</v>
      </c>
      <c r="AB427" s="7">
        <v>0.46800000000000003</v>
      </c>
      <c r="AC427" s="7">
        <v>0.35099999999999998</v>
      </c>
      <c r="AD427" s="7">
        <v>0.107</v>
      </c>
      <c r="AE427" s="7">
        <v>5.234</v>
      </c>
      <c r="AF427" s="7">
        <v>13.327999999999999</v>
      </c>
      <c r="AG427" s="7">
        <v>0</v>
      </c>
      <c r="AH427" s="7">
        <v>6.1580000000000004</v>
      </c>
      <c r="AI427" s="7">
        <v>0</v>
      </c>
      <c r="AJ427" s="7">
        <v>1.792</v>
      </c>
      <c r="AK427" s="7">
        <v>0.56100000000000005</v>
      </c>
      <c r="AL427" s="7">
        <v>36.731999999999999</v>
      </c>
      <c r="AM427" s="7">
        <v>33.591000000000001</v>
      </c>
      <c r="AN427" s="7">
        <v>0.91400000000000003</v>
      </c>
      <c r="AO427" s="7">
        <v>18.616</v>
      </c>
      <c r="AP427" s="7">
        <v>4.0659999999999998</v>
      </c>
      <c r="AQ427" s="7">
        <v>14.05</v>
      </c>
    </row>
    <row r="428" spans="1:43" x14ac:dyDescent="0.25">
      <c r="A428" t="s">
        <v>228</v>
      </c>
      <c r="B428" s="22" t="s">
        <v>823</v>
      </c>
      <c r="C428" t="s">
        <v>298</v>
      </c>
      <c r="D428" s="22" t="s">
        <v>283</v>
      </c>
      <c r="E428" s="21">
        <v>2018</v>
      </c>
      <c r="F428" s="7">
        <v>160.16469220521199</v>
      </c>
      <c r="G428" s="7">
        <v>6.2530000000000001</v>
      </c>
      <c r="H428" s="7">
        <v>3.319</v>
      </c>
      <c r="I428" s="7">
        <v>2.3260000000000001</v>
      </c>
      <c r="J428" s="7">
        <v>0.82</v>
      </c>
      <c r="K428" s="7">
        <v>3.028</v>
      </c>
      <c r="L428" s="7">
        <v>0</v>
      </c>
      <c r="M428" s="7">
        <v>1.613</v>
      </c>
      <c r="N428" s="7">
        <v>0</v>
      </c>
      <c r="O428" s="7">
        <v>0</v>
      </c>
      <c r="P428" s="7">
        <v>2.85</v>
      </c>
      <c r="Q428" s="7">
        <v>0.61099999999999999</v>
      </c>
      <c r="R428" s="7">
        <v>0.08</v>
      </c>
      <c r="S428" s="7">
        <v>7.1559999999999997</v>
      </c>
      <c r="T428" s="7">
        <v>3.7480000000000002</v>
      </c>
      <c r="U428" s="7">
        <v>5.6180000000000003</v>
      </c>
      <c r="V428" s="7">
        <v>0.38400000000000001</v>
      </c>
      <c r="W428" s="7">
        <v>2.641</v>
      </c>
      <c r="X428" s="7">
        <v>2.867</v>
      </c>
      <c r="Y428" s="7">
        <v>0.222</v>
      </c>
      <c r="Z428" s="7">
        <v>0</v>
      </c>
      <c r="AA428" s="7">
        <v>8.2370000000000001</v>
      </c>
      <c r="AB428" s="7">
        <v>0.65200000000000002</v>
      </c>
      <c r="AC428" s="7">
        <v>0.40699999999999997</v>
      </c>
      <c r="AD428" s="7">
        <v>0.14199999999999999</v>
      </c>
      <c r="AE428" s="7">
        <v>6.702</v>
      </c>
      <c r="AF428" s="7">
        <v>16.486000000000001</v>
      </c>
      <c r="AG428" s="7">
        <v>0</v>
      </c>
      <c r="AH428" s="7">
        <v>8.1419999999999995</v>
      </c>
      <c r="AI428" s="7">
        <v>0</v>
      </c>
      <c r="AJ428" s="7">
        <v>3.3519999999999999</v>
      </c>
      <c r="AK428" s="7">
        <v>0.76100000000000001</v>
      </c>
      <c r="AL428" s="7">
        <v>43.536000000000001</v>
      </c>
      <c r="AM428" s="7">
        <v>44.12</v>
      </c>
      <c r="AN428" s="7">
        <v>1.0129999999999999</v>
      </c>
      <c r="AO428" s="7">
        <v>23.327000000000002</v>
      </c>
      <c r="AP428" s="7">
        <v>4.4630000000000001</v>
      </c>
      <c r="AQ428" s="7">
        <v>15.746</v>
      </c>
    </row>
    <row r="429" spans="1:43" x14ac:dyDescent="0.25">
      <c r="A429" t="s">
        <v>229</v>
      </c>
      <c r="B429" s="22" t="s">
        <v>823</v>
      </c>
      <c r="C429" t="s">
        <v>298</v>
      </c>
      <c r="D429" s="22" t="s">
        <v>283</v>
      </c>
      <c r="E429" s="21">
        <v>2018</v>
      </c>
      <c r="F429" s="7">
        <v>162.29178079445899</v>
      </c>
      <c r="G429" s="7">
        <v>6.4219999999999997</v>
      </c>
      <c r="H429" s="7">
        <v>3.8879999999999999</v>
      </c>
      <c r="I429" s="7">
        <v>2.073</v>
      </c>
      <c r="J429" s="7">
        <v>0.95199999999999996</v>
      </c>
      <c r="K429" s="7">
        <v>2.4529999999999998</v>
      </c>
      <c r="L429" s="7">
        <v>0</v>
      </c>
      <c r="M429" s="7">
        <v>1.4950000000000001</v>
      </c>
      <c r="N429" s="7">
        <v>0</v>
      </c>
      <c r="O429" s="7">
        <v>0</v>
      </c>
      <c r="P429" s="7">
        <v>3.198</v>
      </c>
      <c r="Q429" s="7">
        <v>0.54600000000000004</v>
      </c>
      <c r="R429" s="7">
        <v>4.2999999999999997E-2</v>
      </c>
      <c r="S429" s="7">
        <v>7.1970000000000001</v>
      </c>
      <c r="T429" s="7">
        <v>3.1259999999999999</v>
      </c>
      <c r="U429" s="7">
        <v>4.9980000000000002</v>
      </c>
      <c r="V429" s="7">
        <v>0.32300000000000001</v>
      </c>
      <c r="W429" s="7">
        <v>2.8340000000000001</v>
      </c>
      <c r="X429" s="7">
        <v>2.7160000000000002</v>
      </c>
      <c r="Y429" s="7">
        <v>0.51600000000000001</v>
      </c>
      <c r="Z429" s="7">
        <v>0</v>
      </c>
      <c r="AA429" s="7">
        <v>11.32</v>
      </c>
      <c r="AB429" s="7">
        <v>0.67800000000000005</v>
      </c>
      <c r="AC429" s="7">
        <v>0.40300000000000002</v>
      </c>
      <c r="AD429" s="7">
        <v>0</v>
      </c>
      <c r="AE429" s="7">
        <v>9.5709999999999997</v>
      </c>
      <c r="AF429" s="7">
        <v>18.294</v>
      </c>
      <c r="AG429" s="7">
        <v>0</v>
      </c>
      <c r="AH429" s="7">
        <v>8.3650000000000002</v>
      </c>
      <c r="AI429" s="7">
        <v>0</v>
      </c>
      <c r="AJ429" s="7">
        <v>2.2669999999999999</v>
      </c>
      <c r="AK429" s="7">
        <v>0.96</v>
      </c>
      <c r="AL429" s="7">
        <v>42.78</v>
      </c>
      <c r="AM429" s="7">
        <v>50.898000000000003</v>
      </c>
      <c r="AN429" s="7">
        <v>1.19</v>
      </c>
      <c r="AO429" s="7">
        <v>22.298999999999999</v>
      </c>
      <c r="AP429" s="7">
        <v>4.6929999999999996</v>
      </c>
      <c r="AQ429" s="7">
        <v>15.788</v>
      </c>
    </row>
    <row r="430" spans="1:43" x14ac:dyDescent="0.25">
      <c r="A430" t="s">
        <v>196</v>
      </c>
      <c r="B430" s="22" t="s">
        <v>837</v>
      </c>
      <c r="C430" t="s">
        <v>283</v>
      </c>
      <c r="D430" s="22" t="s">
        <v>286</v>
      </c>
      <c r="E430" s="21">
        <v>2018</v>
      </c>
      <c r="F430" s="7">
        <v>150.22013261011301</v>
      </c>
      <c r="G430" s="7">
        <v>6.2560000000000002</v>
      </c>
      <c r="H430" s="7">
        <v>1.2649999999999999</v>
      </c>
      <c r="I430" s="7">
        <v>1.1859999999999999</v>
      </c>
      <c r="J430" s="7">
        <v>1.0349999999999999</v>
      </c>
      <c r="K430" s="7">
        <v>1.9359999999999999</v>
      </c>
      <c r="L430" s="7">
        <v>0</v>
      </c>
      <c r="M430" s="7">
        <v>1.466</v>
      </c>
      <c r="N430" s="7">
        <v>0</v>
      </c>
      <c r="O430" s="7">
        <v>0</v>
      </c>
      <c r="P430" s="7">
        <v>3.927</v>
      </c>
      <c r="Q430" s="7">
        <v>0.61599999999999999</v>
      </c>
      <c r="R430" s="7">
        <v>3.5000000000000003E-2</v>
      </c>
      <c r="S430" s="7">
        <v>7.0549999999999997</v>
      </c>
      <c r="T430" s="7">
        <v>3.9249999999999998</v>
      </c>
      <c r="U430" s="7">
        <v>3.6080000000000001</v>
      </c>
      <c r="V430" s="7">
        <v>0.223</v>
      </c>
      <c r="W430" s="7">
        <v>2.117</v>
      </c>
      <c r="X430" s="7">
        <v>2.375</v>
      </c>
      <c r="Y430" s="7">
        <v>0.24</v>
      </c>
      <c r="Z430" s="7">
        <v>0</v>
      </c>
      <c r="AA430" s="7">
        <v>8.0139999999999993</v>
      </c>
      <c r="AB430" s="7">
        <v>0.58099999999999996</v>
      </c>
      <c r="AC430" s="7">
        <v>0.47599999999999998</v>
      </c>
      <c r="AD430" s="7">
        <v>0.154</v>
      </c>
      <c r="AE430" s="7">
        <v>6.56</v>
      </c>
      <c r="AF430" s="7">
        <v>13.614000000000001</v>
      </c>
      <c r="AG430" s="7">
        <v>0</v>
      </c>
      <c r="AH430" s="7">
        <v>10.917</v>
      </c>
      <c r="AI430" s="7">
        <v>0</v>
      </c>
      <c r="AJ430" s="7">
        <v>2.3410000000000002</v>
      </c>
      <c r="AK430" s="7">
        <v>1.419</v>
      </c>
      <c r="AL430" s="7">
        <v>37.265000000000001</v>
      </c>
      <c r="AM430" s="7">
        <v>42.656999999999996</v>
      </c>
      <c r="AN430" s="7">
        <v>1.145</v>
      </c>
      <c r="AO430" s="7">
        <v>20.193999999999999</v>
      </c>
      <c r="AP430" s="7">
        <v>5.3929999999999998</v>
      </c>
      <c r="AQ430" s="7">
        <v>11.678000000000001</v>
      </c>
    </row>
    <row r="431" spans="1:43" x14ac:dyDescent="0.25">
      <c r="A431" t="s">
        <v>197</v>
      </c>
      <c r="B431" s="22" t="s">
        <v>837</v>
      </c>
      <c r="C431" t="s">
        <v>283</v>
      </c>
      <c r="D431" s="22" t="s">
        <v>286</v>
      </c>
      <c r="E431" s="21">
        <v>2018</v>
      </c>
      <c r="F431" s="7">
        <v>336.56623762080199</v>
      </c>
      <c r="G431" s="7">
        <v>11.635999999999999</v>
      </c>
      <c r="H431" s="7">
        <v>1.8480000000000001</v>
      </c>
      <c r="I431" s="7">
        <v>2.7509999999999999</v>
      </c>
      <c r="J431" s="7">
        <v>2.3639999999999999</v>
      </c>
      <c r="K431" s="7">
        <v>4.2910000000000004</v>
      </c>
      <c r="L431" s="7">
        <v>0</v>
      </c>
      <c r="M431" s="7">
        <v>3.17</v>
      </c>
      <c r="N431" s="7">
        <v>0</v>
      </c>
      <c r="O431" s="7">
        <v>0</v>
      </c>
      <c r="P431" s="7">
        <v>6.3230000000000004</v>
      </c>
      <c r="Q431" s="7">
        <v>1.7030000000000001</v>
      </c>
      <c r="R431" s="7">
        <v>8.5000000000000006E-2</v>
      </c>
      <c r="S431" s="7">
        <v>14.928000000000001</v>
      </c>
      <c r="T431" s="7">
        <v>9.7029999999999994</v>
      </c>
      <c r="U431" s="7">
        <v>8.8819999999999997</v>
      </c>
      <c r="V431" s="7">
        <v>0.46899999999999997</v>
      </c>
      <c r="W431" s="7">
        <v>4.3680000000000003</v>
      </c>
      <c r="X431" s="7">
        <v>5.3529999999999998</v>
      </c>
      <c r="Y431" s="7">
        <v>0.38900000000000001</v>
      </c>
      <c r="Z431" s="7">
        <v>0</v>
      </c>
      <c r="AA431" s="7">
        <v>12.622999999999999</v>
      </c>
      <c r="AB431" s="7">
        <v>0.82299999999999995</v>
      </c>
      <c r="AC431" s="7">
        <v>1.1040000000000001</v>
      </c>
      <c r="AD431" s="7">
        <v>0.76200000000000001</v>
      </c>
      <c r="AE431" s="7">
        <v>18.396999999999998</v>
      </c>
      <c r="AF431" s="7">
        <v>31.238</v>
      </c>
      <c r="AG431" s="7">
        <v>0</v>
      </c>
      <c r="AH431" s="7">
        <v>30.202999999999999</v>
      </c>
      <c r="AI431" s="7">
        <v>0</v>
      </c>
      <c r="AJ431" s="7">
        <v>7.6130000000000004</v>
      </c>
      <c r="AK431" s="7">
        <v>3.42</v>
      </c>
      <c r="AL431" s="7">
        <v>78.263000000000005</v>
      </c>
      <c r="AM431" s="7">
        <v>102.76300000000001</v>
      </c>
      <c r="AN431" s="7">
        <v>1.3129999999999999</v>
      </c>
      <c r="AO431" s="7">
        <v>45.88</v>
      </c>
      <c r="AP431" s="7">
        <v>9.4930000000000003</v>
      </c>
      <c r="AQ431" s="7">
        <v>22.89</v>
      </c>
    </row>
    <row r="432" spans="1:43" x14ac:dyDescent="0.25">
      <c r="A432" t="s">
        <v>198</v>
      </c>
      <c r="B432" s="22" t="s">
        <v>837</v>
      </c>
      <c r="C432" t="s">
        <v>283</v>
      </c>
      <c r="D432" s="22" t="s">
        <v>286</v>
      </c>
      <c r="E432" s="21">
        <v>2018</v>
      </c>
      <c r="F432" s="7">
        <v>178.76094638754401</v>
      </c>
      <c r="G432" s="7">
        <v>6.6040000000000001</v>
      </c>
      <c r="H432" s="7">
        <v>1.1719999999999999</v>
      </c>
      <c r="I432" s="7">
        <v>1.135</v>
      </c>
      <c r="J432" s="7">
        <v>1.5129999999999999</v>
      </c>
      <c r="K432" s="7">
        <v>3.4889999999999999</v>
      </c>
      <c r="L432" s="7">
        <v>0</v>
      </c>
      <c r="M432" s="7">
        <v>1.5489999999999999</v>
      </c>
      <c r="N432" s="7">
        <v>0</v>
      </c>
      <c r="O432" s="7">
        <v>0</v>
      </c>
      <c r="P432" s="7">
        <v>4.0880000000000001</v>
      </c>
      <c r="Q432" s="7">
        <v>0.73899999999999999</v>
      </c>
      <c r="R432" s="7">
        <v>0.04</v>
      </c>
      <c r="S432" s="7">
        <v>7.2409999999999997</v>
      </c>
      <c r="T432" s="7">
        <v>4.4370000000000003</v>
      </c>
      <c r="U432" s="7">
        <v>3.7130000000000001</v>
      </c>
      <c r="V432" s="7">
        <v>0.22800000000000001</v>
      </c>
      <c r="W432" s="7">
        <v>2.1040000000000001</v>
      </c>
      <c r="X432" s="7">
        <v>2.528</v>
      </c>
      <c r="Y432" s="7">
        <v>0.72699999999999998</v>
      </c>
      <c r="Z432" s="7">
        <v>0</v>
      </c>
      <c r="AA432" s="7">
        <v>8.7309999999999999</v>
      </c>
      <c r="AB432" s="7">
        <v>0.57099999999999995</v>
      </c>
      <c r="AC432" s="7">
        <v>0.41299999999999998</v>
      </c>
      <c r="AD432" s="7">
        <v>0.17299999999999999</v>
      </c>
      <c r="AE432" s="7">
        <v>8.0239999999999991</v>
      </c>
      <c r="AF432" s="7">
        <v>16.678000000000001</v>
      </c>
      <c r="AG432" s="7">
        <v>0</v>
      </c>
      <c r="AH432" s="7">
        <v>15.945</v>
      </c>
      <c r="AI432" s="7">
        <v>0</v>
      </c>
      <c r="AJ432" s="7">
        <v>2.7149999999999999</v>
      </c>
      <c r="AK432" s="7">
        <v>2.0819999999999999</v>
      </c>
      <c r="AL432" s="7">
        <v>41.307000000000002</v>
      </c>
      <c r="AM432" s="7">
        <v>53.25</v>
      </c>
      <c r="AN432" s="7">
        <v>1.2889999999999999</v>
      </c>
      <c r="AO432" s="7">
        <v>21.757000000000001</v>
      </c>
      <c r="AP432" s="7">
        <v>5.6369999999999996</v>
      </c>
      <c r="AQ432" s="7">
        <v>13.913</v>
      </c>
    </row>
    <row r="433" spans="1:43" x14ac:dyDescent="0.25">
      <c r="A433" t="s">
        <v>199</v>
      </c>
      <c r="B433" s="22" t="s">
        <v>837</v>
      </c>
      <c r="C433" t="s">
        <v>283</v>
      </c>
      <c r="D433" s="22" t="s">
        <v>286</v>
      </c>
      <c r="E433" s="21">
        <v>2018</v>
      </c>
      <c r="F433" s="7">
        <v>203.14756834351999</v>
      </c>
      <c r="G433" s="7">
        <v>7.3159999999999998</v>
      </c>
      <c r="H433" s="7">
        <v>1.2569999999999999</v>
      </c>
      <c r="I433" s="7">
        <v>1.397</v>
      </c>
      <c r="J433" s="7">
        <v>1.1359999999999999</v>
      </c>
      <c r="K433" s="7">
        <v>2.5409999999999999</v>
      </c>
      <c r="L433" s="7">
        <v>0</v>
      </c>
      <c r="M433" s="7">
        <v>1.905</v>
      </c>
      <c r="N433" s="7">
        <v>0</v>
      </c>
      <c r="O433" s="7">
        <v>0</v>
      </c>
      <c r="P433" s="7">
        <v>4.4379999999999997</v>
      </c>
      <c r="Q433" s="7">
        <v>0.93</v>
      </c>
      <c r="R433" s="7">
        <v>4.9000000000000002E-2</v>
      </c>
      <c r="S433" s="7">
        <v>8.673</v>
      </c>
      <c r="T433" s="7">
        <v>5.3630000000000004</v>
      </c>
      <c r="U433" s="7">
        <v>4.4909999999999997</v>
      </c>
      <c r="V433" s="7">
        <v>0.27300000000000002</v>
      </c>
      <c r="W433" s="7">
        <v>2.5619999999999998</v>
      </c>
      <c r="X433" s="7">
        <v>2.9830000000000001</v>
      </c>
      <c r="Y433" s="7">
        <v>0.315</v>
      </c>
      <c r="Z433" s="7">
        <v>0</v>
      </c>
      <c r="AA433" s="7">
        <v>11.183</v>
      </c>
      <c r="AB433" s="7">
        <v>0.57799999999999996</v>
      </c>
      <c r="AC433" s="7">
        <v>0.56200000000000006</v>
      </c>
      <c r="AD433" s="7">
        <v>0.192</v>
      </c>
      <c r="AE433" s="7">
        <v>9.8219999999999992</v>
      </c>
      <c r="AF433" s="7">
        <v>19.254000000000001</v>
      </c>
      <c r="AG433" s="7">
        <v>0</v>
      </c>
      <c r="AH433" s="7">
        <v>21.913</v>
      </c>
      <c r="AI433" s="7">
        <v>0</v>
      </c>
      <c r="AJ433" s="7">
        <v>2.9969999999999999</v>
      </c>
      <c r="AK433" s="7">
        <v>1.86</v>
      </c>
      <c r="AL433" s="7">
        <v>45.628999999999998</v>
      </c>
      <c r="AM433" s="7">
        <v>66.501000000000005</v>
      </c>
      <c r="AN433" s="7">
        <v>1.4570000000000001</v>
      </c>
      <c r="AO433" s="7">
        <v>25.638999999999999</v>
      </c>
      <c r="AP433" s="7">
        <v>6.343</v>
      </c>
      <c r="AQ433" s="7">
        <v>13.647</v>
      </c>
    </row>
    <row r="434" spans="1:43" x14ac:dyDescent="0.25">
      <c r="A434" t="s">
        <v>200</v>
      </c>
      <c r="B434" s="22" t="s">
        <v>831</v>
      </c>
      <c r="C434" t="s">
        <v>283</v>
      </c>
      <c r="D434" s="22" t="s">
        <v>286</v>
      </c>
      <c r="E434" s="21">
        <v>2018</v>
      </c>
      <c r="F434" s="7">
        <v>111.95217187791199</v>
      </c>
      <c r="G434" s="7">
        <v>4.9909999999999997</v>
      </c>
      <c r="H434" s="7">
        <v>1.024</v>
      </c>
      <c r="I434" s="7">
        <v>0.97</v>
      </c>
      <c r="J434" s="7">
        <v>0.67100000000000004</v>
      </c>
      <c r="K434" s="7">
        <v>1.4470000000000001</v>
      </c>
      <c r="L434" s="7">
        <v>0</v>
      </c>
      <c r="M434" s="7">
        <v>1.1599999999999999</v>
      </c>
      <c r="N434" s="7">
        <v>0.38200000000000001</v>
      </c>
      <c r="O434" s="7">
        <v>0</v>
      </c>
      <c r="P434" s="7">
        <v>3.2949999999999999</v>
      </c>
      <c r="Q434" s="7">
        <v>0.42</v>
      </c>
      <c r="R434" s="7">
        <v>3.4000000000000002E-2</v>
      </c>
      <c r="S434" s="7">
        <v>5.51</v>
      </c>
      <c r="T434" s="7">
        <v>2.4980000000000002</v>
      </c>
      <c r="U434" s="7">
        <v>2.6549999999999998</v>
      </c>
      <c r="V434" s="7">
        <v>0.193</v>
      </c>
      <c r="W434" s="7">
        <v>1.7849999999999999</v>
      </c>
      <c r="X434" s="7">
        <v>1.7749999999999999</v>
      </c>
      <c r="Y434" s="7">
        <v>0.50900000000000001</v>
      </c>
      <c r="Z434" s="7">
        <v>0</v>
      </c>
      <c r="AA434" s="7">
        <v>3.621</v>
      </c>
      <c r="AB434" s="7">
        <v>0.499</v>
      </c>
      <c r="AC434" s="7">
        <v>0.32700000000000001</v>
      </c>
      <c r="AD434" s="7">
        <v>0.13900000000000001</v>
      </c>
      <c r="AE434" s="7">
        <v>4.5430000000000001</v>
      </c>
      <c r="AF434" s="7">
        <v>8.3010000000000002</v>
      </c>
      <c r="AG434" s="7">
        <v>0</v>
      </c>
      <c r="AH434" s="7">
        <v>5.0190000000000001</v>
      </c>
      <c r="AI434" s="7">
        <v>0</v>
      </c>
      <c r="AJ434" s="7">
        <v>2.4329999999999998</v>
      </c>
      <c r="AK434" s="7">
        <v>0.82199999999999995</v>
      </c>
      <c r="AL434" s="7">
        <v>29.318999999999999</v>
      </c>
      <c r="AM434" s="7">
        <v>24.882000000000001</v>
      </c>
      <c r="AN434" s="7">
        <v>0.84899999999999998</v>
      </c>
      <c r="AO434" s="7">
        <v>15.379</v>
      </c>
      <c r="AP434" s="7">
        <v>4.8369999999999997</v>
      </c>
      <c r="AQ434" s="7">
        <v>9.1029999999999998</v>
      </c>
    </row>
    <row r="435" spans="1:43" x14ac:dyDescent="0.25">
      <c r="A435" t="s">
        <v>201</v>
      </c>
      <c r="B435" s="22" t="s">
        <v>831</v>
      </c>
      <c r="C435" t="s">
        <v>283</v>
      </c>
      <c r="D435" s="22" t="s">
        <v>286</v>
      </c>
      <c r="E435" s="21">
        <v>2018</v>
      </c>
      <c r="F435" s="7">
        <v>110.590455413424</v>
      </c>
      <c r="G435" s="7">
        <v>4.0170000000000003</v>
      </c>
      <c r="H435" s="7">
        <v>0.64600000000000002</v>
      </c>
      <c r="I435" s="7">
        <v>0.85199999999999998</v>
      </c>
      <c r="J435" s="7">
        <v>0.68899999999999995</v>
      </c>
      <c r="K435" s="7">
        <v>1.863</v>
      </c>
      <c r="L435" s="7">
        <v>0</v>
      </c>
      <c r="M435" s="7">
        <v>1.0549999999999999</v>
      </c>
      <c r="N435" s="7">
        <v>0</v>
      </c>
      <c r="O435" s="7">
        <v>0</v>
      </c>
      <c r="P435" s="7">
        <v>2.5449999999999999</v>
      </c>
      <c r="Q435" s="7">
        <v>0.505</v>
      </c>
      <c r="R435" s="7">
        <v>0</v>
      </c>
      <c r="S435" s="7">
        <v>4.9880000000000004</v>
      </c>
      <c r="T435" s="7">
        <v>2.7709999999999999</v>
      </c>
      <c r="U435" s="7">
        <v>2.8130000000000002</v>
      </c>
      <c r="V435" s="7">
        <v>0.17699999999999999</v>
      </c>
      <c r="W435" s="7">
        <v>1.5589999999999999</v>
      </c>
      <c r="X435" s="7">
        <v>1.6830000000000001</v>
      </c>
      <c r="Y435" s="7">
        <v>0.31900000000000001</v>
      </c>
      <c r="Z435" s="7">
        <v>0</v>
      </c>
      <c r="AA435" s="7">
        <v>4.3639999999999999</v>
      </c>
      <c r="AB435" s="7">
        <v>0.247</v>
      </c>
      <c r="AC435" s="7">
        <v>0.35199999999999998</v>
      </c>
      <c r="AD435" s="7">
        <v>0.152</v>
      </c>
      <c r="AE435" s="7">
        <v>7.1</v>
      </c>
      <c r="AF435" s="7">
        <v>11.034000000000001</v>
      </c>
      <c r="AG435" s="7">
        <v>0</v>
      </c>
      <c r="AH435" s="7">
        <v>6.7489999999999997</v>
      </c>
      <c r="AI435" s="7">
        <v>0</v>
      </c>
      <c r="AJ435" s="7">
        <v>1.8</v>
      </c>
      <c r="AK435" s="7">
        <v>0.78900000000000003</v>
      </c>
      <c r="AL435" s="7">
        <v>26.481999999999999</v>
      </c>
      <c r="AM435" s="7">
        <v>31.797999999999998</v>
      </c>
      <c r="AN435" s="7">
        <v>1.2010000000000001</v>
      </c>
      <c r="AO435" s="7">
        <v>14.815</v>
      </c>
      <c r="AP435" s="7">
        <v>3.6</v>
      </c>
      <c r="AQ435" s="7">
        <v>8.0670000000000002</v>
      </c>
    </row>
    <row r="436" spans="1:43" x14ac:dyDescent="0.25">
      <c r="A436" t="s">
        <v>202</v>
      </c>
      <c r="B436" s="22" t="s">
        <v>831</v>
      </c>
      <c r="C436" t="s">
        <v>283</v>
      </c>
      <c r="D436" s="22" t="s">
        <v>286</v>
      </c>
      <c r="E436" s="21">
        <v>2018</v>
      </c>
      <c r="F436" s="7">
        <v>80.5729597662</v>
      </c>
      <c r="G436" s="7">
        <v>4.3780000000000001</v>
      </c>
      <c r="H436" s="7">
        <v>0.85299999999999998</v>
      </c>
      <c r="I436" s="7">
        <v>0.64900000000000002</v>
      </c>
      <c r="J436" s="7">
        <v>0.39300000000000002</v>
      </c>
      <c r="K436" s="7">
        <v>0.94299999999999995</v>
      </c>
      <c r="L436" s="7">
        <v>0</v>
      </c>
      <c r="M436" s="7">
        <v>1.131</v>
      </c>
      <c r="N436" s="7">
        <v>0.124</v>
      </c>
      <c r="O436" s="7">
        <v>0</v>
      </c>
      <c r="P436" s="7">
        <v>2.6070000000000002</v>
      </c>
      <c r="Q436" s="7">
        <v>0.311</v>
      </c>
      <c r="R436" s="7">
        <v>0</v>
      </c>
      <c r="S436" s="7">
        <v>4.0789999999999997</v>
      </c>
      <c r="T436" s="7">
        <v>2.0190000000000001</v>
      </c>
      <c r="U436" s="7">
        <v>2.15</v>
      </c>
      <c r="V436" s="7">
        <v>0.183</v>
      </c>
      <c r="W436" s="7">
        <v>1.4450000000000001</v>
      </c>
      <c r="X436" s="7">
        <v>1.47</v>
      </c>
      <c r="Y436" s="7">
        <v>0.124</v>
      </c>
      <c r="Z436" s="7">
        <v>0</v>
      </c>
      <c r="AA436" s="7">
        <v>2.5880000000000001</v>
      </c>
      <c r="AB436" s="7">
        <v>0.27200000000000002</v>
      </c>
      <c r="AC436" s="7">
        <v>0.28100000000000003</v>
      </c>
      <c r="AD436" s="7">
        <v>0.13700000000000001</v>
      </c>
      <c r="AE436" s="7">
        <v>3.1030000000000002</v>
      </c>
      <c r="AF436" s="7">
        <v>6.9160000000000004</v>
      </c>
      <c r="AG436" s="7">
        <v>0</v>
      </c>
      <c r="AH436" s="7">
        <v>4.7469999999999999</v>
      </c>
      <c r="AI436" s="7">
        <v>0</v>
      </c>
      <c r="AJ436" s="7">
        <v>1.7150000000000001</v>
      </c>
      <c r="AK436" s="7">
        <v>0.61</v>
      </c>
      <c r="AL436" s="7">
        <v>22.859000000000002</v>
      </c>
      <c r="AM436" s="7">
        <v>19.759</v>
      </c>
      <c r="AN436" s="7">
        <v>0.86399999999999999</v>
      </c>
      <c r="AO436" s="7">
        <v>11.781000000000001</v>
      </c>
      <c r="AP436" s="7">
        <v>3.8620000000000001</v>
      </c>
      <c r="AQ436" s="7">
        <v>7.2160000000000002</v>
      </c>
    </row>
    <row r="437" spans="1:43" x14ac:dyDescent="0.25">
      <c r="A437" t="s">
        <v>203</v>
      </c>
      <c r="B437" s="22" t="s">
        <v>831</v>
      </c>
      <c r="C437" t="s">
        <v>283</v>
      </c>
      <c r="D437" s="22" t="s">
        <v>286</v>
      </c>
      <c r="E437" s="21">
        <v>2018</v>
      </c>
      <c r="F437" s="7">
        <v>130.28068816059499</v>
      </c>
      <c r="G437" s="7">
        <v>4.7889999999999997</v>
      </c>
      <c r="H437" s="7">
        <v>0.95499999999999996</v>
      </c>
      <c r="I437" s="7">
        <v>0.92300000000000004</v>
      </c>
      <c r="J437" s="7">
        <v>0.71299999999999997</v>
      </c>
      <c r="K437" s="7">
        <v>1.7629999999999999</v>
      </c>
      <c r="L437" s="7">
        <v>0</v>
      </c>
      <c r="M437" s="7">
        <v>1.117</v>
      </c>
      <c r="N437" s="7">
        <v>0</v>
      </c>
      <c r="O437" s="7">
        <v>0</v>
      </c>
      <c r="P437" s="7">
        <v>2.996</v>
      </c>
      <c r="Q437" s="7">
        <v>0.432</v>
      </c>
      <c r="R437" s="7">
        <v>3.6999999999999998E-2</v>
      </c>
      <c r="S437" s="7">
        <v>5.1390000000000002</v>
      </c>
      <c r="T437" s="7">
        <v>2.7240000000000002</v>
      </c>
      <c r="U437" s="7">
        <v>2.8809999999999998</v>
      </c>
      <c r="V437" s="7">
        <v>0.17399999999999999</v>
      </c>
      <c r="W437" s="7">
        <v>1.847</v>
      </c>
      <c r="X437" s="7">
        <v>1.9410000000000001</v>
      </c>
      <c r="Y437" s="7">
        <v>0.36199999999999999</v>
      </c>
      <c r="Z437" s="7">
        <v>0</v>
      </c>
      <c r="AA437" s="7">
        <v>3.379</v>
      </c>
      <c r="AB437" s="7">
        <v>0.35799999999999998</v>
      </c>
      <c r="AC437" s="7">
        <v>0.33200000000000002</v>
      </c>
      <c r="AD437" s="7">
        <v>0.16300000000000001</v>
      </c>
      <c r="AE437" s="7">
        <v>6.6349999999999998</v>
      </c>
      <c r="AF437" s="7">
        <v>11.093999999999999</v>
      </c>
      <c r="AG437" s="7">
        <v>0</v>
      </c>
      <c r="AH437" s="7">
        <v>6.8860000000000001</v>
      </c>
      <c r="AI437" s="7">
        <v>0</v>
      </c>
      <c r="AJ437" s="7">
        <v>2.9630000000000001</v>
      </c>
      <c r="AK437" s="7">
        <v>0.91900000000000004</v>
      </c>
      <c r="AL437" s="7">
        <v>28.792999999999999</v>
      </c>
      <c r="AM437" s="7">
        <v>31.81</v>
      </c>
      <c r="AN437" s="7">
        <v>1.105</v>
      </c>
      <c r="AO437" s="7">
        <v>15.537000000000001</v>
      </c>
      <c r="AP437" s="7">
        <v>4.1130000000000004</v>
      </c>
      <c r="AQ437" s="7">
        <v>9.1430000000000007</v>
      </c>
    </row>
    <row r="438" spans="1:43" x14ac:dyDescent="0.25">
      <c r="A438" t="s">
        <v>204</v>
      </c>
      <c r="B438" s="22" t="s">
        <v>838</v>
      </c>
      <c r="C438" t="s">
        <v>283</v>
      </c>
      <c r="D438" s="22" t="s">
        <v>286</v>
      </c>
      <c r="E438" s="21">
        <v>2018</v>
      </c>
      <c r="F438" s="7">
        <v>106.14459445425</v>
      </c>
      <c r="G438" s="7">
        <v>4.3150000000000004</v>
      </c>
      <c r="H438" s="7">
        <v>0.624</v>
      </c>
      <c r="I438" s="7">
        <v>0.85299999999999998</v>
      </c>
      <c r="J438" s="7">
        <v>0.56299999999999994</v>
      </c>
      <c r="K438" s="7">
        <v>1.522</v>
      </c>
      <c r="L438" s="7">
        <v>0</v>
      </c>
      <c r="M438" s="7">
        <v>0.98399999999999999</v>
      </c>
      <c r="N438" s="7">
        <v>0.187</v>
      </c>
      <c r="O438" s="7">
        <v>0</v>
      </c>
      <c r="P438" s="7">
        <v>2.5350000000000001</v>
      </c>
      <c r="Q438" s="7">
        <v>0.40200000000000002</v>
      </c>
      <c r="R438" s="7">
        <v>0</v>
      </c>
      <c r="S438" s="7">
        <v>4.3949999999999996</v>
      </c>
      <c r="T438" s="7">
        <v>2.4300000000000002</v>
      </c>
      <c r="U438" s="7">
        <v>2.5129999999999999</v>
      </c>
      <c r="V438" s="7">
        <v>0.16800000000000001</v>
      </c>
      <c r="W438" s="7">
        <v>1.4850000000000001</v>
      </c>
      <c r="X438" s="7">
        <v>1.647</v>
      </c>
      <c r="Y438" s="7">
        <v>0.46800000000000003</v>
      </c>
      <c r="Z438" s="7">
        <v>0</v>
      </c>
      <c r="AA438" s="7">
        <v>6.6970000000000001</v>
      </c>
      <c r="AB438" s="7">
        <v>0.32100000000000001</v>
      </c>
      <c r="AC438" s="7">
        <v>0.33</v>
      </c>
      <c r="AD438" s="7">
        <v>0.124</v>
      </c>
      <c r="AE438" s="7">
        <v>4.1879999999999997</v>
      </c>
      <c r="AF438" s="7">
        <v>8.9960000000000004</v>
      </c>
      <c r="AG438" s="7">
        <v>0</v>
      </c>
      <c r="AH438" s="7">
        <v>10.032</v>
      </c>
      <c r="AI438" s="7">
        <v>0</v>
      </c>
      <c r="AJ438" s="7">
        <v>1.8959999999999999</v>
      </c>
      <c r="AK438" s="7">
        <v>1.02</v>
      </c>
      <c r="AL438" s="7">
        <v>25.091000000000001</v>
      </c>
      <c r="AM438" s="7">
        <v>32.584000000000003</v>
      </c>
      <c r="AN438" s="7">
        <v>1.2989999999999999</v>
      </c>
      <c r="AO438" s="7">
        <v>13.507999999999999</v>
      </c>
      <c r="AP438" s="7">
        <v>3.706</v>
      </c>
      <c r="AQ438" s="7">
        <v>7.8769999999999998</v>
      </c>
    </row>
    <row r="439" spans="1:43" x14ac:dyDescent="0.25">
      <c r="A439" t="s">
        <v>205</v>
      </c>
      <c r="B439" s="22" t="s">
        <v>838</v>
      </c>
      <c r="C439" t="s">
        <v>283</v>
      </c>
      <c r="D439" s="22" t="s">
        <v>286</v>
      </c>
      <c r="E439" s="21">
        <v>2018</v>
      </c>
      <c r="F439" s="7">
        <v>179.22847135154399</v>
      </c>
      <c r="G439" s="7">
        <v>7.1379999999999999</v>
      </c>
      <c r="H439" s="7">
        <v>0.98099999999999998</v>
      </c>
      <c r="I439" s="7">
        <v>1.41</v>
      </c>
      <c r="J439" s="7">
        <v>0.90600000000000003</v>
      </c>
      <c r="K439" s="7">
        <v>2.14</v>
      </c>
      <c r="L439" s="7">
        <v>0</v>
      </c>
      <c r="M439" s="7">
        <v>1.663</v>
      </c>
      <c r="N439" s="7">
        <v>0.254</v>
      </c>
      <c r="O439" s="7">
        <v>0</v>
      </c>
      <c r="P439" s="7">
        <v>3.7789999999999999</v>
      </c>
      <c r="Q439" s="7">
        <v>0.76200000000000001</v>
      </c>
      <c r="R439" s="7">
        <v>5.1999999999999998E-2</v>
      </c>
      <c r="S439" s="7">
        <v>7.8380000000000001</v>
      </c>
      <c r="T439" s="7">
        <v>4.1900000000000004</v>
      </c>
      <c r="U439" s="7">
        <v>4.4589999999999996</v>
      </c>
      <c r="V439" s="7">
        <v>0.29799999999999999</v>
      </c>
      <c r="W439" s="7">
        <v>2.6219999999999999</v>
      </c>
      <c r="X439" s="7">
        <v>2.9390000000000001</v>
      </c>
      <c r="Y439" s="7">
        <v>0.254</v>
      </c>
      <c r="Z439" s="7">
        <v>0</v>
      </c>
      <c r="AA439" s="7">
        <v>13.653</v>
      </c>
      <c r="AB439" s="7">
        <v>0.48899999999999999</v>
      </c>
      <c r="AC439" s="7">
        <v>0.57599999999999996</v>
      </c>
      <c r="AD439" s="7">
        <v>0.218</v>
      </c>
      <c r="AE439" s="7">
        <v>9.3559999999999999</v>
      </c>
      <c r="AF439" s="7">
        <v>14.866</v>
      </c>
      <c r="AG439" s="7">
        <v>0</v>
      </c>
      <c r="AH439" s="7">
        <v>14.769</v>
      </c>
      <c r="AI439" s="7">
        <v>0</v>
      </c>
      <c r="AJ439" s="7">
        <v>2.968</v>
      </c>
      <c r="AK439" s="7">
        <v>1.5289999999999999</v>
      </c>
      <c r="AL439" s="7">
        <v>41.685000000000002</v>
      </c>
      <c r="AM439" s="7">
        <v>56.895000000000003</v>
      </c>
      <c r="AN439" s="7">
        <v>1.365</v>
      </c>
      <c r="AO439" s="7">
        <v>23.414000000000001</v>
      </c>
      <c r="AP439" s="7">
        <v>5.6959999999999997</v>
      </c>
      <c r="AQ439" s="7">
        <v>12.574999999999999</v>
      </c>
    </row>
    <row r="440" spans="1:43" x14ac:dyDescent="0.25">
      <c r="A440" t="s">
        <v>206</v>
      </c>
      <c r="B440" s="22" t="s">
        <v>838</v>
      </c>
      <c r="C440" t="s">
        <v>283</v>
      </c>
      <c r="D440" s="22" t="s">
        <v>286</v>
      </c>
      <c r="E440" s="21">
        <v>2018</v>
      </c>
      <c r="F440" s="7">
        <v>100.974850718121</v>
      </c>
      <c r="G440" s="7">
        <v>3.8559999999999999</v>
      </c>
      <c r="H440" s="7">
        <v>0.52600000000000002</v>
      </c>
      <c r="I440" s="7">
        <v>0.78</v>
      </c>
      <c r="J440" s="7">
        <v>0.45300000000000001</v>
      </c>
      <c r="K440" s="7">
        <v>1.569</v>
      </c>
      <c r="L440" s="7">
        <v>0</v>
      </c>
      <c r="M440" s="7">
        <v>0.94799999999999995</v>
      </c>
      <c r="N440" s="7">
        <v>0.14899999999999999</v>
      </c>
      <c r="O440" s="7">
        <v>0</v>
      </c>
      <c r="P440" s="7">
        <v>2.4009999999999998</v>
      </c>
      <c r="Q440" s="7">
        <v>0.40400000000000003</v>
      </c>
      <c r="R440" s="7">
        <v>0</v>
      </c>
      <c r="S440" s="7">
        <v>4.0279999999999996</v>
      </c>
      <c r="T440" s="7">
        <v>2.4660000000000002</v>
      </c>
      <c r="U440" s="7">
        <v>2.5089999999999999</v>
      </c>
      <c r="V440" s="7">
        <v>0.16400000000000001</v>
      </c>
      <c r="W440" s="7">
        <v>1.4570000000000001</v>
      </c>
      <c r="X440" s="7">
        <v>1.6659999999999999</v>
      </c>
      <c r="Y440" s="7">
        <v>0.376</v>
      </c>
      <c r="Z440" s="7">
        <v>0</v>
      </c>
      <c r="AA440" s="7">
        <v>4.5659999999999998</v>
      </c>
      <c r="AB440" s="7">
        <v>0.26100000000000001</v>
      </c>
      <c r="AC440" s="7">
        <v>0.32300000000000001</v>
      </c>
      <c r="AD440" s="7">
        <v>0.16600000000000001</v>
      </c>
      <c r="AE440" s="7">
        <v>5.33</v>
      </c>
      <c r="AF440" s="7">
        <v>8.4280000000000008</v>
      </c>
      <c r="AG440" s="7">
        <v>0</v>
      </c>
      <c r="AH440" s="7">
        <v>7.3949999999999996</v>
      </c>
      <c r="AI440" s="7">
        <v>0</v>
      </c>
      <c r="AJ440" s="7">
        <v>1.806</v>
      </c>
      <c r="AK440" s="7">
        <v>0.747</v>
      </c>
      <c r="AL440" s="7">
        <v>23.751999999999999</v>
      </c>
      <c r="AM440" s="7">
        <v>28.274999999999999</v>
      </c>
      <c r="AN440" s="7">
        <v>1.19</v>
      </c>
      <c r="AO440" s="7">
        <v>13.07</v>
      </c>
      <c r="AP440" s="7">
        <v>3.4980000000000002</v>
      </c>
      <c r="AQ440" s="7">
        <v>7.1840000000000002</v>
      </c>
    </row>
    <row r="441" spans="1:43" x14ac:dyDescent="0.25">
      <c r="A441" t="s">
        <v>207</v>
      </c>
      <c r="B441" s="22" t="s">
        <v>838</v>
      </c>
      <c r="C441" t="s">
        <v>283</v>
      </c>
      <c r="D441" s="22" t="s">
        <v>286</v>
      </c>
      <c r="E441" s="21">
        <v>2018</v>
      </c>
      <c r="F441" s="7">
        <v>115.959347462178</v>
      </c>
      <c r="G441" s="7">
        <v>4.2720000000000002</v>
      </c>
      <c r="H441" s="7">
        <v>0.65600000000000003</v>
      </c>
      <c r="I441" s="7">
        <v>0.8</v>
      </c>
      <c r="J441" s="7">
        <v>0.65</v>
      </c>
      <c r="K441" s="7">
        <v>1.7090000000000001</v>
      </c>
      <c r="L441" s="7">
        <v>0</v>
      </c>
      <c r="M441" s="7">
        <v>1.1559999999999999</v>
      </c>
      <c r="N441" s="7">
        <v>0.159</v>
      </c>
      <c r="O441" s="7">
        <v>0</v>
      </c>
      <c r="P441" s="7">
        <v>2.4830000000000001</v>
      </c>
      <c r="Q441" s="7">
        <v>0.56399999999999995</v>
      </c>
      <c r="R441" s="7">
        <v>2.7E-2</v>
      </c>
      <c r="S441" s="7">
        <v>4.516</v>
      </c>
      <c r="T441" s="7">
        <v>2.9359999999999999</v>
      </c>
      <c r="U441" s="7">
        <v>2.7109999999999999</v>
      </c>
      <c r="V441" s="7">
        <v>0.19800000000000001</v>
      </c>
      <c r="W441" s="7">
        <v>1.512</v>
      </c>
      <c r="X441" s="7">
        <v>1.88</v>
      </c>
      <c r="Y441" s="7">
        <v>0.17599999999999999</v>
      </c>
      <c r="Z441" s="7">
        <v>0</v>
      </c>
      <c r="AA441" s="7">
        <v>6.9640000000000004</v>
      </c>
      <c r="AB441" s="7">
        <v>0.4</v>
      </c>
      <c r="AC441" s="7">
        <v>0.317</v>
      </c>
      <c r="AD441" s="7">
        <v>0.251</v>
      </c>
      <c r="AE441" s="7">
        <v>6.9539999999999997</v>
      </c>
      <c r="AF441" s="7">
        <v>10.125</v>
      </c>
      <c r="AG441" s="7">
        <v>0</v>
      </c>
      <c r="AH441" s="7">
        <v>7.77</v>
      </c>
      <c r="AI441" s="7">
        <v>0</v>
      </c>
      <c r="AJ441" s="7">
        <v>2.0089999999999999</v>
      </c>
      <c r="AK441" s="7">
        <v>1.0329999999999999</v>
      </c>
      <c r="AL441" s="7">
        <v>26.405000000000001</v>
      </c>
      <c r="AM441" s="7">
        <v>34.79</v>
      </c>
      <c r="AN441" s="7">
        <v>1.3180000000000001</v>
      </c>
      <c r="AO441" s="7">
        <v>14.52</v>
      </c>
      <c r="AP441" s="7">
        <v>3.798</v>
      </c>
      <c r="AQ441" s="7">
        <v>8.0869999999999997</v>
      </c>
    </row>
    <row r="442" spans="1:43" x14ac:dyDescent="0.25">
      <c r="A442" t="s">
        <v>185</v>
      </c>
      <c r="B442" s="22" t="s">
        <v>839</v>
      </c>
      <c r="C442" t="s">
        <v>283</v>
      </c>
      <c r="D442" s="22" t="s">
        <v>286</v>
      </c>
      <c r="E442" s="21">
        <v>2018</v>
      </c>
      <c r="F442" s="7">
        <v>218.80527064580701</v>
      </c>
      <c r="G442" s="7">
        <v>10.303000000000001</v>
      </c>
      <c r="H442" s="7">
        <v>1.772</v>
      </c>
      <c r="I442" s="7">
        <v>1.8089999999999999</v>
      </c>
      <c r="J442" s="7">
        <v>1.3</v>
      </c>
      <c r="K442" s="7">
        <v>3.3039999999999998</v>
      </c>
      <c r="L442" s="7">
        <v>0.123</v>
      </c>
      <c r="M442" s="7">
        <v>2.6080000000000001</v>
      </c>
      <c r="N442" s="7">
        <v>0.44800000000000001</v>
      </c>
      <c r="O442" s="7">
        <v>0</v>
      </c>
      <c r="P442" s="7">
        <v>5.9279999999999999</v>
      </c>
      <c r="Q442" s="7">
        <v>0.91800000000000004</v>
      </c>
      <c r="R442" s="7">
        <v>5.1999999999999998E-2</v>
      </c>
      <c r="S442" s="7">
        <v>9.9169999999999998</v>
      </c>
      <c r="T442" s="7">
        <v>5.6859999999999999</v>
      </c>
      <c r="U442" s="7">
        <v>5.7329999999999997</v>
      </c>
      <c r="V442" s="7">
        <v>0.36899999999999999</v>
      </c>
      <c r="W442" s="7">
        <v>3.4119999999999999</v>
      </c>
      <c r="X442" s="7">
        <v>4.2990000000000004</v>
      </c>
      <c r="Y442" s="7">
        <v>0.68</v>
      </c>
      <c r="Z442" s="7">
        <v>0</v>
      </c>
      <c r="AA442" s="7">
        <v>6.8150000000000004</v>
      </c>
      <c r="AB442" s="7">
        <v>0</v>
      </c>
      <c r="AC442" s="7">
        <v>1.3069999999999999</v>
      </c>
      <c r="AD442" s="7">
        <v>0.318</v>
      </c>
      <c r="AE442" s="7">
        <v>9.9529999999999994</v>
      </c>
      <c r="AF442" s="7">
        <v>18.754999999999999</v>
      </c>
      <c r="AG442" s="7">
        <v>0</v>
      </c>
      <c r="AH442" s="7">
        <v>16.792999999999999</v>
      </c>
      <c r="AI442" s="7">
        <v>0</v>
      </c>
      <c r="AJ442" s="7">
        <v>2.8919999999999999</v>
      </c>
      <c r="AK442" s="7">
        <v>1.573</v>
      </c>
      <c r="AL442" s="7">
        <v>58.661000000000001</v>
      </c>
      <c r="AM442" s="7">
        <v>56.832999999999998</v>
      </c>
      <c r="AN442" s="7">
        <v>0.96899999999999997</v>
      </c>
      <c r="AO442" s="7">
        <v>31.065999999999999</v>
      </c>
      <c r="AP442" s="7">
        <v>8.984</v>
      </c>
      <c r="AQ442" s="7">
        <v>18.611000000000001</v>
      </c>
    </row>
    <row r="443" spans="1:43" x14ac:dyDescent="0.25">
      <c r="A443" t="s">
        <v>186</v>
      </c>
      <c r="B443" s="22" t="s">
        <v>839</v>
      </c>
      <c r="C443" t="s">
        <v>283</v>
      </c>
      <c r="D443" s="22" t="s">
        <v>286</v>
      </c>
      <c r="E443" s="21">
        <v>2018</v>
      </c>
      <c r="F443" s="7">
        <v>186.20459963240799</v>
      </c>
      <c r="G443" s="7">
        <v>9.718</v>
      </c>
      <c r="H443" s="7">
        <v>1.679</v>
      </c>
      <c r="I443" s="7">
        <v>1.5649999999999999</v>
      </c>
      <c r="J443" s="7">
        <v>0.89500000000000002</v>
      </c>
      <c r="K443" s="7">
        <v>2.6150000000000002</v>
      </c>
      <c r="L443" s="7">
        <v>0</v>
      </c>
      <c r="M443" s="7">
        <v>2.226</v>
      </c>
      <c r="N443" s="7">
        <v>0</v>
      </c>
      <c r="O443" s="7">
        <v>0</v>
      </c>
      <c r="P443" s="7">
        <v>5.7409999999999997</v>
      </c>
      <c r="Q443" s="7">
        <v>0.84299999999999997</v>
      </c>
      <c r="R443" s="7">
        <v>5.0999999999999997E-2</v>
      </c>
      <c r="S443" s="7">
        <v>9.3019999999999996</v>
      </c>
      <c r="T443" s="7">
        <v>4.976</v>
      </c>
      <c r="U443" s="7">
        <v>4.7270000000000003</v>
      </c>
      <c r="V443" s="7">
        <v>0.33500000000000002</v>
      </c>
      <c r="W443" s="7">
        <v>2.992</v>
      </c>
      <c r="X443" s="7">
        <v>3.6560000000000001</v>
      </c>
      <c r="Y443" s="7">
        <v>0.29499999999999998</v>
      </c>
      <c r="Z443" s="7">
        <v>0</v>
      </c>
      <c r="AA443" s="7">
        <v>4.282</v>
      </c>
      <c r="AB443" s="7">
        <v>0.34300000000000003</v>
      </c>
      <c r="AC443" s="7">
        <v>0.65100000000000002</v>
      </c>
      <c r="AD443" s="7">
        <v>0</v>
      </c>
      <c r="AE443" s="7">
        <v>9.6609999999999996</v>
      </c>
      <c r="AF443" s="7">
        <v>16.3</v>
      </c>
      <c r="AG443" s="7">
        <v>0</v>
      </c>
      <c r="AH443" s="7">
        <v>13.022</v>
      </c>
      <c r="AI443" s="7">
        <v>0</v>
      </c>
      <c r="AJ443" s="7">
        <v>2.6259999999999999</v>
      </c>
      <c r="AK443" s="7">
        <v>1.2450000000000001</v>
      </c>
      <c r="AL443" s="7">
        <v>51.616</v>
      </c>
      <c r="AM443" s="7">
        <v>46.884999999999998</v>
      </c>
      <c r="AN443" s="7">
        <v>0.90800000000000003</v>
      </c>
      <c r="AO443" s="7">
        <v>27.177</v>
      </c>
      <c r="AP443" s="7">
        <v>7.9669999999999996</v>
      </c>
      <c r="AQ443" s="7">
        <v>16.472000000000001</v>
      </c>
    </row>
    <row r="444" spans="1:43" x14ac:dyDescent="0.25">
      <c r="A444" t="s">
        <v>187</v>
      </c>
      <c r="B444" s="22" t="s">
        <v>839</v>
      </c>
      <c r="C444" t="s">
        <v>283</v>
      </c>
      <c r="D444" s="22" t="s">
        <v>286</v>
      </c>
      <c r="E444" s="21">
        <v>2018</v>
      </c>
      <c r="F444" s="7">
        <v>186.436012566221</v>
      </c>
      <c r="G444" s="7">
        <v>9.6519999999999992</v>
      </c>
      <c r="H444" s="7">
        <v>1.589</v>
      </c>
      <c r="I444" s="7">
        <v>1.454</v>
      </c>
      <c r="J444" s="7">
        <v>0.93</v>
      </c>
      <c r="K444" s="7">
        <v>2.8330000000000002</v>
      </c>
      <c r="L444" s="7">
        <v>4.7E-2</v>
      </c>
      <c r="M444" s="7">
        <v>2.29</v>
      </c>
      <c r="N444" s="7">
        <v>0</v>
      </c>
      <c r="O444" s="7">
        <v>0</v>
      </c>
      <c r="P444" s="7">
        <v>5.4240000000000004</v>
      </c>
      <c r="Q444" s="7">
        <v>0.75900000000000001</v>
      </c>
      <c r="R444" s="7">
        <v>4.2999999999999997E-2</v>
      </c>
      <c r="S444" s="7">
        <v>8.8559999999999999</v>
      </c>
      <c r="T444" s="7">
        <v>5.0149999999999997</v>
      </c>
      <c r="U444" s="7">
        <v>4.8259999999999996</v>
      </c>
      <c r="V444" s="7">
        <v>0.29399999999999998</v>
      </c>
      <c r="W444" s="7">
        <v>2.82</v>
      </c>
      <c r="X444" s="7">
        <v>3.5670000000000002</v>
      </c>
      <c r="Y444" s="7">
        <v>0.372</v>
      </c>
      <c r="Z444" s="7">
        <v>0</v>
      </c>
      <c r="AA444" s="7">
        <v>5.9779999999999998</v>
      </c>
      <c r="AB444" s="7">
        <v>0.58299999999999996</v>
      </c>
      <c r="AC444" s="7">
        <v>0.57599999999999996</v>
      </c>
      <c r="AD444" s="7">
        <v>0.16900000000000001</v>
      </c>
      <c r="AE444" s="7">
        <v>7.48</v>
      </c>
      <c r="AF444" s="7">
        <v>16.306000000000001</v>
      </c>
      <c r="AG444" s="7">
        <v>0</v>
      </c>
      <c r="AH444" s="7">
        <v>15.715</v>
      </c>
      <c r="AI444" s="7">
        <v>0</v>
      </c>
      <c r="AJ444" s="7">
        <v>2.3540000000000001</v>
      </c>
      <c r="AK444" s="7">
        <v>2.8639999999999999</v>
      </c>
      <c r="AL444" s="7">
        <v>50.771000000000001</v>
      </c>
      <c r="AM444" s="7">
        <v>49.161000000000001</v>
      </c>
      <c r="AN444" s="7">
        <v>0.96799999999999997</v>
      </c>
      <c r="AO444" s="7">
        <v>26.552</v>
      </c>
      <c r="AP444" s="7">
        <v>7.7140000000000004</v>
      </c>
      <c r="AQ444" s="7">
        <v>16.504999999999999</v>
      </c>
    </row>
    <row r="445" spans="1:43" x14ac:dyDescent="0.25">
      <c r="A445" t="s">
        <v>188</v>
      </c>
      <c r="B445" s="22" t="s">
        <v>830</v>
      </c>
      <c r="C445" t="s">
        <v>283</v>
      </c>
      <c r="D445" s="22" t="s">
        <v>286</v>
      </c>
      <c r="E445" s="21">
        <v>2018</v>
      </c>
      <c r="F445" s="7">
        <v>198.30224552901799</v>
      </c>
      <c r="G445" s="7">
        <v>8.9499999999999993</v>
      </c>
      <c r="H445" s="7">
        <v>2.0470000000000002</v>
      </c>
      <c r="I445" s="7">
        <v>1.617</v>
      </c>
      <c r="J445" s="7">
        <v>1.1559999999999999</v>
      </c>
      <c r="K445" s="7">
        <v>3.109</v>
      </c>
      <c r="L445" s="7">
        <v>0</v>
      </c>
      <c r="M445" s="7">
        <v>2.173</v>
      </c>
      <c r="N445" s="7">
        <v>0</v>
      </c>
      <c r="O445" s="7">
        <v>0</v>
      </c>
      <c r="P445" s="7">
        <v>5.0579999999999998</v>
      </c>
      <c r="Q445" s="7">
        <v>0.91500000000000004</v>
      </c>
      <c r="R445" s="7">
        <v>0.11</v>
      </c>
      <c r="S445" s="7">
        <v>8.6210000000000004</v>
      </c>
      <c r="T445" s="7">
        <v>5.5679999999999996</v>
      </c>
      <c r="U445" s="7">
        <v>4.8639999999999999</v>
      </c>
      <c r="V445" s="7">
        <v>0.38800000000000001</v>
      </c>
      <c r="W445" s="7">
        <v>2.7</v>
      </c>
      <c r="X445" s="7">
        <v>3.3820000000000001</v>
      </c>
      <c r="Y445" s="7">
        <v>0.36699999999999999</v>
      </c>
      <c r="Z445" s="7">
        <v>0</v>
      </c>
      <c r="AA445" s="7">
        <v>4.1139999999999999</v>
      </c>
      <c r="AB445" s="7">
        <v>0.498</v>
      </c>
      <c r="AC445" s="7">
        <v>0.69099999999999995</v>
      </c>
      <c r="AD445" s="7">
        <v>0.40200000000000002</v>
      </c>
      <c r="AE445" s="7">
        <v>6.55</v>
      </c>
      <c r="AF445" s="7">
        <v>14.458</v>
      </c>
      <c r="AG445" s="7">
        <v>0</v>
      </c>
      <c r="AH445" s="7">
        <v>14.840999999999999</v>
      </c>
      <c r="AI445" s="7">
        <v>0</v>
      </c>
      <c r="AJ445" s="7">
        <v>4.2679999999999998</v>
      </c>
      <c r="AK445" s="7">
        <v>1.3879999999999999</v>
      </c>
      <c r="AL445" s="7">
        <v>51.024999999999999</v>
      </c>
      <c r="AM445" s="7">
        <v>45.822000000000003</v>
      </c>
      <c r="AN445" s="7">
        <v>0.89800000000000002</v>
      </c>
      <c r="AO445" s="7">
        <v>26.914999999999999</v>
      </c>
      <c r="AP445" s="7">
        <v>7.2309999999999999</v>
      </c>
      <c r="AQ445" s="7">
        <v>16.879000000000001</v>
      </c>
    </row>
    <row r="446" spans="1:43" x14ac:dyDescent="0.25">
      <c r="A446" t="s">
        <v>190</v>
      </c>
      <c r="B446" s="22" t="s">
        <v>830</v>
      </c>
      <c r="C446" t="s">
        <v>283</v>
      </c>
      <c r="D446" s="22" t="s">
        <v>286</v>
      </c>
      <c r="E446" s="21">
        <v>2018</v>
      </c>
      <c r="F446" s="7">
        <v>329.268245697959</v>
      </c>
      <c r="G446" s="7">
        <v>15.12</v>
      </c>
      <c r="H446" s="7">
        <v>2.9950000000000001</v>
      </c>
      <c r="I446" s="7">
        <v>3.0489999999999999</v>
      </c>
      <c r="J446" s="7">
        <v>2.4169999999999998</v>
      </c>
      <c r="K446" s="7">
        <v>4.9000000000000004</v>
      </c>
      <c r="L446" s="7">
        <v>0.16900000000000001</v>
      </c>
      <c r="M446" s="7">
        <v>4.26</v>
      </c>
      <c r="N446" s="7">
        <v>0</v>
      </c>
      <c r="O446" s="7">
        <v>0</v>
      </c>
      <c r="P446" s="7">
        <v>8.58</v>
      </c>
      <c r="Q446" s="7">
        <v>1.671</v>
      </c>
      <c r="R446" s="7">
        <v>9.0999999999999998E-2</v>
      </c>
      <c r="S446" s="7">
        <v>15.122999999999999</v>
      </c>
      <c r="T446" s="7">
        <v>9.4870000000000001</v>
      </c>
      <c r="U446" s="7">
        <v>9.1519999999999992</v>
      </c>
      <c r="V446" s="7">
        <v>0.64</v>
      </c>
      <c r="W446" s="7">
        <v>4.835</v>
      </c>
      <c r="X446" s="7">
        <v>6.2830000000000004</v>
      </c>
      <c r="Y446" s="7">
        <v>0.442</v>
      </c>
      <c r="Z446" s="7">
        <v>0</v>
      </c>
      <c r="AA446" s="7">
        <v>6.7210000000000001</v>
      </c>
      <c r="AB446" s="7">
        <v>0</v>
      </c>
      <c r="AC446" s="7">
        <v>1.99</v>
      </c>
      <c r="AD446" s="7">
        <v>0</v>
      </c>
      <c r="AE446" s="7">
        <v>17.713999999999999</v>
      </c>
      <c r="AF446" s="7">
        <v>26.971</v>
      </c>
      <c r="AG446" s="7">
        <v>0</v>
      </c>
      <c r="AH446" s="7">
        <v>23.776</v>
      </c>
      <c r="AI446" s="7">
        <v>0</v>
      </c>
      <c r="AJ446" s="7">
        <v>5.1319999999999997</v>
      </c>
      <c r="AK446" s="7">
        <v>2.3650000000000002</v>
      </c>
      <c r="AL446" s="7">
        <v>89.213999999999999</v>
      </c>
      <c r="AM446" s="7">
        <v>82.304000000000002</v>
      </c>
      <c r="AN446" s="7">
        <v>0.92300000000000004</v>
      </c>
      <c r="AO446" s="7">
        <v>47.723999999999997</v>
      </c>
      <c r="AP446" s="7">
        <v>12.84</v>
      </c>
      <c r="AQ446" s="7">
        <v>28.65</v>
      </c>
    </row>
    <row r="447" spans="1:43" x14ac:dyDescent="0.25">
      <c r="A447" t="s">
        <v>191</v>
      </c>
      <c r="B447" s="22" t="s">
        <v>830</v>
      </c>
      <c r="C447" t="s">
        <v>283</v>
      </c>
      <c r="D447" s="22" t="s">
        <v>286</v>
      </c>
      <c r="E447" s="21">
        <v>2018</v>
      </c>
      <c r="F447" s="7">
        <v>336.89373283807402</v>
      </c>
      <c r="G447" s="7">
        <v>15.941000000000001</v>
      </c>
      <c r="H447" s="7">
        <v>2.8690000000000002</v>
      </c>
      <c r="I447" s="7">
        <v>3.5649999999999999</v>
      </c>
      <c r="J447" s="7">
        <v>2.8980000000000001</v>
      </c>
      <c r="K447" s="7">
        <v>5.6920000000000002</v>
      </c>
      <c r="L447" s="7">
        <v>0.46800000000000003</v>
      </c>
      <c r="M447" s="7">
        <v>4.4740000000000002</v>
      </c>
      <c r="N447" s="7">
        <v>0.76800000000000002</v>
      </c>
      <c r="O447" s="7">
        <v>0</v>
      </c>
      <c r="P447" s="7">
        <v>10.255000000000001</v>
      </c>
      <c r="Q447" s="7">
        <v>1.6739999999999999</v>
      </c>
      <c r="R447" s="7">
        <v>0.14399999999999999</v>
      </c>
      <c r="S447" s="7">
        <v>15.856999999999999</v>
      </c>
      <c r="T447" s="7">
        <v>9.5609999999999999</v>
      </c>
      <c r="U447" s="7">
        <v>8.5180000000000007</v>
      </c>
      <c r="V447" s="7">
        <v>0.74099999999999999</v>
      </c>
      <c r="W447" s="7">
        <v>5.2450000000000001</v>
      </c>
      <c r="X447" s="7">
        <v>6.2910000000000004</v>
      </c>
      <c r="Y447" s="7">
        <v>0.999</v>
      </c>
      <c r="Z447" s="7">
        <v>0</v>
      </c>
      <c r="AA447" s="7">
        <v>7.3959999999999999</v>
      </c>
      <c r="AB447" s="7">
        <v>1.018</v>
      </c>
      <c r="AC447" s="7">
        <v>1.52</v>
      </c>
      <c r="AD447" s="7">
        <v>0.629</v>
      </c>
      <c r="AE447" s="7">
        <v>11.62</v>
      </c>
      <c r="AF447" s="7">
        <v>25.628</v>
      </c>
      <c r="AG447" s="7">
        <v>0</v>
      </c>
      <c r="AH447" s="7">
        <v>23.776</v>
      </c>
      <c r="AI447" s="7">
        <v>0</v>
      </c>
      <c r="AJ447" s="7">
        <v>5.5279999999999996</v>
      </c>
      <c r="AK447" s="7">
        <v>3.331</v>
      </c>
      <c r="AL447" s="7">
        <v>95.96</v>
      </c>
      <c r="AM447" s="7">
        <v>77.114999999999995</v>
      </c>
      <c r="AN447" s="7">
        <v>0.80400000000000005</v>
      </c>
      <c r="AO447" s="7">
        <v>49.03</v>
      </c>
      <c r="AP447" s="7">
        <v>15.497</v>
      </c>
      <c r="AQ447" s="7">
        <v>31.433</v>
      </c>
    </row>
    <row r="448" spans="1:43" x14ac:dyDescent="0.25">
      <c r="A448" t="s">
        <v>192</v>
      </c>
      <c r="B448" s="22" t="s">
        <v>840</v>
      </c>
      <c r="C448" t="s">
        <v>283</v>
      </c>
      <c r="D448" s="22" t="s">
        <v>286</v>
      </c>
      <c r="E448" s="21">
        <v>2018</v>
      </c>
      <c r="F448" s="7">
        <v>284.04541467304398</v>
      </c>
      <c r="G448" s="7">
        <v>12.565</v>
      </c>
      <c r="H448" s="7">
        <v>4.3780000000000001</v>
      </c>
      <c r="I448" s="7">
        <v>3.9380000000000002</v>
      </c>
      <c r="J448" s="7">
        <v>2.0979999999999999</v>
      </c>
      <c r="K448" s="7">
        <v>5.1429999999999998</v>
      </c>
      <c r="L448" s="7">
        <v>0.35599999999999998</v>
      </c>
      <c r="M448" s="7">
        <v>3.5489999999999999</v>
      </c>
      <c r="N448" s="7">
        <v>0</v>
      </c>
      <c r="O448" s="7">
        <v>0</v>
      </c>
      <c r="P448" s="7">
        <v>5.5739999999999998</v>
      </c>
      <c r="Q448" s="7">
        <v>1.1910000000000001</v>
      </c>
      <c r="R448" s="7">
        <v>8.5000000000000006E-2</v>
      </c>
      <c r="S448" s="7">
        <v>12.723000000000001</v>
      </c>
      <c r="T448" s="7">
        <v>7.6760000000000002</v>
      </c>
      <c r="U448" s="7">
        <v>8.8620000000000001</v>
      </c>
      <c r="V448" s="7">
        <v>0.55400000000000005</v>
      </c>
      <c r="W448" s="7">
        <v>4.1660000000000004</v>
      </c>
      <c r="X448" s="7">
        <v>5.4539999999999997</v>
      </c>
      <c r="Y448" s="7">
        <v>0.75</v>
      </c>
      <c r="Z448" s="7">
        <v>0</v>
      </c>
      <c r="AA448" s="7">
        <v>9.7850000000000001</v>
      </c>
      <c r="AB448" s="7">
        <v>0.95699999999999996</v>
      </c>
      <c r="AC448" s="7">
        <v>0.93100000000000005</v>
      </c>
      <c r="AD448" s="7">
        <v>0</v>
      </c>
      <c r="AE448" s="7">
        <v>24.649000000000001</v>
      </c>
      <c r="AF448" s="7">
        <v>24.603000000000002</v>
      </c>
      <c r="AG448" s="7">
        <v>0</v>
      </c>
      <c r="AH448" s="7">
        <v>15.38</v>
      </c>
      <c r="AI448" s="7">
        <v>0</v>
      </c>
      <c r="AJ448" s="7">
        <v>4.6310000000000002</v>
      </c>
      <c r="AK448" s="7">
        <v>1.6679999999999999</v>
      </c>
      <c r="AL448" s="7">
        <v>79.061999999999998</v>
      </c>
      <c r="AM448" s="7">
        <v>80.936000000000007</v>
      </c>
      <c r="AN448" s="7">
        <v>1.024</v>
      </c>
      <c r="AO448" s="7">
        <v>41.460999999999999</v>
      </c>
      <c r="AP448" s="7">
        <v>9.1229999999999993</v>
      </c>
      <c r="AQ448" s="7">
        <v>28.478000000000002</v>
      </c>
    </row>
    <row r="449" spans="1:43" x14ac:dyDescent="0.25">
      <c r="A449" t="s">
        <v>193</v>
      </c>
      <c r="B449" s="22" t="s">
        <v>840</v>
      </c>
      <c r="C449" t="s">
        <v>283</v>
      </c>
      <c r="D449" s="22" t="s">
        <v>286</v>
      </c>
      <c r="E449" s="21">
        <v>2018</v>
      </c>
      <c r="F449" s="7">
        <v>136.012396244277</v>
      </c>
      <c r="G449" s="7">
        <v>7.4429999999999996</v>
      </c>
      <c r="H449" s="7">
        <v>2.67</v>
      </c>
      <c r="I449" s="7">
        <v>1.853</v>
      </c>
      <c r="J449" s="7">
        <v>0.629</v>
      </c>
      <c r="K449" s="7">
        <v>2.5009999999999999</v>
      </c>
      <c r="L449" s="7">
        <v>0.08</v>
      </c>
      <c r="M449" s="7">
        <v>1.68</v>
      </c>
      <c r="N449" s="7">
        <v>0</v>
      </c>
      <c r="O449" s="7">
        <v>0</v>
      </c>
      <c r="P449" s="7">
        <v>4.2569999999999997</v>
      </c>
      <c r="Q449" s="7">
        <v>0.49</v>
      </c>
      <c r="R449" s="7">
        <v>3.5999999999999997E-2</v>
      </c>
      <c r="S449" s="7">
        <v>6.9210000000000003</v>
      </c>
      <c r="T449" s="7">
        <v>3.395</v>
      </c>
      <c r="U449" s="7">
        <v>4.2519999999999998</v>
      </c>
      <c r="V449" s="7">
        <v>0.25</v>
      </c>
      <c r="W449" s="7">
        <v>2.2989999999999999</v>
      </c>
      <c r="X449" s="7">
        <v>2.7519999999999998</v>
      </c>
      <c r="Y449" s="7">
        <v>0.40100000000000002</v>
      </c>
      <c r="Z449" s="7">
        <v>0</v>
      </c>
      <c r="AA449" s="7">
        <v>9.7029999999999994</v>
      </c>
      <c r="AB449" s="7">
        <v>0.53200000000000003</v>
      </c>
      <c r="AC449" s="7">
        <v>0.32400000000000001</v>
      </c>
      <c r="AD449" s="7">
        <v>0.247</v>
      </c>
      <c r="AE449" s="7">
        <v>3.8849999999999998</v>
      </c>
      <c r="AF449" s="7">
        <v>10.117000000000001</v>
      </c>
      <c r="AG449" s="7">
        <v>0</v>
      </c>
      <c r="AH449" s="7">
        <v>7.0720000000000001</v>
      </c>
      <c r="AI449" s="7">
        <v>0</v>
      </c>
      <c r="AJ449" s="7">
        <v>2.4409999999999998</v>
      </c>
      <c r="AK449" s="7">
        <v>1.2010000000000001</v>
      </c>
      <c r="AL449" s="7">
        <v>41.908999999999999</v>
      </c>
      <c r="AM449" s="7">
        <v>34.320999999999998</v>
      </c>
      <c r="AN449" s="7">
        <v>0.81899999999999995</v>
      </c>
      <c r="AO449" s="7">
        <v>20.795999999999999</v>
      </c>
      <c r="AP449" s="7">
        <v>5.9370000000000003</v>
      </c>
      <c r="AQ449" s="7">
        <v>15.176</v>
      </c>
    </row>
    <row r="450" spans="1:43" x14ac:dyDescent="0.25">
      <c r="A450" t="s">
        <v>194</v>
      </c>
      <c r="B450" s="22" t="s">
        <v>840</v>
      </c>
      <c r="C450" t="s">
        <v>283</v>
      </c>
      <c r="D450" s="22" t="s">
        <v>286</v>
      </c>
      <c r="E450" s="21">
        <v>2018</v>
      </c>
      <c r="F450" s="7">
        <v>186.36701475887301</v>
      </c>
      <c r="G450" s="7">
        <v>10.019</v>
      </c>
      <c r="H450" s="7">
        <v>3.4790000000000001</v>
      </c>
      <c r="I450" s="7">
        <v>2.6680000000000001</v>
      </c>
      <c r="J450" s="7">
        <v>1.2070000000000001</v>
      </c>
      <c r="K450" s="7">
        <v>3.5539999999999998</v>
      </c>
      <c r="L450" s="7">
        <v>0.30499999999999999</v>
      </c>
      <c r="M450" s="7">
        <v>2.3039999999999998</v>
      </c>
      <c r="N450" s="7">
        <v>0</v>
      </c>
      <c r="O450" s="7">
        <v>0</v>
      </c>
      <c r="P450" s="7">
        <v>3.9510000000000001</v>
      </c>
      <c r="Q450" s="7">
        <v>0.78800000000000003</v>
      </c>
      <c r="R450" s="7">
        <v>6.4000000000000001E-2</v>
      </c>
      <c r="S450" s="7">
        <v>9.7070000000000007</v>
      </c>
      <c r="T450" s="7">
        <v>5.3730000000000002</v>
      </c>
      <c r="U450" s="7">
        <v>6.0860000000000003</v>
      </c>
      <c r="V450" s="7">
        <v>0.372</v>
      </c>
      <c r="W450" s="7">
        <v>3.0960000000000001</v>
      </c>
      <c r="X450" s="7">
        <v>3.8820000000000001</v>
      </c>
      <c r="Y450" s="7">
        <v>0.46500000000000002</v>
      </c>
      <c r="Z450" s="7">
        <v>0</v>
      </c>
      <c r="AA450" s="7">
        <v>6.7569999999999997</v>
      </c>
      <c r="AB450" s="7">
        <v>0.76400000000000001</v>
      </c>
      <c r="AC450" s="7">
        <v>0.57899999999999996</v>
      </c>
      <c r="AD450" s="7">
        <v>0.44400000000000001</v>
      </c>
      <c r="AE450" s="7">
        <v>6.6529999999999996</v>
      </c>
      <c r="AF450" s="7">
        <v>15.685</v>
      </c>
      <c r="AG450" s="7">
        <v>0</v>
      </c>
      <c r="AH450" s="7">
        <v>10.683999999999999</v>
      </c>
      <c r="AI450" s="7">
        <v>0</v>
      </c>
      <c r="AJ450" s="7">
        <v>3.6120000000000001</v>
      </c>
      <c r="AK450" s="7">
        <v>1.597</v>
      </c>
      <c r="AL450" s="7">
        <v>57.32</v>
      </c>
      <c r="AM450" s="7">
        <v>45.177999999999997</v>
      </c>
      <c r="AN450" s="7">
        <v>0.78800000000000003</v>
      </c>
      <c r="AO450" s="7">
        <v>29.832999999999998</v>
      </c>
      <c r="AP450" s="7">
        <v>6.2549999999999999</v>
      </c>
      <c r="AQ450" s="7">
        <v>21.231999999999999</v>
      </c>
    </row>
    <row r="451" spans="1:43" x14ac:dyDescent="0.25">
      <c r="A451" t="s">
        <v>195</v>
      </c>
      <c r="B451" s="22" t="s">
        <v>840</v>
      </c>
      <c r="C451" t="s">
        <v>283</v>
      </c>
      <c r="D451" s="22" t="s">
        <v>286</v>
      </c>
      <c r="E451" s="21">
        <v>2018</v>
      </c>
      <c r="F451" s="7">
        <v>223.49372057204801</v>
      </c>
      <c r="G451" s="7">
        <v>10.923999999999999</v>
      </c>
      <c r="H451" s="7">
        <v>3.3330000000000002</v>
      </c>
      <c r="I451" s="7">
        <v>2.891</v>
      </c>
      <c r="J451" s="7">
        <v>1.276</v>
      </c>
      <c r="K451" s="7">
        <v>3.8580000000000001</v>
      </c>
      <c r="L451" s="7">
        <v>0.114</v>
      </c>
      <c r="M451" s="7">
        <v>2.5630000000000002</v>
      </c>
      <c r="N451" s="7">
        <v>0</v>
      </c>
      <c r="O451" s="7">
        <v>0</v>
      </c>
      <c r="P451" s="7">
        <v>4.1870000000000003</v>
      </c>
      <c r="Q451" s="7">
        <v>1.0149999999999999</v>
      </c>
      <c r="R451" s="7">
        <v>7.5999999999999998E-2</v>
      </c>
      <c r="S451" s="7">
        <v>11.316000000000001</v>
      </c>
      <c r="T451" s="7">
        <v>6.6420000000000003</v>
      </c>
      <c r="U451" s="7">
        <v>7.2480000000000002</v>
      </c>
      <c r="V451" s="7">
        <v>0.40899999999999997</v>
      </c>
      <c r="W451" s="7">
        <v>3.4220000000000002</v>
      </c>
      <c r="X451" s="7">
        <v>4.4169999999999998</v>
      </c>
      <c r="Y451" s="7">
        <v>0.45900000000000002</v>
      </c>
      <c r="Z451" s="7">
        <v>0</v>
      </c>
      <c r="AA451" s="7">
        <v>6.7329999999999997</v>
      </c>
      <c r="AB451" s="7">
        <v>0.755</v>
      </c>
      <c r="AC451" s="7">
        <v>0.6</v>
      </c>
      <c r="AD451" s="7">
        <v>0.44700000000000001</v>
      </c>
      <c r="AE451" s="7">
        <v>11.507999999999999</v>
      </c>
      <c r="AF451" s="7">
        <v>20.498999999999999</v>
      </c>
      <c r="AG451" s="7">
        <v>0</v>
      </c>
      <c r="AH451" s="7">
        <v>14.712999999999999</v>
      </c>
      <c r="AI451" s="7">
        <v>0</v>
      </c>
      <c r="AJ451" s="7">
        <v>4.4829999999999997</v>
      </c>
      <c r="AK451" s="7">
        <v>1.4650000000000001</v>
      </c>
      <c r="AL451" s="7">
        <v>64.150000000000006</v>
      </c>
      <c r="AM451" s="7">
        <v>59.738</v>
      </c>
      <c r="AN451" s="7">
        <v>0.93100000000000005</v>
      </c>
      <c r="AO451" s="7">
        <v>35.003999999999998</v>
      </c>
      <c r="AP451" s="7">
        <v>6.75</v>
      </c>
      <c r="AQ451" s="7">
        <v>22.396000000000001</v>
      </c>
    </row>
    <row r="452" spans="1:43" x14ac:dyDescent="0.25">
      <c r="A452" t="s">
        <v>160</v>
      </c>
      <c r="B452" s="1" t="s">
        <v>11</v>
      </c>
      <c r="C452" t="s">
        <v>283</v>
      </c>
      <c r="D452" s="22" t="s">
        <v>286</v>
      </c>
      <c r="E452" s="21">
        <v>2018</v>
      </c>
      <c r="F452" s="7">
        <v>121.86065767663101</v>
      </c>
      <c r="G452" s="7">
        <v>4.5060000000000002</v>
      </c>
      <c r="H452" s="7">
        <v>0.88</v>
      </c>
      <c r="I452" s="7">
        <v>1.091</v>
      </c>
      <c r="J452" s="7">
        <v>0.60099999999999998</v>
      </c>
      <c r="K452" s="7">
        <v>1.2030000000000001</v>
      </c>
      <c r="L452" s="7">
        <v>0</v>
      </c>
      <c r="M452" s="7">
        <v>0.98599999999999999</v>
      </c>
      <c r="N452" s="7">
        <v>0.23300000000000001</v>
      </c>
      <c r="O452" s="7">
        <v>0</v>
      </c>
      <c r="P452" s="7">
        <v>2.8370000000000002</v>
      </c>
      <c r="Q452" s="7">
        <v>0.52700000000000002</v>
      </c>
      <c r="R452" s="7">
        <v>0.159</v>
      </c>
      <c r="S452" s="7">
        <v>4.8339999999999996</v>
      </c>
      <c r="T452" s="7">
        <v>2.5179999999999998</v>
      </c>
      <c r="U452" s="7">
        <v>3.456</v>
      </c>
      <c r="V452" s="7">
        <v>0.23599999999999999</v>
      </c>
      <c r="W452" s="7">
        <v>1.714</v>
      </c>
      <c r="X452" s="7">
        <v>2.048</v>
      </c>
      <c r="Y452" s="7">
        <v>0.28999999999999998</v>
      </c>
      <c r="Z452" s="7">
        <v>0</v>
      </c>
      <c r="AA452" s="7">
        <v>6.0990000000000002</v>
      </c>
      <c r="AB452" s="7">
        <v>0.41799999999999998</v>
      </c>
      <c r="AC452" s="7">
        <v>0.29899999999999999</v>
      </c>
      <c r="AD452" s="7">
        <v>0.11</v>
      </c>
      <c r="AE452" s="7">
        <v>7.9240000000000004</v>
      </c>
      <c r="AF452" s="7">
        <v>9.5239999999999991</v>
      </c>
      <c r="AG452" s="7">
        <v>0</v>
      </c>
      <c r="AH452" s="7">
        <v>7.5540000000000003</v>
      </c>
      <c r="AI452" s="7">
        <v>0</v>
      </c>
      <c r="AJ452" s="7">
        <v>2.488</v>
      </c>
      <c r="AK452" s="7">
        <v>1.012</v>
      </c>
      <c r="AL452" s="7">
        <v>28.119</v>
      </c>
      <c r="AM452" s="7">
        <v>34.415999999999997</v>
      </c>
      <c r="AN452" s="7">
        <v>1.224</v>
      </c>
      <c r="AO452" s="7">
        <v>15.782</v>
      </c>
      <c r="AP452" s="7">
        <v>4.056</v>
      </c>
      <c r="AQ452" s="7">
        <v>8.2810000000000006</v>
      </c>
    </row>
    <row r="453" spans="1:43" x14ac:dyDescent="0.25">
      <c r="A453" t="s">
        <v>161</v>
      </c>
      <c r="B453" s="1" t="s">
        <v>11</v>
      </c>
      <c r="C453" t="s">
        <v>283</v>
      </c>
      <c r="D453" s="22" t="s">
        <v>286</v>
      </c>
      <c r="E453" s="21">
        <v>2018</v>
      </c>
      <c r="F453" s="7">
        <v>137.715497733234</v>
      </c>
      <c r="G453" s="7">
        <v>5.149</v>
      </c>
      <c r="H453" s="7">
        <v>1.1599999999999999</v>
      </c>
      <c r="I453" s="7">
        <v>1.1319999999999999</v>
      </c>
      <c r="J453" s="7">
        <v>0.68200000000000005</v>
      </c>
      <c r="K453" s="7">
        <v>1.9219999999999999</v>
      </c>
      <c r="L453" s="7">
        <v>0</v>
      </c>
      <c r="M453" s="7">
        <v>1.0720000000000001</v>
      </c>
      <c r="N453" s="7">
        <v>0.52100000000000002</v>
      </c>
      <c r="O453" s="7">
        <v>0</v>
      </c>
      <c r="P453" s="7">
        <v>3.17</v>
      </c>
      <c r="Q453" s="7">
        <v>0.52500000000000002</v>
      </c>
      <c r="R453" s="7">
        <v>4.2000000000000003E-2</v>
      </c>
      <c r="S453" s="7">
        <v>5.1340000000000003</v>
      </c>
      <c r="T453" s="7">
        <v>3.3029999999999999</v>
      </c>
      <c r="U453" s="7">
        <v>3.8260000000000001</v>
      </c>
      <c r="V453" s="7">
        <v>0.21099999999999999</v>
      </c>
      <c r="W453" s="7">
        <v>1.7769999999999999</v>
      </c>
      <c r="X453" s="7">
        <v>2.2149999999999999</v>
      </c>
      <c r="Y453" s="7">
        <v>0.89600000000000002</v>
      </c>
      <c r="Z453" s="7">
        <v>0</v>
      </c>
      <c r="AA453" s="7">
        <v>9.7680000000000007</v>
      </c>
      <c r="AB453" s="7">
        <v>0.52</v>
      </c>
      <c r="AC453" s="7">
        <v>0.39200000000000002</v>
      </c>
      <c r="AD453" s="7">
        <v>0.14499999999999999</v>
      </c>
      <c r="AE453" s="7">
        <v>6.6159999999999997</v>
      </c>
      <c r="AF453" s="7">
        <v>11.656000000000001</v>
      </c>
      <c r="AG453" s="7">
        <v>0</v>
      </c>
      <c r="AH453" s="7">
        <v>13.432</v>
      </c>
      <c r="AI453" s="7">
        <v>0</v>
      </c>
      <c r="AJ453" s="7">
        <v>2.887</v>
      </c>
      <c r="AK453" s="7">
        <v>1.032</v>
      </c>
      <c r="AL453" s="7">
        <v>32.737000000000002</v>
      </c>
      <c r="AM453" s="7">
        <v>45.415999999999997</v>
      </c>
      <c r="AN453" s="7">
        <v>1.387</v>
      </c>
      <c r="AO453" s="7">
        <v>17.928999999999998</v>
      </c>
      <c r="AP453" s="7">
        <v>4.7629999999999999</v>
      </c>
      <c r="AQ453" s="7">
        <v>10.045</v>
      </c>
    </row>
    <row r="454" spans="1:43" x14ac:dyDescent="0.25">
      <c r="A454" t="s">
        <v>162</v>
      </c>
      <c r="B454" s="1" t="s">
        <v>11</v>
      </c>
      <c r="C454" t="s">
        <v>283</v>
      </c>
      <c r="D454" s="22" t="s">
        <v>286</v>
      </c>
      <c r="E454" s="21">
        <v>2018</v>
      </c>
      <c r="F454" s="7">
        <v>95.750807036266494</v>
      </c>
      <c r="G454" s="7">
        <v>4.2679999999999998</v>
      </c>
      <c r="H454" s="7">
        <v>0.96499999999999997</v>
      </c>
      <c r="I454" s="7">
        <v>0.60299999999999998</v>
      </c>
      <c r="J454" s="7">
        <v>0.57099999999999995</v>
      </c>
      <c r="K454" s="7">
        <v>1.3240000000000001</v>
      </c>
      <c r="L454" s="7">
        <v>0</v>
      </c>
      <c r="M454" s="7">
        <v>0.88700000000000001</v>
      </c>
      <c r="N454" s="7">
        <v>0.48899999999999999</v>
      </c>
      <c r="O454" s="7">
        <v>0</v>
      </c>
      <c r="P454" s="7">
        <v>2.742</v>
      </c>
      <c r="Q454" s="7">
        <v>0.32800000000000001</v>
      </c>
      <c r="R454" s="7">
        <v>3.5999999999999997E-2</v>
      </c>
      <c r="S454" s="7">
        <v>3.7029999999999998</v>
      </c>
      <c r="T454" s="7">
        <v>1.8819999999999999</v>
      </c>
      <c r="U454" s="7">
        <v>2.109</v>
      </c>
      <c r="V454" s="7">
        <v>0.157</v>
      </c>
      <c r="W454" s="7">
        <v>1.3819999999999999</v>
      </c>
      <c r="X454" s="7">
        <v>1.38</v>
      </c>
      <c r="Y454" s="7">
        <v>0.27500000000000002</v>
      </c>
      <c r="Z454" s="7">
        <v>0</v>
      </c>
      <c r="AA454" s="7">
        <v>6.085</v>
      </c>
      <c r="AB454" s="7">
        <v>0.36299999999999999</v>
      </c>
      <c r="AC454" s="7">
        <v>0.29399999999999998</v>
      </c>
      <c r="AD454" s="7">
        <v>7.4999999999999997E-2</v>
      </c>
      <c r="AE454" s="7">
        <v>6.12</v>
      </c>
      <c r="AF454" s="7">
        <v>7.5049999999999999</v>
      </c>
      <c r="AG454" s="7">
        <v>0</v>
      </c>
      <c r="AH454" s="7">
        <v>8.4930000000000003</v>
      </c>
      <c r="AI454" s="7">
        <v>0</v>
      </c>
      <c r="AJ454" s="7">
        <v>1.9650000000000001</v>
      </c>
      <c r="AK454" s="7">
        <v>1.2250000000000001</v>
      </c>
      <c r="AL454" s="7">
        <v>23.100999999999999</v>
      </c>
      <c r="AM454" s="7">
        <v>30.9</v>
      </c>
      <c r="AN454" s="7">
        <v>1.3380000000000001</v>
      </c>
      <c r="AO454" s="7">
        <v>11.252000000000001</v>
      </c>
      <c r="AP454" s="7">
        <v>4.1180000000000003</v>
      </c>
      <c r="AQ454" s="7">
        <v>7.7309999999999999</v>
      </c>
    </row>
    <row r="455" spans="1:43" x14ac:dyDescent="0.25">
      <c r="A455" t="s">
        <v>163</v>
      </c>
      <c r="B455" s="1" t="s">
        <v>11</v>
      </c>
      <c r="C455" t="s">
        <v>283</v>
      </c>
      <c r="D455" s="22" t="s">
        <v>286</v>
      </c>
      <c r="E455" s="21">
        <v>2018</v>
      </c>
      <c r="F455" s="7">
        <v>128.41126716087899</v>
      </c>
      <c r="G455" s="7">
        <v>5.0410000000000004</v>
      </c>
      <c r="H455" s="7">
        <v>1.1220000000000001</v>
      </c>
      <c r="I455" s="7">
        <v>0.88800000000000001</v>
      </c>
      <c r="J455" s="7">
        <v>0.63400000000000001</v>
      </c>
      <c r="K455" s="7">
        <v>1.218</v>
      </c>
      <c r="L455" s="7">
        <v>0</v>
      </c>
      <c r="M455" s="7">
        <v>1.097</v>
      </c>
      <c r="N455" s="7">
        <v>0.33600000000000002</v>
      </c>
      <c r="O455" s="7">
        <v>0</v>
      </c>
      <c r="P455" s="7">
        <v>3.016</v>
      </c>
      <c r="Q455" s="7">
        <v>0.42199999999999999</v>
      </c>
      <c r="R455" s="7">
        <v>3.5999999999999997E-2</v>
      </c>
      <c r="S455" s="7">
        <v>4.9160000000000004</v>
      </c>
      <c r="T455" s="7">
        <v>2.5779999999999998</v>
      </c>
      <c r="U455" s="7">
        <v>2.9630000000000001</v>
      </c>
      <c r="V455" s="7">
        <v>0.221</v>
      </c>
      <c r="W455" s="7">
        <v>1.718</v>
      </c>
      <c r="X455" s="7">
        <v>1.7989999999999999</v>
      </c>
      <c r="Y455" s="7">
        <v>0.16600000000000001</v>
      </c>
      <c r="Z455" s="7">
        <v>0</v>
      </c>
      <c r="AA455" s="7">
        <v>7.2140000000000004</v>
      </c>
      <c r="AB455" s="7">
        <v>0.44600000000000001</v>
      </c>
      <c r="AC455" s="7">
        <v>0.35099999999999998</v>
      </c>
      <c r="AD455" s="7">
        <v>0.10199999999999999</v>
      </c>
      <c r="AE455" s="7">
        <v>8.4309999999999992</v>
      </c>
      <c r="AF455" s="7">
        <v>10.814</v>
      </c>
      <c r="AG455" s="7">
        <v>0</v>
      </c>
      <c r="AH455" s="7">
        <v>11.407</v>
      </c>
      <c r="AI455" s="7">
        <v>0</v>
      </c>
      <c r="AJ455" s="7">
        <v>3.5110000000000001</v>
      </c>
      <c r="AK455" s="7">
        <v>1.1140000000000001</v>
      </c>
      <c r="AL455" s="7">
        <v>28.170999999999999</v>
      </c>
      <c r="AM455" s="7">
        <v>42.276000000000003</v>
      </c>
      <c r="AN455" s="7">
        <v>1.5009999999999999</v>
      </c>
      <c r="AO455" s="7">
        <v>14.819000000000001</v>
      </c>
      <c r="AP455" s="7">
        <v>4.4489999999999998</v>
      </c>
      <c r="AQ455" s="7">
        <v>8.9030000000000005</v>
      </c>
    </row>
    <row r="456" spans="1:43" x14ac:dyDescent="0.25">
      <c r="A456" t="s">
        <v>164</v>
      </c>
      <c r="B456" s="1" t="s">
        <v>12</v>
      </c>
      <c r="C456" t="s">
        <v>283</v>
      </c>
      <c r="D456" s="22" t="s">
        <v>283</v>
      </c>
      <c r="E456" s="21">
        <v>2018</v>
      </c>
      <c r="F456" s="7">
        <v>35.679418505221697</v>
      </c>
      <c r="G456" s="7">
        <v>1.4390000000000001</v>
      </c>
      <c r="H456" s="7">
        <v>0.52400000000000002</v>
      </c>
      <c r="I456" s="7">
        <v>0.58899999999999997</v>
      </c>
      <c r="J456" s="7">
        <v>0.12</v>
      </c>
      <c r="K456" s="7">
        <v>0.47699999999999998</v>
      </c>
      <c r="L456" s="7">
        <v>0</v>
      </c>
      <c r="M456" s="7">
        <v>0.35</v>
      </c>
      <c r="N456" s="7">
        <v>5.5E-2</v>
      </c>
      <c r="O456" s="7">
        <v>0</v>
      </c>
      <c r="P456" s="7">
        <v>0.875</v>
      </c>
      <c r="Q456" s="7">
        <v>0.105</v>
      </c>
      <c r="R456" s="7">
        <v>0</v>
      </c>
      <c r="S456" s="7">
        <v>1.202</v>
      </c>
      <c r="T456" s="7">
        <v>0.57699999999999996</v>
      </c>
      <c r="U456" s="7">
        <v>1.0369999999999999</v>
      </c>
      <c r="V456" s="7">
        <v>6.0999999999999999E-2</v>
      </c>
      <c r="W456" s="7">
        <v>0.55900000000000005</v>
      </c>
      <c r="X456" s="7">
        <v>0.54600000000000004</v>
      </c>
      <c r="Y456" s="7">
        <v>0</v>
      </c>
      <c r="Z456" s="7">
        <v>0</v>
      </c>
      <c r="AA456" s="7">
        <v>1.012</v>
      </c>
      <c r="AB456" s="7">
        <v>0.21</v>
      </c>
      <c r="AC456" s="7">
        <v>0.14299999999999999</v>
      </c>
      <c r="AD456" s="7">
        <v>0</v>
      </c>
      <c r="AE456" s="7">
        <v>1.87</v>
      </c>
      <c r="AF456" s="7">
        <v>4.3419999999999996</v>
      </c>
      <c r="AG456" s="7">
        <v>0</v>
      </c>
      <c r="AH456" s="7">
        <v>2.48</v>
      </c>
      <c r="AI456" s="7">
        <v>0</v>
      </c>
      <c r="AJ456" s="7">
        <v>1.2569999999999999</v>
      </c>
      <c r="AK456" s="7">
        <v>0.35199999999999998</v>
      </c>
      <c r="AL456" s="7">
        <v>8.516</v>
      </c>
      <c r="AM456" s="7">
        <v>11.314</v>
      </c>
      <c r="AN456" s="7">
        <v>1.329</v>
      </c>
      <c r="AO456" s="7">
        <v>4.0869999999999997</v>
      </c>
      <c r="AP456" s="7">
        <v>1.28</v>
      </c>
      <c r="AQ456" s="7">
        <v>3.149</v>
      </c>
    </row>
    <row r="457" spans="1:43" x14ac:dyDescent="0.25">
      <c r="A457" t="s">
        <v>165</v>
      </c>
      <c r="B457" s="1" t="s">
        <v>12</v>
      </c>
      <c r="C457" t="s">
        <v>283</v>
      </c>
      <c r="D457" s="22" t="s">
        <v>283</v>
      </c>
      <c r="E457" s="21">
        <v>2018</v>
      </c>
      <c r="F457" s="7">
        <v>38.183437895245902</v>
      </c>
      <c r="G457" s="7">
        <v>1.66</v>
      </c>
      <c r="H457" s="7">
        <v>1.1679999999999999</v>
      </c>
      <c r="I457" s="7">
        <v>0.58399999999999996</v>
      </c>
      <c r="J457" s="7">
        <v>0.106</v>
      </c>
      <c r="K457" s="7">
        <v>0.52100000000000002</v>
      </c>
      <c r="L457" s="7">
        <v>0</v>
      </c>
      <c r="M457" s="7">
        <v>0.42599999999999999</v>
      </c>
      <c r="N457" s="7">
        <v>5.1999999999999998E-2</v>
      </c>
      <c r="O457" s="7">
        <v>0</v>
      </c>
      <c r="P457" s="7">
        <v>0.93600000000000005</v>
      </c>
      <c r="Q457" s="7">
        <v>8.2000000000000003E-2</v>
      </c>
      <c r="R457" s="7">
        <v>0</v>
      </c>
      <c r="S457" s="7">
        <v>1.2230000000000001</v>
      </c>
      <c r="T457" s="7">
        <v>0.629</v>
      </c>
      <c r="U457" s="7">
        <v>1.216</v>
      </c>
      <c r="V457" s="7">
        <v>6.2E-2</v>
      </c>
      <c r="W457" s="7">
        <v>0.68899999999999995</v>
      </c>
      <c r="X457" s="7">
        <v>0.628</v>
      </c>
      <c r="Y457" s="7">
        <v>0</v>
      </c>
      <c r="Z457" s="7">
        <v>0</v>
      </c>
      <c r="AA457" s="7">
        <v>1.361</v>
      </c>
      <c r="AB457" s="7">
        <v>0.255</v>
      </c>
      <c r="AC457" s="7">
        <v>0.106</v>
      </c>
      <c r="AD457" s="7">
        <v>0</v>
      </c>
      <c r="AE457" s="7">
        <v>2.2650000000000001</v>
      </c>
      <c r="AF457" s="7">
        <v>4.6369999999999996</v>
      </c>
      <c r="AG457" s="7">
        <v>0</v>
      </c>
      <c r="AH457" s="7">
        <v>2.6389999999999998</v>
      </c>
      <c r="AI457" s="7">
        <v>0</v>
      </c>
      <c r="AJ457" s="7">
        <v>0</v>
      </c>
      <c r="AK457" s="7">
        <v>0.438</v>
      </c>
      <c r="AL457" s="7">
        <v>9.9819999999999993</v>
      </c>
      <c r="AM457" s="7">
        <v>11.263</v>
      </c>
      <c r="AN457" s="7">
        <v>1.1279999999999999</v>
      </c>
      <c r="AO457" s="7">
        <v>4.5289999999999999</v>
      </c>
      <c r="AP457" s="7">
        <v>1.4139999999999999</v>
      </c>
      <c r="AQ457" s="7">
        <v>4.0389999999999997</v>
      </c>
    </row>
    <row r="458" spans="1:43" x14ac:dyDescent="0.25">
      <c r="A458" t="s">
        <v>166</v>
      </c>
      <c r="B458" s="1" t="s">
        <v>12</v>
      </c>
      <c r="C458" t="s">
        <v>283</v>
      </c>
      <c r="D458" s="22" t="s">
        <v>283</v>
      </c>
      <c r="E458" s="21">
        <v>2018</v>
      </c>
      <c r="F458" s="7">
        <v>35.859595293009903</v>
      </c>
      <c r="G458" s="7">
        <v>1.4179999999999999</v>
      </c>
      <c r="H458" s="7">
        <v>0.44400000000000001</v>
      </c>
      <c r="I458" s="7">
        <v>0.58199999999999996</v>
      </c>
      <c r="J458" s="7">
        <v>0.129</v>
      </c>
      <c r="K458" s="7">
        <v>0.50800000000000001</v>
      </c>
      <c r="L458" s="7">
        <v>0</v>
      </c>
      <c r="M458" s="7">
        <v>0.434</v>
      </c>
      <c r="N458" s="7">
        <v>6.2E-2</v>
      </c>
      <c r="O458" s="7">
        <v>0</v>
      </c>
      <c r="P458" s="7">
        <v>0.78400000000000003</v>
      </c>
      <c r="Q458" s="7">
        <v>8.5000000000000006E-2</v>
      </c>
      <c r="R458" s="7">
        <v>0</v>
      </c>
      <c r="S458" s="7">
        <v>1.302</v>
      </c>
      <c r="T458" s="7">
        <v>0.83699999999999997</v>
      </c>
      <c r="U458" s="7">
        <v>1.1779999999999999</v>
      </c>
      <c r="V458" s="7">
        <v>0.06</v>
      </c>
      <c r="W458" s="7">
        <v>0.53900000000000003</v>
      </c>
      <c r="X458" s="7">
        <v>0.60599999999999998</v>
      </c>
      <c r="Y458" s="7">
        <v>0</v>
      </c>
      <c r="Z458" s="7">
        <v>0</v>
      </c>
      <c r="AA458" s="7">
        <v>0.89600000000000002</v>
      </c>
      <c r="AB458" s="7">
        <v>0.28199999999999997</v>
      </c>
      <c r="AC458" s="7">
        <v>0.114</v>
      </c>
      <c r="AD458" s="7">
        <v>0</v>
      </c>
      <c r="AE458" s="7">
        <v>2.1970000000000001</v>
      </c>
      <c r="AF458" s="7">
        <v>4.4020000000000001</v>
      </c>
      <c r="AG458" s="7">
        <v>0</v>
      </c>
      <c r="AH458" s="7">
        <v>2.863</v>
      </c>
      <c r="AI458" s="7">
        <v>0</v>
      </c>
      <c r="AJ458" s="7">
        <v>0</v>
      </c>
      <c r="AK458" s="7">
        <v>0.30399999999999999</v>
      </c>
      <c r="AL458" s="7">
        <v>8.968</v>
      </c>
      <c r="AM458" s="7">
        <v>10.754</v>
      </c>
      <c r="AN458" s="7">
        <v>1.1990000000000001</v>
      </c>
      <c r="AO458" s="7">
        <v>4.6070000000000002</v>
      </c>
      <c r="AP458" s="7">
        <v>1.28</v>
      </c>
      <c r="AQ458" s="7">
        <v>3.081</v>
      </c>
    </row>
    <row r="459" spans="1:43" x14ac:dyDescent="0.25">
      <c r="A459" t="s">
        <v>167</v>
      </c>
      <c r="B459" s="1" t="s">
        <v>12</v>
      </c>
      <c r="C459" t="s">
        <v>283</v>
      </c>
      <c r="D459" s="22" t="s">
        <v>283</v>
      </c>
      <c r="E459" s="21">
        <v>2018</v>
      </c>
      <c r="F459" s="7">
        <v>46.1105073397109</v>
      </c>
      <c r="G459" s="7">
        <v>1.544</v>
      </c>
      <c r="H459" s="7">
        <v>0.35599999999999998</v>
      </c>
      <c r="I459" s="7">
        <v>0.64100000000000001</v>
      </c>
      <c r="J459" s="7">
        <v>0.154</v>
      </c>
      <c r="K459" s="7">
        <v>0.503</v>
      </c>
      <c r="L459" s="7">
        <v>0</v>
      </c>
      <c r="M459" s="7">
        <v>0.441</v>
      </c>
      <c r="N459" s="7">
        <v>8.3000000000000004E-2</v>
      </c>
      <c r="O459" s="7">
        <v>0</v>
      </c>
      <c r="P459" s="7">
        <v>0.71099999999999997</v>
      </c>
      <c r="Q459" s="7">
        <v>0.108</v>
      </c>
      <c r="R459" s="7">
        <v>0</v>
      </c>
      <c r="S459" s="7">
        <v>1.44</v>
      </c>
      <c r="T459" s="7">
        <v>0.83199999999999996</v>
      </c>
      <c r="U459" s="7">
        <v>1.272</v>
      </c>
      <c r="V459" s="7">
        <v>7.0999999999999994E-2</v>
      </c>
      <c r="W459" s="7">
        <v>0.55700000000000005</v>
      </c>
      <c r="X459" s="7">
        <v>0.66900000000000004</v>
      </c>
      <c r="Y459" s="7">
        <v>3.4000000000000002E-2</v>
      </c>
      <c r="Z459" s="7">
        <v>0</v>
      </c>
      <c r="AA459" s="7">
        <v>1.258</v>
      </c>
      <c r="AB459" s="7">
        <v>0.221</v>
      </c>
      <c r="AC459" s="7">
        <v>0.109</v>
      </c>
      <c r="AD459" s="7">
        <v>4.7E-2</v>
      </c>
      <c r="AE459" s="7">
        <v>2.665</v>
      </c>
      <c r="AF459" s="7">
        <v>6.2839999999999998</v>
      </c>
      <c r="AG459" s="7">
        <v>0</v>
      </c>
      <c r="AH459" s="7">
        <v>4.2190000000000003</v>
      </c>
      <c r="AI459" s="7">
        <v>0</v>
      </c>
      <c r="AJ459" s="7">
        <v>0.98899999999999999</v>
      </c>
      <c r="AK459" s="7">
        <v>0.33600000000000002</v>
      </c>
      <c r="AL459" s="7">
        <v>9.4160000000000004</v>
      </c>
      <c r="AM459" s="7">
        <v>15.792</v>
      </c>
      <c r="AN459" s="7">
        <v>1.677</v>
      </c>
      <c r="AO459" s="7">
        <v>4.9829999999999997</v>
      </c>
      <c r="AP459" s="7">
        <v>1.2350000000000001</v>
      </c>
      <c r="AQ459" s="7">
        <v>3.198</v>
      </c>
    </row>
    <row r="460" spans="1:43" x14ac:dyDescent="0.25">
      <c r="A460" t="s">
        <v>168</v>
      </c>
      <c r="B460" s="1" t="s">
        <v>13</v>
      </c>
      <c r="C460" t="s">
        <v>298</v>
      </c>
      <c r="D460" s="22" t="s">
        <v>286</v>
      </c>
      <c r="E460" s="21">
        <v>2018</v>
      </c>
      <c r="F460" s="7">
        <v>109.731503797846</v>
      </c>
      <c r="G460" s="7">
        <v>5.1310000000000002</v>
      </c>
      <c r="H460" s="7">
        <v>1.3280000000000001</v>
      </c>
      <c r="I460" s="7">
        <v>1.08</v>
      </c>
      <c r="J460" s="7">
        <v>0.61599999999999999</v>
      </c>
      <c r="K460" s="7">
        <v>1.534</v>
      </c>
      <c r="L460" s="7">
        <v>0</v>
      </c>
      <c r="M460" s="7">
        <v>1.1539999999999999</v>
      </c>
      <c r="N460" s="7">
        <v>0.28000000000000003</v>
      </c>
      <c r="O460" s="7">
        <v>0</v>
      </c>
      <c r="P460" s="7">
        <v>2.9359999999999999</v>
      </c>
      <c r="Q460" s="7">
        <v>0.373</v>
      </c>
      <c r="R460" s="7">
        <v>4.2999999999999997E-2</v>
      </c>
      <c r="S460" s="7">
        <v>4.3360000000000003</v>
      </c>
      <c r="T460" s="7">
        <v>2.399</v>
      </c>
      <c r="U460" s="7">
        <v>3.1539999999999999</v>
      </c>
      <c r="V460" s="7">
        <v>0.17799999999999999</v>
      </c>
      <c r="W460" s="7">
        <v>1.732</v>
      </c>
      <c r="X460" s="7">
        <v>1.7889999999999999</v>
      </c>
      <c r="Y460" s="7">
        <v>0.19800000000000001</v>
      </c>
      <c r="Z460" s="7">
        <v>0</v>
      </c>
      <c r="AA460" s="7">
        <v>5.9930000000000003</v>
      </c>
      <c r="AB460" s="7">
        <v>0.35199999999999998</v>
      </c>
      <c r="AC460" s="7">
        <v>0.33600000000000002</v>
      </c>
      <c r="AD460" s="7">
        <v>0.108</v>
      </c>
      <c r="AE460" s="7">
        <v>4.8849999999999998</v>
      </c>
      <c r="AF460" s="7">
        <v>9.1709999999999994</v>
      </c>
      <c r="AG460" s="7">
        <v>0</v>
      </c>
      <c r="AH460" s="7">
        <v>8.5239999999999991</v>
      </c>
      <c r="AI460" s="7">
        <v>0</v>
      </c>
      <c r="AJ460" s="7">
        <v>2.754</v>
      </c>
      <c r="AK460" s="7">
        <v>1.012</v>
      </c>
      <c r="AL460" s="7">
        <v>28.260999999999999</v>
      </c>
      <c r="AM460" s="7">
        <v>32.122999999999998</v>
      </c>
      <c r="AN460" s="7">
        <v>1.137</v>
      </c>
      <c r="AO460" s="7">
        <v>14.202</v>
      </c>
      <c r="AP460" s="7">
        <v>4.37</v>
      </c>
      <c r="AQ460" s="7">
        <v>9.6890000000000001</v>
      </c>
    </row>
    <row r="461" spans="1:43" x14ac:dyDescent="0.25">
      <c r="A461" t="s">
        <v>169</v>
      </c>
      <c r="B461" s="1" t="s">
        <v>13</v>
      </c>
      <c r="C461" t="s">
        <v>298</v>
      </c>
      <c r="D461" s="22" t="s">
        <v>286</v>
      </c>
      <c r="E461" s="21">
        <v>2018</v>
      </c>
      <c r="F461" s="7">
        <v>103.792952359707</v>
      </c>
      <c r="G461" s="7">
        <v>5.1079999999999997</v>
      </c>
      <c r="H461" s="7">
        <v>1.1970000000000001</v>
      </c>
      <c r="I461" s="7">
        <v>1.02</v>
      </c>
      <c r="J461" s="7">
        <v>0.58299999999999996</v>
      </c>
      <c r="K461" s="7">
        <v>1.7310000000000001</v>
      </c>
      <c r="L461" s="7">
        <v>0</v>
      </c>
      <c r="M461" s="7">
        <v>1.246</v>
      </c>
      <c r="N461" s="7">
        <v>0.19700000000000001</v>
      </c>
      <c r="O461" s="7">
        <v>0</v>
      </c>
      <c r="P461" s="7">
        <v>3.6320000000000001</v>
      </c>
      <c r="Q461" s="7">
        <v>0.41599999999999998</v>
      </c>
      <c r="R461" s="7">
        <v>0</v>
      </c>
      <c r="S461" s="7">
        <v>4.5309999999999997</v>
      </c>
      <c r="T461" s="7">
        <v>2.484</v>
      </c>
      <c r="U461" s="7">
        <v>3.0590000000000002</v>
      </c>
      <c r="V461" s="7">
        <v>0.19700000000000001</v>
      </c>
      <c r="W461" s="7">
        <v>1.784</v>
      </c>
      <c r="X461" s="7">
        <v>1.8109999999999999</v>
      </c>
      <c r="Y461" s="7">
        <v>0.47699999999999998</v>
      </c>
      <c r="Z461" s="7">
        <v>0</v>
      </c>
      <c r="AA461" s="7">
        <v>4.3220000000000001</v>
      </c>
      <c r="AB461" s="7">
        <v>0.26500000000000001</v>
      </c>
      <c r="AC461" s="7">
        <v>0.371</v>
      </c>
      <c r="AD461" s="7">
        <v>0</v>
      </c>
      <c r="AE461" s="7">
        <v>5.2039999999999997</v>
      </c>
      <c r="AF461" s="7">
        <v>8.6839999999999993</v>
      </c>
      <c r="AG461" s="7">
        <v>0</v>
      </c>
      <c r="AH461" s="7">
        <v>7.84</v>
      </c>
      <c r="AI461" s="7">
        <v>0</v>
      </c>
      <c r="AJ461" s="7">
        <v>2.9950000000000001</v>
      </c>
      <c r="AK461" s="7">
        <v>0.82399999999999995</v>
      </c>
      <c r="AL461" s="7">
        <v>29.472999999999999</v>
      </c>
      <c r="AM461" s="7">
        <v>29.681000000000001</v>
      </c>
      <c r="AN461" s="7">
        <v>1.0069999999999999</v>
      </c>
      <c r="AO461" s="7">
        <v>14.759</v>
      </c>
      <c r="AP461" s="7">
        <v>5.0750000000000002</v>
      </c>
      <c r="AQ461" s="7">
        <v>9.6389999999999993</v>
      </c>
    </row>
    <row r="462" spans="1:43" x14ac:dyDescent="0.25">
      <c r="A462" t="s">
        <v>170</v>
      </c>
      <c r="B462" s="1" t="s">
        <v>13</v>
      </c>
      <c r="C462" t="s">
        <v>298</v>
      </c>
      <c r="D462" s="22" t="s">
        <v>286</v>
      </c>
      <c r="E462" s="21">
        <v>2018</v>
      </c>
      <c r="F462" s="7">
        <v>99.092643984569605</v>
      </c>
      <c r="G462" s="7">
        <v>5.0940000000000003</v>
      </c>
      <c r="H462" s="7">
        <v>1.306</v>
      </c>
      <c r="I462" s="7">
        <v>0.91600000000000004</v>
      </c>
      <c r="J462" s="7">
        <v>0.51</v>
      </c>
      <c r="K462" s="7">
        <v>1.4930000000000001</v>
      </c>
      <c r="L462" s="7">
        <v>0</v>
      </c>
      <c r="M462" s="7">
        <v>1.0389999999999999</v>
      </c>
      <c r="N462" s="7">
        <v>0.221</v>
      </c>
      <c r="O462" s="7">
        <v>0</v>
      </c>
      <c r="P462" s="7">
        <v>3.2429999999999999</v>
      </c>
      <c r="Q462" s="7">
        <v>0.37</v>
      </c>
      <c r="R462" s="7">
        <v>0</v>
      </c>
      <c r="S462" s="7">
        <v>4.4640000000000004</v>
      </c>
      <c r="T462" s="7">
        <v>2.3730000000000002</v>
      </c>
      <c r="U462" s="7">
        <v>2.9089999999999998</v>
      </c>
      <c r="V462" s="7">
        <v>0.16700000000000001</v>
      </c>
      <c r="W462" s="7">
        <v>1.7130000000000001</v>
      </c>
      <c r="X462" s="7">
        <v>1.79</v>
      </c>
      <c r="Y462" s="7">
        <v>0.29099999999999998</v>
      </c>
      <c r="Z462" s="7">
        <v>0</v>
      </c>
      <c r="AA462" s="7">
        <v>4.6719999999999997</v>
      </c>
      <c r="AB462" s="7">
        <v>0.32400000000000001</v>
      </c>
      <c r="AC462" s="7">
        <v>0.29699999999999999</v>
      </c>
      <c r="AD462" s="7">
        <v>0</v>
      </c>
      <c r="AE462" s="7">
        <v>5.141</v>
      </c>
      <c r="AF462" s="7">
        <v>8.6809999999999992</v>
      </c>
      <c r="AG462" s="7">
        <v>0</v>
      </c>
      <c r="AH462" s="7">
        <v>6.7510000000000003</v>
      </c>
      <c r="AI462" s="7">
        <v>0</v>
      </c>
      <c r="AJ462" s="7">
        <v>2.202</v>
      </c>
      <c r="AK462" s="7">
        <v>0.67100000000000004</v>
      </c>
      <c r="AL462" s="7">
        <v>27.899000000000001</v>
      </c>
      <c r="AM462" s="7">
        <v>28.068000000000001</v>
      </c>
      <c r="AN462" s="7">
        <v>1.006</v>
      </c>
      <c r="AO462" s="7">
        <v>14.077</v>
      </c>
      <c r="AP462" s="7">
        <v>4.5030000000000001</v>
      </c>
      <c r="AQ462" s="7">
        <v>9.3190000000000008</v>
      </c>
    </row>
    <row r="463" spans="1:43" x14ac:dyDescent="0.25">
      <c r="A463" t="s">
        <v>171</v>
      </c>
      <c r="B463" s="1" t="s">
        <v>13</v>
      </c>
      <c r="C463" t="s">
        <v>298</v>
      </c>
      <c r="D463" s="22" t="s">
        <v>286</v>
      </c>
      <c r="E463" s="21">
        <v>2018</v>
      </c>
      <c r="F463" s="7">
        <v>98.976919080326098</v>
      </c>
      <c r="G463" s="7">
        <v>4.726</v>
      </c>
      <c r="H463" s="7">
        <v>1.2290000000000001</v>
      </c>
      <c r="I463" s="7">
        <v>1.1040000000000001</v>
      </c>
      <c r="J463" s="7">
        <v>0.50800000000000001</v>
      </c>
      <c r="K463" s="7">
        <v>1.409</v>
      </c>
      <c r="L463" s="7">
        <v>0</v>
      </c>
      <c r="M463" s="7">
        <v>1.0589999999999999</v>
      </c>
      <c r="N463" s="7">
        <v>0.184</v>
      </c>
      <c r="O463" s="7">
        <v>0</v>
      </c>
      <c r="P463" s="7">
        <v>3.0230000000000001</v>
      </c>
      <c r="Q463" s="7">
        <v>0.39600000000000002</v>
      </c>
      <c r="R463" s="7">
        <v>0</v>
      </c>
      <c r="S463" s="7">
        <v>4.5629999999999997</v>
      </c>
      <c r="T463" s="7">
        <v>2.4039999999999999</v>
      </c>
      <c r="U463" s="7">
        <v>3.1030000000000002</v>
      </c>
      <c r="V463" s="7">
        <v>0.16800000000000001</v>
      </c>
      <c r="W463" s="7">
        <v>1.7130000000000001</v>
      </c>
      <c r="X463" s="7">
        <v>1.804</v>
      </c>
      <c r="Y463" s="7">
        <v>0.16</v>
      </c>
      <c r="Z463" s="7">
        <v>0</v>
      </c>
      <c r="AA463" s="7">
        <v>3.306</v>
      </c>
      <c r="AB463" s="7">
        <v>0.29799999999999999</v>
      </c>
      <c r="AC463" s="7">
        <v>0.36899999999999999</v>
      </c>
      <c r="AD463" s="7">
        <v>0</v>
      </c>
      <c r="AE463" s="7">
        <v>5.1180000000000003</v>
      </c>
      <c r="AF463" s="7">
        <v>8.9169999999999998</v>
      </c>
      <c r="AG463" s="7">
        <v>0</v>
      </c>
      <c r="AH463" s="7">
        <v>6.0460000000000003</v>
      </c>
      <c r="AI463" s="7">
        <v>0</v>
      </c>
      <c r="AJ463" s="7">
        <v>2.8450000000000002</v>
      </c>
      <c r="AK463" s="7">
        <v>0.73899999999999999</v>
      </c>
      <c r="AL463" s="7">
        <v>27.553000000000001</v>
      </c>
      <c r="AM463" s="7">
        <v>26.899000000000001</v>
      </c>
      <c r="AN463" s="7">
        <v>0.97599999999999998</v>
      </c>
      <c r="AO463" s="7">
        <v>14.311</v>
      </c>
      <c r="AP463" s="7">
        <v>4.266</v>
      </c>
      <c r="AQ463" s="7">
        <v>8.9760000000000009</v>
      </c>
    </row>
  </sheetData>
  <phoneticPr fontId="10" type="noConversion"/>
  <pageMargins left="0.75" right="0.75" top="1" bottom="1" header="0.5" footer="0.5"/>
  <pageSetup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247"/>
  <sheetViews>
    <sheetView workbookViewId="0">
      <pane xSplit="2" ySplit="1" topLeftCell="C132" activePane="bottomRight" state="frozen"/>
      <selection pane="topRight" activeCell="C1" sqref="C1"/>
      <selection pane="bottomLeft" activeCell="A2" sqref="A2"/>
      <selection pane="bottomRight" activeCell="B151" sqref="B151"/>
    </sheetView>
  </sheetViews>
  <sheetFormatPr defaultColWidth="11" defaultRowHeight="15.75" x14ac:dyDescent="0.25"/>
  <cols>
    <col min="8" max="8" width="13.625" bestFit="1" customWidth="1"/>
  </cols>
  <sheetData>
    <row r="1" spans="1:15" x14ac:dyDescent="0.25">
      <c r="A1" t="s">
        <v>4</v>
      </c>
      <c r="B1" t="s">
        <v>56</v>
      </c>
      <c r="C1" t="s">
        <v>453</v>
      </c>
      <c r="D1" t="s">
        <v>454</v>
      </c>
      <c r="E1" t="s">
        <v>103</v>
      </c>
      <c r="F1" t="s">
        <v>31</v>
      </c>
      <c r="G1" t="s">
        <v>32</v>
      </c>
      <c r="H1" t="s">
        <v>33</v>
      </c>
      <c r="I1" t="s">
        <v>34</v>
      </c>
      <c r="J1" t="s">
        <v>60</v>
      </c>
      <c r="K1" t="s">
        <v>70</v>
      </c>
      <c r="L1" t="s">
        <v>77</v>
      </c>
      <c r="M1" t="s">
        <v>79</v>
      </c>
      <c r="N1" t="s">
        <v>78</v>
      </c>
      <c r="O1" t="s">
        <v>336</v>
      </c>
    </row>
    <row r="2" spans="1:15" x14ac:dyDescent="0.25">
      <c r="A2" t="s">
        <v>11</v>
      </c>
      <c r="B2" t="s">
        <v>57</v>
      </c>
      <c r="E2">
        <v>2017</v>
      </c>
      <c r="F2" t="s">
        <v>23</v>
      </c>
      <c r="G2" t="s">
        <v>24</v>
      </c>
      <c r="H2" t="s">
        <v>25</v>
      </c>
      <c r="I2" t="s">
        <v>26</v>
      </c>
      <c r="J2">
        <v>1</v>
      </c>
      <c r="L2">
        <v>79.28</v>
      </c>
      <c r="M2">
        <v>13.12</v>
      </c>
      <c r="N2">
        <v>7.6</v>
      </c>
      <c r="O2" t="s">
        <v>279</v>
      </c>
    </row>
    <row r="3" spans="1:15" x14ac:dyDescent="0.25">
      <c r="A3" t="s">
        <v>12</v>
      </c>
      <c r="B3" t="s">
        <v>57</v>
      </c>
      <c r="E3">
        <v>2017</v>
      </c>
      <c r="F3" s="2" t="s">
        <v>23</v>
      </c>
      <c r="G3" s="2" t="s">
        <v>24</v>
      </c>
      <c r="H3" s="2" t="s">
        <v>25</v>
      </c>
      <c r="I3" s="2" t="s">
        <v>26</v>
      </c>
      <c r="J3">
        <v>1</v>
      </c>
      <c r="L3">
        <v>79.28</v>
      </c>
      <c r="M3">
        <v>13.12</v>
      </c>
      <c r="N3">
        <v>7.6</v>
      </c>
      <c r="O3" t="s">
        <v>279</v>
      </c>
    </row>
    <row r="4" spans="1:15" x14ac:dyDescent="0.25">
      <c r="A4" t="s">
        <v>13</v>
      </c>
      <c r="B4" t="s">
        <v>57</v>
      </c>
      <c r="E4">
        <v>2017</v>
      </c>
      <c r="F4" s="2" t="s">
        <v>23</v>
      </c>
      <c r="G4" s="2" t="s">
        <v>24</v>
      </c>
      <c r="H4" s="2" t="s">
        <v>25</v>
      </c>
      <c r="I4" s="2" t="s">
        <v>26</v>
      </c>
      <c r="J4">
        <v>1</v>
      </c>
      <c r="L4">
        <v>79.28</v>
      </c>
      <c r="M4">
        <v>13.12</v>
      </c>
      <c r="N4">
        <v>7.6</v>
      </c>
      <c r="O4" t="s">
        <v>279</v>
      </c>
    </row>
    <row r="5" spans="1:15" x14ac:dyDescent="0.25">
      <c r="A5" t="s">
        <v>14</v>
      </c>
      <c r="B5" t="s">
        <v>57</v>
      </c>
      <c r="E5">
        <v>2017</v>
      </c>
      <c r="F5" s="2" t="s">
        <v>23</v>
      </c>
      <c r="G5" s="2" t="s">
        <v>24</v>
      </c>
      <c r="H5" s="2" t="s">
        <v>25</v>
      </c>
      <c r="I5" s="2" t="s">
        <v>26</v>
      </c>
      <c r="J5">
        <v>1</v>
      </c>
      <c r="L5">
        <v>79.28</v>
      </c>
      <c r="M5">
        <v>13.12</v>
      </c>
      <c r="N5">
        <v>7.6</v>
      </c>
      <c r="O5" t="s">
        <v>279</v>
      </c>
    </row>
    <row r="6" spans="1:15" x14ac:dyDescent="0.25">
      <c r="A6" t="s">
        <v>15</v>
      </c>
      <c r="B6" t="s">
        <v>57</v>
      </c>
      <c r="E6">
        <v>2017</v>
      </c>
      <c r="F6" t="s">
        <v>27</v>
      </c>
      <c r="G6" t="s">
        <v>24</v>
      </c>
      <c r="H6" s="2" t="s">
        <v>25</v>
      </c>
      <c r="I6" t="s">
        <v>28</v>
      </c>
      <c r="J6">
        <v>2</v>
      </c>
      <c r="L6">
        <v>78.84</v>
      </c>
      <c r="M6">
        <v>11.64</v>
      </c>
      <c r="N6">
        <v>9.52</v>
      </c>
      <c r="O6" t="s">
        <v>279</v>
      </c>
    </row>
    <row r="7" spans="1:15" x14ac:dyDescent="0.25">
      <c r="A7" t="s">
        <v>16</v>
      </c>
      <c r="B7" t="s">
        <v>57</v>
      </c>
      <c r="E7">
        <v>2017</v>
      </c>
      <c r="F7" s="2" t="s">
        <v>27</v>
      </c>
      <c r="G7" s="2" t="s">
        <v>24</v>
      </c>
      <c r="H7" s="2" t="s">
        <v>25</v>
      </c>
      <c r="I7" s="2" t="s">
        <v>28</v>
      </c>
      <c r="J7">
        <v>2</v>
      </c>
      <c r="L7">
        <v>78.84</v>
      </c>
      <c r="M7">
        <v>11.64</v>
      </c>
      <c r="N7">
        <v>9.52</v>
      </c>
      <c r="O7" t="s">
        <v>279</v>
      </c>
    </row>
    <row r="8" spans="1:15" x14ac:dyDescent="0.25">
      <c r="A8" t="s">
        <v>17</v>
      </c>
      <c r="B8" t="s">
        <v>57</v>
      </c>
      <c r="E8">
        <v>2017</v>
      </c>
      <c r="F8" s="2" t="s">
        <v>27</v>
      </c>
      <c r="G8" s="2" t="s">
        <v>24</v>
      </c>
      <c r="H8" s="2" t="s">
        <v>25</v>
      </c>
      <c r="I8" s="2" t="s">
        <v>28</v>
      </c>
      <c r="J8">
        <v>2</v>
      </c>
      <c r="L8">
        <v>78.84</v>
      </c>
      <c r="M8">
        <v>11.64</v>
      </c>
      <c r="N8">
        <v>9.52</v>
      </c>
      <c r="O8" t="s">
        <v>279</v>
      </c>
    </row>
    <row r="9" spans="1:15" x14ac:dyDescent="0.25">
      <c r="A9" t="s">
        <v>18</v>
      </c>
      <c r="B9" t="s">
        <v>57</v>
      </c>
      <c r="E9">
        <v>2017</v>
      </c>
      <c r="F9" s="2" t="s">
        <v>27</v>
      </c>
      <c r="G9" s="2" t="s">
        <v>24</v>
      </c>
      <c r="H9" s="2" t="s">
        <v>25</v>
      </c>
      <c r="I9" s="2" t="s">
        <v>28</v>
      </c>
      <c r="J9">
        <v>2</v>
      </c>
      <c r="L9">
        <v>78.84</v>
      </c>
      <c r="M9">
        <v>11.64</v>
      </c>
      <c r="N9">
        <v>9.52</v>
      </c>
      <c r="O9" t="s">
        <v>279</v>
      </c>
    </row>
    <row r="10" spans="1:15" x14ac:dyDescent="0.25">
      <c r="A10" t="s">
        <v>19</v>
      </c>
      <c r="B10" t="s">
        <v>57</v>
      </c>
      <c r="E10">
        <v>2017</v>
      </c>
      <c r="F10" t="s">
        <v>23</v>
      </c>
      <c r="G10" t="s">
        <v>29</v>
      </c>
      <c r="H10" s="2" t="s">
        <v>30</v>
      </c>
      <c r="I10" t="s">
        <v>26</v>
      </c>
      <c r="J10">
        <v>3</v>
      </c>
      <c r="L10">
        <v>78.36</v>
      </c>
      <c r="M10">
        <v>13.76</v>
      </c>
      <c r="N10">
        <v>7.88</v>
      </c>
      <c r="O10" t="s">
        <v>279</v>
      </c>
    </row>
    <row r="11" spans="1:15" x14ac:dyDescent="0.25">
      <c r="A11" t="s">
        <v>20</v>
      </c>
      <c r="B11" t="s">
        <v>57</v>
      </c>
      <c r="E11">
        <v>2017</v>
      </c>
      <c r="F11" t="s">
        <v>23</v>
      </c>
      <c r="G11" t="s">
        <v>29</v>
      </c>
      <c r="H11" s="2" t="s">
        <v>30</v>
      </c>
      <c r="I11" t="s">
        <v>26</v>
      </c>
      <c r="J11">
        <v>3</v>
      </c>
      <c r="L11">
        <v>78.36</v>
      </c>
      <c r="M11">
        <v>13.76</v>
      </c>
      <c r="N11">
        <v>7.88</v>
      </c>
      <c r="O11" t="s">
        <v>279</v>
      </c>
    </row>
    <row r="12" spans="1:15" x14ac:dyDescent="0.25">
      <c r="A12" t="s">
        <v>21</v>
      </c>
      <c r="B12" t="s">
        <v>57</v>
      </c>
      <c r="E12">
        <v>2017</v>
      </c>
      <c r="F12" t="s">
        <v>23</v>
      </c>
      <c r="G12" t="s">
        <v>29</v>
      </c>
      <c r="H12" s="2" t="s">
        <v>30</v>
      </c>
      <c r="I12" t="s">
        <v>26</v>
      </c>
      <c r="J12">
        <v>3</v>
      </c>
      <c r="L12">
        <v>78.36</v>
      </c>
      <c r="M12">
        <v>13.76</v>
      </c>
      <c r="N12">
        <v>7.88</v>
      </c>
      <c r="O12" t="s">
        <v>279</v>
      </c>
    </row>
    <row r="13" spans="1:15" x14ac:dyDescent="0.25">
      <c r="A13" t="s">
        <v>22</v>
      </c>
      <c r="B13" t="s">
        <v>57</v>
      </c>
      <c r="E13">
        <v>2017</v>
      </c>
      <c r="F13" t="s">
        <v>23</v>
      </c>
      <c r="G13" t="s">
        <v>29</v>
      </c>
      <c r="H13" s="2" t="s">
        <v>30</v>
      </c>
      <c r="I13" t="s">
        <v>26</v>
      </c>
      <c r="J13">
        <v>3</v>
      </c>
      <c r="L13">
        <v>78.36</v>
      </c>
      <c r="M13">
        <v>13.76</v>
      </c>
      <c r="N13">
        <v>7.88</v>
      </c>
      <c r="O13" t="s">
        <v>279</v>
      </c>
    </row>
    <row r="14" spans="1:15" x14ac:dyDescent="0.25">
      <c r="A14" t="s">
        <v>0</v>
      </c>
      <c r="B14" t="s">
        <v>58</v>
      </c>
      <c r="E14">
        <v>2017</v>
      </c>
      <c r="F14" t="s">
        <v>27</v>
      </c>
      <c r="G14" t="s">
        <v>24</v>
      </c>
      <c r="I14" t="s">
        <v>26</v>
      </c>
      <c r="J14">
        <v>1</v>
      </c>
      <c r="L14">
        <v>67.72</v>
      </c>
      <c r="M14">
        <v>17.48</v>
      </c>
      <c r="N14">
        <v>13.8</v>
      </c>
      <c r="O14" t="s">
        <v>279</v>
      </c>
    </row>
    <row r="15" spans="1:15" x14ac:dyDescent="0.25">
      <c r="A15" t="s">
        <v>1</v>
      </c>
      <c r="B15" t="s">
        <v>58</v>
      </c>
      <c r="E15">
        <v>2017</v>
      </c>
      <c r="F15" t="s">
        <v>27</v>
      </c>
      <c r="G15" t="s">
        <v>24</v>
      </c>
      <c r="I15" t="s">
        <v>26</v>
      </c>
      <c r="J15">
        <v>1</v>
      </c>
      <c r="L15">
        <v>67.72</v>
      </c>
      <c r="M15">
        <v>17.48</v>
      </c>
      <c r="N15">
        <v>13.8</v>
      </c>
      <c r="O15" t="s">
        <v>279</v>
      </c>
    </row>
    <row r="16" spans="1:15" x14ac:dyDescent="0.25">
      <c r="A16" t="s">
        <v>2</v>
      </c>
      <c r="B16" t="s">
        <v>58</v>
      </c>
      <c r="E16">
        <v>2017</v>
      </c>
      <c r="F16" t="s">
        <v>27</v>
      </c>
      <c r="G16" t="s">
        <v>24</v>
      </c>
      <c r="I16" t="s">
        <v>26</v>
      </c>
      <c r="J16">
        <v>1</v>
      </c>
      <c r="L16">
        <v>67.72</v>
      </c>
      <c r="M16">
        <v>17.48</v>
      </c>
      <c r="N16">
        <v>13.8</v>
      </c>
      <c r="O16" t="s">
        <v>279</v>
      </c>
    </row>
    <row r="17" spans="1:15" x14ac:dyDescent="0.25">
      <c r="A17" t="s">
        <v>3</v>
      </c>
      <c r="B17" t="s">
        <v>58</v>
      </c>
      <c r="E17">
        <v>2017</v>
      </c>
      <c r="F17" t="s">
        <v>27</v>
      </c>
      <c r="G17" t="s">
        <v>24</v>
      </c>
      <c r="I17" t="s">
        <v>26</v>
      </c>
      <c r="J17">
        <v>1</v>
      </c>
      <c r="L17">
        <v>67.72</v>
      </c>
      <c r="M17">
        <v>17.48</v>
      </c>
      <c r="N17">
        <v>13.8</v>
      </c>
      <c r="O17" t="s">
        <v>279</v>
      </c>
    </row>
    <row r="18" spans="1:15" x14ac:dyDescent="0.25">
      <c r="A18" t="s">
        <v>7</v>
      </c>
      <c r="B18" t="s">
        <v>59</v>
      </c>
      <c r="E18">
        <v>2017</v>
      </c>
      <c r="F18" t="s">
        <v>23</v>
      </c>
      <c r="G18" t="s">
        <v>24</v>
      </c>
      <c r="H18" t="s">
        <v>71</v>
      </c>
      <c r="I18" t="s">
        <v>26</v>
      </c>
      <c r="J18">
        <v>1</v>
      </c>
      <c r="K18" s="1">
        <v>42861</v>
      </c>
      <c r="O18" t="s">
        <v>275</v>
      </c>
    </row>
    <row r="19" spans="1:15" x14ac:dyDescent="0.25">
      <c r="A19" t="s">
        <v>8</v>
      </c>
      <c r="B19" t="s">
        <v>59</v>
      </c>
      <c r="E19">
        <v>2017</v>
      </c>
      <c r="F19" t="s">
        <v>23</v>
      </c>
      <c r="G19" t="s">
        <v>24</v>
      </c>
      <c r="H19" t="s">
        <v>71</v>
      </c>
      <c r="I19" t="s">
        <v>26</v>
      </c>
      <c r="J19">
        <v>1</v>
      </c>
      <c r="K19" s="1">
        <v>42861</v>
      </c>
      <c r="O19" t="s">
        <v>275</v>
      </c>
    </row>
    <row r="20" spans="1:15" x14ac:dyDescent="0.25">
      <c r="A20" t="s">
        <v>9</v>
      </c>
      <c r="B20" t="s">
        <v>59</v>
      </c>
      <c r="E20">
        <v>2017</v>
      </c>
      <c r="F20" t="s">
        <v>23</v>
      </c>
      <c r="G20" t="s">
        <v>24</v>
      </c>
      <c r="H20" t="s">
        <v>71</v>
      </c>
      <c r="I20" t="s">
        <v>26</v>
      </c>
      <c r="J20">
        <v>1</v>
      </c>
      <c r="K20" s="1">
        <v>42861</v>
      </c>
      <c r="O20" t="s">
        <v>275</v>
      </c>
    </row>
    <row r="21" spans="1:15" x14ac:dyDescent="0.25">
      <c r="A21" t="s">
        <v>10</v>
      </c>
      <c r="B21" t="s">
        <v>59</v>
      </c>
      <c r="E21">
        <v>2017</v>
      </c>
      <c r="F21" t="s">
        <v>23</v>
      </c>
      <c r="G21" t="s">
        <v>24</v>
      </c>
      <c r="H21" t="s">
        <v>71</v>
      </c>
      <c r="I21" t="s">
        <v>26</v>
      </c>
      <c r="J21">
        <v>1</v>
      </c>
      <c r="K21" s="1">
        <v>42861</v>
      </c>
      <c r="O21" t="s">
        <v>275</v>
      </c>
    </row>
    <row r="22" spans="1:15" x14ac:dyDescent="0.25">
      <c r="A22" t="s">
        <v>106</v>
      </c>
      <c r="B22" t="s">
        <v>116</v>
      </c>
      <c r="E22">
        <v>2017</v>
      </c>
      <c r="F22" t="s">
        <v>23</v>
      </c>
      <c r="G22" t="s">
        <v>24</v>
      </c>
      <c r="H22" t="s">
        <v>117</v>
      </c>
      <c r="I22" t="s">
        <v>26</v>
      </c>
      <c r="J22">
        <v>1</v>
      </c>
      <c r="L22">
        <v>54</v>
      </c>
      <c r="M22">
        <v>24.4</v>
      </c>
      <c r="N22">
        <v>21.6</v>
      </c>
      <c r="O22" t="s">
        <v>276</v>
      </c>
    </row>
    <row r="23" spans="1:15" x14ac:dyDescent="0.25">
      <c r="A23" t="s">
        <v>107</v>
      </c>
      <c r="B23" t="s">
        <v>116</v>
      </c>
      <c r="E23">
        <v>2017</v>
      </c>
      <c r="F23" t="s">
        <v>23</v>
      </c>
      <c r="G23" t="s">
        <v>24</v>
      </c>
      <c r="H23" t="s">
        <v>117</v>
      </c>
      <c r="I23" t="s">
        <v>26</v>
      </c>
      <c r="J23">
        <v>1</v>
      </c>
      <c r="L23">
        <v>54</v>
      </c>
      <c r="M23">
        <v>24.4</v>
      </c>
      <c r="N23">
        <v>21.6</v>
      </c>
      <c r="O23" t="s">
        <v>276</v>
      </c>
    </row>
    <row r="24" spans="1:15" x14ac:dyDescent="0.25">
      <c r="A24" t="s">
        <v>108</v>
      </c>
      <c r="B24" t="s">
        <v>116</v>
      </c>
      <c r="E24">
        <v>2017</v>
      </c>
      <c r="F24" t="s">
        <v>23</v>
      </c>
      <c r="G24" t="s">
        <v>24</v>
      </c>
      <c r="H24" t="s">
        <v>117</v>
      </c>
      <c r="I24" t="s">
        <v>26</v>
      </c>
      <c r="J24">
        <v>1</v>
      </c>
      <c r="L24">
        <v>54</v>
      </c>
      <c r="M24">
        <v>24.4</v>
      </c>
      <c r="N24">
        <v>21.6</v>
      </c>
      <c r="O24" t="s">
        <v>276</v>
      </c>
    </row>
    <row r="25" spans="1:15" x14ac:dyDescent="0.25">
      <c r="A25" t="s">
        <v>109</v>
      </c>
      <c r="B25" t="s">
        <v>116</v>
      </c>
      <c r="E25">
        <v>2017</v>
      </c>
      <c r="F25" t="s">
        <v>23</v>
      </c>
      <c r="G25" t="s">
        <v>24</v>
      </c>
      <c r="H25" t="s">
        <v>117</v>
      </c>
      <c r="I25" t="s">
        <v>26</v>
      </c>
      <c r="J25">
        <v>1</v>
      </c>
      <c r="L25">
        <v>54</v>
      </c>
      <c r="M25">
        <v>24.4</v>
      </c>
      <c r="N25">
        <v>21.6</v>
      </c>
      <c r="O25" t="s">
        <v>276</v>
      </c>
    </row>
    <row r="26" spans="1:15" x14ac:dyDescent="0.25">
      <c r="A26" t="s">
        <v>110</v>
      </c>
      <c r="B26" t="s">
        <v>116</v>
      </c>
      <c r="E26">
        <v>2017</v>
      </c>
      <c r="F26" t="s">
        <v>27</v>
      </c>
      <c r="G26" t="s">
        <v>24</v>
      </c>
      <c r="H26" t="s">
        <v>117</v>
      </c>
      <c r="I26" t="s">
        <v>26</v>
      </c>
      <c r="J26">
        <v>1</v>
      </c>
      <c r="L26">
        <v>54</v>
      </c>
      <c r="M26">
        <v>24.4</v>
      </c>
      <c r="N26">
        <v>21.6</v>
      </c>
      <c r="O26" t="s">
        <v>276</v>
      </c>
    </row>
    <row r="27" spans="1:15" x14ac:dyDescent="0.25">
      <c r="A27" t="s">
        <v>111</v>
      </c>
      <c r="B27" t="s">
        <v>116</v>
      </c>
      <c r="E27">
        <v>2017</v>
      </c>
      <c r="F27" t="s">
        <v>27</v>
      </c>
      <c r="G27" t="s">
        <v>24</v>
      </c>
      <c r="H27" t="s">
        <v>117</v>
      </c>
      <c r="I27" t="s">
        <v>26</v>
      </c>
      <c r="J27">
        <v>1</v>
      </c>
      <c r="L27">
        <v>54</v>
      </c>
      <c r="M27">
        <v>24.4</v>
      </c>
      <c r="N27">
        <v>21.6</v>
      </c>
      <c r="O27" t="s">
        <v>276</v>
      </c>
    </row>
    <row r="28" spans="1:15" x14ac:dyDescent="0.25">
      <c r="A28" t="s">
        <v>112</v>
      </c>
      <c r="B28" t="s">
        <v>118</v>
      </c>
      <c r="E28">
        <v>2017</v>
      </c>
      <c r="F28" t="s">
        <v>27</v>
      </c>
      <c r="G28" t="s">
        <v>24</v>
      </c>
      <c r="H28" t="s">
        <v>117</v>
      </c>
      <c r="I28" t="s">
        <v>119</v>
      </c>
      <c r="J28">
        <v>1</v>
      </c>
      <c r="L28">
        <v>73.2</v>
      </c>
      <c r="M28">
        <v>16.3</v>
      </c>
      <c r="N28">
        <v>10.4</v>
      </c>
      <c r="O28" t="s">
        <v>279</v>
      </c>
    </row>
    <row r="29" spans="1:15" x14ac:dyDescent="0.25">
      <c r="A29" t="s">
        <v>113</v>
      </c>
      <c r="B29" t="s">
        <v>118</v>
      </c>
      <c r="E29">
        <v>2017</v>
      </c>
      <c r="F29" t="s">
        <v>27</v>
      </c>
      <c r="G29" t="s">
        <v>24</v>
      </c>
      <c r="H29" t="s">
        <v>117</v>
      </c>
      <c r="I29" t="s">
        <v>119</v>
      </c>
      <c r="J29">
        <v>1</v>
      </c>
      <c r="L29">
        <v>73.2</v>
      </c>
      <c r="M29">
        <v>16.3</v>
      </c>
      <c r="N29">
        <v>10.4</v>
      </c>
      <c r="O29" t="s">
        <v>279</v>
      </c>
    </row>
    <row r="30" spans="1:15" x14ac:dyDescent="0.25">
      <c r="A30" t="s">
        <v>114</v>
      </c>
      <c r="B30" t="s">
        <v>118</v>
      </c>
      <c r="E30">
        <v>2017</v>
      </c>
      <c r="F30" t="s">
        <v>23</v>
      </c>
      <c r="G30" t="s">
        <v>24</v>
      </c>
      <c r="H30" t="s">
        <v>117</v>
      </c>
      <c r="I30" t="s">
        <v>119</v>
      </c>
      <c r="J30">
        <v>1</v>
      </c>
      <c r="L30">
        <v>73.2</v>
      </c>
      <c r="M30">
        <v>16.3</v>
      </c>
      <c r="N30">
        <v>10.4</v>
      </c>
      <c r="O30" t="s">
        <v>279</v>
      </c>
    </row>
    <row r="31" spans="1:15" x14ac:dyDescent="0.25">
      <c r="A31" t="s">
        <v>115</v>
      </c>
      <c r="B31" t="s">
        <v>118</v>
      </c>
      <c r="E31">
        <v>2017</v>
      </c>
      <c r="F31" t="s">
        <v>23</v>
      </c>
      <c r="G31" t="s">
        <v>24</v>
      </c>
      <c r="H31" t="s">
        <v>117</v>
      </c>
      <c r="I31" t="s">
        <v>119</v>
      </c>
      <c r="J31">
        <v>1</v>
      </c>
      <c r="L31">
        <v>73.2</v>
      </c>
      <c r="M31">
        <v>16.3</v>
      </c>
      <c r="N31">
        <v>10.4</v>
      </c>
      <c r="O31" t="s">
        <v>279</v>
      </c>
    </row>
    <row r="32" spans="1:15" x14ac:dyDescent="0.25">
      <c r="A32" t="s">
        <v>135</v>
      </c>
      <c r="B32" t="s">
        <v>118</v>
      </c>
      <c r="C32" t="s">
        <v>455</v>
      </c>
      <c r="D32" t="s">
        <v>456</v>
      </c>
      <c r="E32">
        <v>2018</v>
      </c>
      <c r="J32">
        <v>1</v>
      </c>
      <c r="L32">
        <v>43.2</v>
      </c>
      <c r="M32">
        <v>26.9</v>
      </c>
      <c r="N32">
        <v>29.9</v>
      </c>
      <c r="O32" t="s">
        <v>275</v>
      </c>
    </row>
    <row r="33" spans="1:15" ht="15.95" customHeight="1" x14ac:dyDescent="0.25">
      <c r="A33" t="s">
        <v>136</v>
      </c>
      <c r="B33" t="s">
        <v>118</v>
      </c>
      <c r="C33" t="s">
        <v>457</v>
      </c>
      <c r="D33" t="s">
        <v>458</v>
      </c>
      <c r="E33">
        <v>2018</v>
      </c>
      <c r="J33">
        <v>1</v>
      </c>
      <c r="L33">
        <v>43.2</v>
      </c>
      <c r="M33">
        <v>26.9</v>
      </c>
      <c r="N33">
        <v>29.9</v>
      </c>
      <c r="O33" t="s">
        <v>275</v>
      </c>
    </row>
    <row r="34" spans="1:15" ht="15" customHeight="1" x14ac:dyDescent="0.25">
      <c r="A34" t="s">
        <v>137</v>
      </c>
      <c r="B34" t="s">
        <v>118</v>
      </c>
      <c r="C34" t="s">
        <v>459</v>
      </c>
      <c r="D34" t="s">
        <v>460</v>
      </c>
      <c r="E34">
        <v>2018</v>
      </c>
      <c r="J34">
        <v>1</v>
      </c>
      <c r="L34">
        <v>43.2</v>
      </c>
      <c r="M34">
        <v>26.9</v>
      </c>
      <c r="N34">
        <v>29.9</v>
      </c>
      <c r="O34" t="s">
        <v>275</v>
      </c>
    </row>
    <row r="35" spans="1:15" x14ac:dyDescent="0.25">
      <c r="A35" t="s">
        <v>138</v>
      </c>
      <c r="B35" t="s">
        <v>118</v>
      </c>
      <c r="C35" t="s">
        <v>461</v>
      </c>
      <c r="D35" t="s">
        <v>462</v>
      </c>
      <c r="E35">
        <v>2018</v>
      </c>
      <c r="J35">
        <v>1</v>
      </c>
      <c r="L35">
        <v>43.2</v>
      </c>
      <c r="M35">
        <v>26.9</v>
      </c>
      <c r="N35">
        <v>29.9</v>
      </c>
      <c r="O35" t="s">
        <v>275</v>
      </c>
    </row>
    <row r="36" spans="1:15" x14ac:dyDescent="0.25">
      <c r="A36" t="s">
        <v>139</v>
      </c>
      <c r="B36" t="s">
        <v>118</v>
      </c>
      <c r="C36" t="s">
        <v>463</v>
      </c>
      <c r="D36" t="s">
        <v>464</v>
      </c>
      <c r="E36">
        <v>2018</v>
      </c>
      <c r="J36">
        <v>2</v>
      </c>
      <c r="L36">
        <v>51.9</v>
      </c>
      <c r="M36">
        <v>27.2</v>
      </c>
      <c r="N36">
        <v>21</v>
      </c>
      <c r="O36" t="s">
        <v>276</v>
      </c>
    </row>
    <row r="37" spans="1:15" x14ac:dyDescent="0.25">
      <c r="A37" t="s">
        <v>140</v>
      </c>
      <c r="B37" t="s">
        <v>118</v>
      </c>
      <c r="C37" t="s">
        <v>463</v>
      </c>
      <c r="D37" t="s">
        <v>465</v>
      </c>
      <c r="E37">
        <v>2018</v>
      </c>
      <c r="J37">
        <v>2</v>
      </c>
      <c r="L37">
        <v>51.9</v>
      </c>
      <c r="M37">
        <v>27.2</v>
      </c>
      <c r="N37">
        <v>21</v>
      </c>
      <c r="O37" t="s">
        <v>276</v>
      </c>
    </row>
    <row r="38" spans="1:15" x14ac:dyDescent="0.25">
      <c r="A38" t="s">
        <v>141</v>
      </c>
      <c r="B38" t="s">
        <v>118</v>
      </c>
      <c r="C38" t="s">
        <v>466</v>
      </c>
      <c r="D38" t="s">
        <v>467</v>
      </c>
      <c r="E38">
        <v>2018</v>
      </c>
      <c r="J38">
        <v>2</v>
      </c>
      <c r="L38">
        <v>51.9</v>
      </c>
      <c r="M38">
        <v>27.2</v>
      </c>
      <c r="N38">
        <v>21</v>
      </c>
      <c r="O38" t="s">
        <v>276</v>
      </c>
    </row>
    <row r="39" spans="1:15" x14ac:dyDescent="0.25">
      <c r="A39" t="s">
        <v>142</v>
      </c>
      <c r="B39" t="s">
        <v>118</v>
      </c>
      <c r="C39" t="s">
        <v>468</v>
      </c>
      <c r="D39" t="s">
        <v>469</v>
      </c>
      <c r="E39">
        <v>2018</v>
      </c>
      <c r="J39">
        <v>2</v>
      </c>
      <c r="L39">
        <v>51.9</v>
      </c>
      <c r="M39">
        <v>27.2</v>
      </c>
      <c r="N39">
        <v>21</v>
      </c>
      <c r="O39" t="s">
        <v>276</v>
      </c>
    </row>
    <row r="40" spans="1:15" x14ac:dyDescent="0.25">
      <c r="A40" t="s">
        <v>143</v>
      </c>
      <c r="B40" t="s">
        <v>118</v>
      </c>
      <c r="C40" t="s">
        <v>470</v>
      </c>
      <c r="D40" t="s">
        <v>471</v>
      </c>
      <c r="E40">
        <v>2018</v>
      </c>
      <c r="J40">
        <v>3</v>
      </c>
      <c r="L40">
        <v>45.1</v>
      </c>
      <c r="M40">
        <v>30.7</v>
      </c>
      <c r="N40">
        <v>24.2</v>
      </c>
      <c r="O40" t="s">
        <v>275</v>
      </c>
    </row>
    <row r="41" spans="1:15" x14ac:dyDescent="0.25">
      <c r="A41" t="s">
        <v>144</v>
      </c>
      <c r="B41" t="s">
        <v>118</v>
      </c>
      <c r="C41" t="s">
        <v>472</v>
      </c>
      <c r="D41" t="s">
        <v>471</v>
      </c>
      <c r="E41">
        <v>2018</v>
      </c>
      <c r="J41">
        <v>3</v>
      </c>
      <c r="L41">
        <v>45.1</v>
      </c>
      <c r="M41">
        <v>30.7</v>
      </c>
      <c r="N41">
        <v>24.2</v>
      </c>
      <c r="O41" t="s">
        <v>275</v>
      </c>
    </row>
    <row r="42" spans="1:15" x14ac:dyDescent="0.25">
      <c r="A42" t="s">
        <v>145</v>
      </c>
      <c r="B42" t="s">
        <v>118</v>
      </c>
      <c r="C42" t="s">
        <v>473</v>
      </c>
      <c r="D42" t="s">
        <v>474</v>
      </c>
      <c r="E42">
        <v>2018</v>
      </c>
      <c r="J42">
        <v>3</v>
      </c>
      <c r="L42">
        <v>45.1</v>
      </c>
      <c r="M42">
        <v>30.7</v>
      </c>
      <c r="N42">
        <v>24.2</v>
      </c>
      <c r="O42" t="s">
        <v>275</v>
      </c>
    </row>
    <row r="43" spans="1:15" x14ac:dyDescent="0.25">
      <c r="A43" t="s">
        <v>146</v>
      </c>
      <c r="B43" t="s">
        <v>118</v>
      </c>
      <c r="C43" t="s">
        <v>475</v>
      </c>
      <c r="D43" t="s">
        <v>476</v>
      </c>
      <c r="E43">
        <v>2018</v>
      </c>
      <c r="J43">
        <v>3</v>
      </c>
      <c r="L43">
        <v>45.1</v>
      </c>
      <c r="M43">
        <v>30.7</v>
      </c>
      <c r="N43">
        <v>24.2</v>
      </c>
      <c r="O43" t="s">
        <v>275</v>
      </c>
    </row>
    <row r="44" spans="1:15" x14ac:dyDescent="0.25">
      <c r="A44" t="s">
        <v>147</v>
      </c>
      <c r="B44" t="s">
        <v>116</v>
      </c>
      <c r="C44" t="s">
        <v>477</v>
      </c>
      <c r="D44" t="s">
        <v>478</v>
      </c>
      <c r="E44">
        <v>2018</v>
      </c>
      <c r="J44">
        <v>1</v>
      </c>
      <c r="L44">
        <v>45.9</v>
      </c>
      <c r="M44">
        <v>24.8</v>
      </c>
      <c r="N44">
        <v>29.2</v>
      </c>
      <c r="O44" t="s">
        <v>277</v>
      </c>
    </row>
    <row r="45" spans="1:15" x14ac:dyDescent="0.25">
      <c r="A45" t="s">
        <v>148</v>
      </c>
      <c r="B45" t="s">
        <v>116</v>
      </c>
      <c r="C45" t="s">
        <v>479</v>
      </c>
      <c r="D45" t="s">
        <v>480</v>
      </c>
      <c r="E45">
        <v>2018</v>
      </c>
      <c r="J45">
        <v>1</v>
      </c>
      <c r="L45">
        <v>45.9</v>
      </c>
      <c r="M45">
        <v>24.8</v>
      </c>
      <c r="N45">
        <v>29.2</v>
      </c>
      <c r="O45" t="s">
        <v>277</v>
      </c>
    </row>
    <row r="46" spans="1:15" x14ac:dyDescent="0.25">
      <c r="A46" t="s">
        <v>149</v>
      </c>
      <c r="B46" t="s">
        <v>116</v>
      </c>
      <c r="C46" t="s">
        <v>481</v>
      </c>
      <c r="D46" t="s">
        <v>482</v>
      </c>
      <c r="E46">
        <v>2018</v>
      </c>
      <c r="J46">
        <v>1</v>
      </c>
      <c r="L46">
        <v>45.9</v>
      </c>
      <c r="M46">
        <v>24.8</v>
      </c>
      <c r="N46">
        <v>29.2</v>
      </c>
      <c r="O46" t="s">
        <v>277</v>
      </c>
    </row>
    <row r="47" spans="1:15" x14ac:dyDescent="0.25">
      <c r="A47" t="s">
        <v>150</v>
      </c>
      <c r="B47" t="s">
        <v>116</v>
      </c>
      <c r="C47" t="s">
        <v>483</v>
      </c>
      <c r="D47" t="s">
        <v>484</v>
      </c>
      <c r="E47">
        <v>2018</v>
      </c>
      <c r="J47">
        <v>1</v>
      </c>
      <c r="L47">
        <v>45.9</v>
      </c>
      <c r="M47">
        <v>24.8</v>
      </c>
      <c r="N47">
        <v>29.2</v>
      </c>
      <c r="O47" t="s">
        <v>277</v>
      </c>
    </row>
    <row r="48" spans="1:15" x14ac:dyDescent="0.25">
      <c r="A48" t="s">
        <v>151</v>
      </c>
      <c r="B48" t="s">
        <v>116</v>
      </c>
      <c r="C48" t="s">
        <v>485</v>
      </c>
      <c r="D48" t="s">
        <v>486</v>
      </c>
      <c r="E48">
        <v>2018</v>
      </c>
      <c r="J48">
        <v>2</v>
      </c>
      <c r="L48">
        <v>48.1</v>
      </c>
      <c r="M48">
        <v>27.2</v>
      </c>
      <c r="N48">
        <v>24.7</v>
      </c>
      <c r="O48" t="s">
        <v>276</v>
      </c>
    </row>
    <row r="49" spans="1:15" x14ac:dyDescent="0.25">
      <c r="A49" t="s">
        <v>152</v>
      </c>
      <c r="B49" t="s">
        <v>116</v>
      </c>
      <c r="C49" t="s">
        <v>487</v>
      </c>
      <c r="D49" t="s">
        <v>488</v>
      </c>
      <c r="E49">
        <v>2018</v>
      </c>
      <c r="J49">
        <v>2</v>
      </c>
      <c r="L49">
        <v>48.1</v>
      </c>
      <c r="M49">
        <v>27.2</v>
      </c>
      <c r="N49">
        <v>24.7</v>
      </c>
      <c r="O49" t="s">
        <v>276</v>
      </c>
    </row>
    <row r="50" spans="1:15" x14ac:dyDescent="0.25">
      <c r="A50" t="s">
        <v>153</v>
      </c>
      <c r="B50" t="s">
        <v>116</v>
      </c>
      <c r="C50" t="s">
        <v>489</v>
      </c>
      <c r="D50" t="s">
        <v>490</v>
      </c>
      <c r="E50">
        <v>2018</v>
      </c>
      <c r="J50">
        <v>2</v>
      </c>
      <c r="L50">
        <v>48.1</v>
      </c>
      <c r="M50">
        <v>27.2</v>
      </c>
      <c r="N50">
        <v>24.7</v>
      </c>
      <c r="O50" t="s">
        <v>276</v>
      </c>
    </row>
    <row r="51" spans="1:15" x14ac:dyDescent="0.25">
      <c r="A51" t="s">
        <v>154</v>
      </c>
      <c r="B51" t="s">
        <v>116</v>
      </c>
      <c r="C51" t="s">
        <v>485</v>
      </c>
      <c r="D51" t="s">
        <v>491</v>
      </c>
      <c r="E51">
        <v>2018</v>
      </c>
      <c r="J51">
        <v>2</v>
      </c>
      <c r="L51">
        <v>48.1</v>
      </c>
      <c r="M51">
        <v>27.2</v>
      </c>
      <c r="N51">
        <v>24.7</v>
      </c>
      <c r="O51" t="s">
        <v>276</v>
      </c>
    </row>
    <row r="52" spans="1:15" x14ac:dyDescent="0.25">
      <c r="A52" t="s">
        <v>155</v>
      </c>
      <c r="B52" t="s">
        <v>116</v>
      </c>
      <c r="C52" t="s">
        <v>492</v>
      </c>
      <c r="D52" t="s">
        <v>493</v>
      </c>
      <c r="E52">
        <v>2018</v>
      </c>
      <c r="J52">
        <v>3</v>
      </c>
      <c r="L52">
        <v>44</v>
      </c>
      <c r="M52">
        <v>30.8</v>
      </c>
      <c r="N52">
        <v>25.2</v>
      </c>
      <c r="O52" t="s">
        <v>275</v>
      </c>
    </row>
    <row r="53" spans="1:15" x14ac:dyDescent="0.25">
      <c r="A53" t="s">
        <v>156</v>
      </c>
      <c r="B53" t="s">
        <v>116</v>
      </c>
      <c r="C53" t="s">
        <v>494</v>
      </c>
      <c r="D53" t="s">
        <v>495</v>
      </c>
      <c r="E53">
        <v>2018</v>
      </c>
      <c r="J53">
        <v>3</v>
      </c>
      <c r="L53">
        <v>44</v>
      </c>
      <c r="M53">
        <v>30.8</v>
      </c>
      <c r="N53">
        <v>25.2</v>
      </c>
      <c r="O53" t="s">
        <v>275</v>
      </c>
    </row>
    <row r="54" spans="1:15" x14ac:dyDescent="0.25">
      <c r="A54" t="s">
        <v>157</v>
      </c>
      <c r="B54" t="s">
        <v>116</v>
      </c>
      <c r="C54" t="s">
        <v>496</v>
      </c>
      <c r="D54" t="s">
        <v>497</v>
      </c>
      <c r="E54">
        <v>2018</v>
      </c>
      <c r="J54">
        <v>3</v>
      </c>
      <c r="L54">
        <v>44</v>
      </c>
      <c r="M54">
        <v>30.8</v>
      </c>
      <c r="N54">
        <v>25.2</v>
      </c>
      <c r="O54" t="s">
        <v>275</v>
      </c>
    </row>
    <row r="55" spans="1:15" x14ac:dyDescent="0.25">
      <c r="A55" t="s">
        <v>158</v>
      </c>
      <c r="B55" t="s">
        <v>116</v>
      </c>
      <c r="C55" t="s">
        <v>498</v>
      </c>
      <c r="D55" t="s">
        <v>495</v>
      </c>
      <c r="E55">
        <v>2018</v>
      </c>
      <c r="J55">
        <v>3</v>
      </c>
      <c r="L55">
        <v>44</v>
      </c>
      <c r="M55">
        <v>30.8</v>
      </c>
      <c r="N55">
        <v>25.2</v>
      </c>
      <c r="O55" t="s">
        <v>275</v>
      </c>
    </row>
    <row r="56" spans="1:15" x14ac:dyDescent="0.25">
      <c r="A56" t="s">
        <v>160</v>
      </c>
      <c r="B56" t="s">
        <v>57</v>
      </c>
      <c r="C56" t="s">
        <v>499</v>
      </c>
      <c r="D56" t="s">
        <v>500</v>
      </c>
      <c r="E56">
        <v>2018</v>
      </c>
      <c r="J56">
        <v>1</v>
      </c>
      <c r="L56">
        <v>82.6</v>
      </c>
      <c r="M56">
        <v>11</v>
      </c>
      <c r="N56">
        <v>6.4</v>
      </c>
      <c r="O56" t="s">
        <v>278</v>
      </c>
    </row>
    <row r="57" spans="1:15" x14ac:dyDescent="0.25">
      <c r="A57" t="s">
        <v>161</v>
      </c>
      <c r="B57" t="s">
        <v>57</v>
      </c>
      <c r="C57" t="s">
        <v>501</v>
      </c>
      <c r="D57" t="s">
        <v>502</v>
      </c>
      <c r="E57">
        <v>2018</v>
      </c>
      <c r="J57">
        <v>1</v>
      </c>
      <c r="L57">
        <v>82.6</v>
      </c>
      <c r="M57">
        <v>11</v>
      </c>
      <c r="N57">
        <v>6.4</v>
      </c>
      <c r="O57" t="s">
        <v>278</v>
      </c>
    </row>
    <row r="58" spans="1:15" x14ac:dyDescent="0.25">
      <c r="A58" t="s">
        <v>162</v>
      </c>
      <c r="B58" t="s">
        <v>57</v>
      </c>
      <c r="C58" t="s">
        <v>503</v>
      </c>
      <c r="D58" t="s">
        <v>504</v>
      </c>
      <c r="E58">
        <v>2018</v>
      </c>
      <c r="J58">
        <v>1</v>
      </c>
      <c r="L58">
        <v>82.6</v>
      </c>
      <c r="M58">
        <v>11</v>
      </c>
      <c r="N58">
        <v>6.4</v>
      </c>
      <c r="O58" t="s">
        <v>278</v>
      </c>
    </row>
    <row r="59" spans="1:15" x14ac:dyDescent="0.25">
      <c r="A59" t="s">
        <v>163</v>
      </c>
      <c r="B59" t="s">
        <v>57</v>
      </c>
      <c r="C59" t="s">
        <v>505</v>
      </c>
      <c r="D59" t="s">
        <v>506</v>
      </c>
      <c r="E59">
        <v>2018</v>
      </c>
      <c r="J59">
        <v>1</v>
      </c>
      <c r="L59">
        <v>82.6</v>
      </c>
      <c r="M59">
        <v>11</v>
      </c>
      <c r="N59">
        <v>6.4</v>
      </c>
      <c r="O59" t="s">
        <v>278</v>
      </c>
    </row>
    <row r="60" spans="1:15" x14ac:dyDescent="0.25">
      <c r="A60" t="s">
        <v>164</v>
      </c>
      <c r="B60" t="s">
        <v>57</v>
      </c>
      <c r="C60" t="s">
        <v>507</v>
      </c>
      <c r="D60" t="s">
        <v>508</v>
      </c>
      <c r="E60">
        <v>2018</v>
      </c>
      <c r="J60">
        <v>2</v>
      </c>
      <c r="L60">
        <v>83.9</v>
      </c>
      <c r="M60">
        <v>9</v>
      </c>
      <c r="N60">
        <v>7.1</v>
      </c>
      <c r="O60" t="s">
        <v>278</v>
      </c>
    </row>
    <row r="61" spans="1:15" x14ac:dyDescent="0.25">
      <c r="A61" t="s">
        <v>165</v>
      </c>
      <c r="B61" t="s">
        <v>57</v>
      </c>
      <c r="C61" t="s">
        <v>509</v>
      </c>
      <c r="D61" t="s">
        <v>510</v>
      </c>
      <c r="E61">
        <v>2018</v>
      </c>
      <c r="J61">
        <v>2</v>
      </c>
      <c r="L61" s="2">
        <v>83.9</v>
      </c>
      <c r="M61" s="2">
        <v>9</v>
      </c>
      <c r="N61" s="2">
        <v>7.1</v>
      </c>
      <c r="O61" t="s">
        <v>278</v>
      </c>
    </row>
    <row r="62" spans="1:15" x14ac:dyDescent="0.25">
      <c r="A62" t="s">
        <v>166</v>
      </c>
      <c r="B62" t="s">
        <v>57</v>
      </c>
      <c r="C62" t="s">
        <v>501</v>
      </c>
      <c r="D62" t="s">
        <v>511</v>
      </c>
      <c r="E62">
        <v>2018</v>
      </c>
      <c r="J62">
        <v>2</v>
      </c>
      <c r="L62" s="2">
        <v>83.9</v>
      </c>
      <c r="M62" s="2">
        <v>9</v>
      </c>
      <c r="N62" s="2">
        <v>7.1</v>
      </c>
      <c r="O62" t="s">
        <v>278</v>
      </c>
    </row>
    <row r="63" spans="1:15" x14ac:dyDescent="0.25">
      <c r="A63" t="s">
        <v>167</v>
      </c>
      <c r="B63" t="s">
        <v>57</v>
      </c>
      <c r="C63" t="s">
        <v>512</v>
      </c>
      <c r="D63" t="s">
        <v>513</v>
      </c>
      <c r="E63">
        <v>2018</v>
      </c>
      <c r="J63">
        <v>2</v>
      </c>
      <c r="L63" s="2">
        <v>83.9</v>
      </c>
      <c r="M63" s="2">
        <v>9</v>
      </c>
      <c r="N63" s="2">
        <v>7.1</v>
      </c>
      <c r="O63" t="s">
        <v>278</v>
      </c>
    </row>
    <row r="64" spans="1:15" x14ac:dyDescent="0.25">
      <c r="A64" t="s">
        <v>168</v>
      </c>
      <c r="B64" t="s">
        <v>57</v>
      </c>
      <c r="C64" t="s">
        <v>514</v>
      </c>
      <c r="D64" t="s">
        <v>515</v>
      </c>
      <c r="E64">
        <v>2018</v>
      </c>
      <c r="J64">
        <v>3</v>
      </c>
      <c r="L64">
        <v>80.8</v>
      </c>
      <c r="M64">
        <v>10.6</v>
      </c>
      <c r="N64">
        <v>8.6</v>
      </c>
      <c r="O64" t="s">
        <v>278</v>
      </c>
    </row>
    <row r="65" spans="1:15" x14ac:dyDescent="0.25">
      <c r="A65" t="s">
        <v>169</v>
      </c>
      <c r="B65" t="s">
        <v>57</v>
      </c>
      <c r="C65" t="s">
        <v>516</v>
      </c>
      <c r="D65" t="s">
        <v>517</v>
      </c>
      <c r="E65">
        <v>2018</v>
      </c>
      <c r="J65">
        <v>3</v>
      </c>
      <c r="L65">
        <v>80.8</v>
      </c>
      <c r="M65">
        <v>10.6</v>
      </c>
      <c r="N65">
        <v>8.6</v>
      </c>
      <c r="O65" t="s">
        <v>278</v>
      </c>
    </row>
    <row r="66" spans="1:15" x14ac:dyDescent="0.25">
      <c r="A66" t="s">
        <v>170</v>
      </c>
      <c r="B66" t="s">
        <v>57</v>
      </c>
      <c r="C66" t="s">
        <v>518</v>
      </c>
      <c r="D66" t="s">
        <v>519</v>
      </c>
      <c r="E66">
        <v>2018</v>
      </c>
      <c r="J66">
        <v>3</v>
      </c>
      <c r="L66">
        <v>80.8</v>
      </c>
      <c r="M66">
        <v>10.6</v>
      </c>
      <c r="N66">
        <v>8.6</v>
      </c>
      <c r="O66" t="s">
        <v>278</v>
      </c>
    </row>
    <row r="67" spans="1:15" x14ac:dyDescent="0.25">
      <c r="A67" t="s">
        <v>171</v>
      </c>
      <c r="B67" t="s">
        <v>57</v>
      </c>
      <c r="C67" t="s">
        <v>520</v>
      </c>
      <c r="D67" t="s">
        <v>521</v>
      </c>
      <c r="E67">
        <v>2018</v>
      </c>
      <c r="J67">
        <v>3</v>
      </c>
      <c r="L67">
        <v>80.8</v>
      </c>
      <c r="M67">
        <v>10.6</v>
      </c>
      <c r="N67">
        <v>8.6</v>
      </c>
      <c r="O67" t="s">
        <v>278</v>
      </c>
    </row>
    <row r="68" spans="1:15" x14ac:dyDescent="0.25">
      <c r="A68" t="s">
        <v>172</v>
      </c>
      <c r="B68" t="s">
        <v>58</v>
      </c>
      <c r="C68" t="s">
        <v>522</v>
      </c>
      <c r="D68" t="s">
        <v>523</v>
      </c>
      <c r="E68">
        <v>2018</v>
      </c>
      <c r="J68">
        <v>1</v>
      </c>
      <c r="L68">
        <v>67.3</v>
      </c>
      <c r="M68">
        <v>21.2</v>
      </c>
      <c r="N68">
        <v>11.5</v>
      </c>
      <c r="O68" t="s">
        <v>276</v>
      </c>
    </row>
    <row r="69" spans="1:15" x14ac:dyDescent="0.25">
      <c r="A69" t="s">
        <v>173</v>
      </c>
      <c r="B69" t="s">
        <v>58</v>
      </c>
      <c r="C69" t="s">
        <v>524</v>
      </c>
      <c r="D69" t="s">
        <v>525</v>
      </c>
      <c r="E69">
        <v>2018</v>
      </c>
      <c r="J69">
        <v>1</v>
      </c>
      <c r="L69">
        <v>67.3</v>
      </c>
      <c r="M69">
        <v>21.2</v>
      </c>
      <c r="N69">
        <v>11.5</v>
      </c>
      <c r="O69" t="s">
        <v>276</v>
      </c>
    </row>
    <row r="70" spans="1:15" x14ac:dyDescent="0.25">
      <c r="A70" t="s">
        <v>174</v>
      </c>
      <c r="B70" t="s">
        <v>58</v>
      </c>
      <c r="C70" t="s">
        <v>526</v>
      </c>
      <c r="D70" t="s">
        <v>527</v>
      </c>
      <c r="E70">
        <v>2018</v>
      </c>
      <c r="J70">
        <v>1</v>
      </c>
      <c r="L70">
        <v>67.3</v>
      </c>
      <c r="M70">
        <v>21.2</v>
      </c>
      <c r="N70">
        <v>11.5</v>
      </c>
      <c r="O70" t="s">
        <v>276</v>
      </c>
    </row>
    <row r="71" spans="1:15" x14ac:dyDescent="0.25">
      <c r="A71" t="s">
        <v>175</v>
      </c>
      <c r="B71" t="s">
        <v>58</v>
      </c>
      <c r="C71" t="s">
        <v>528</v>
      </c>
      <c r="D71" t="s">
        <v>529</v>
      </c>
      <c r="E71">
        <v>2018</v>
      </c>
      <c r="J71">
        <v>1</v>
      </c>
      <c r="L71">
        <v>67.3</v>
      </c>
      <c r="M71">
        <v>21.2</v>
      </c>
      <c r="N71">
        <v>11.5</v>
      </c>
      <c r="O71" t="s">
        <v>276</v>
      </c>
    </row>
    <row r="72" spans="1:15" x14ac:dyDescent="0.25">
      <c r="A72" t="s">
        <v>176</v>
      </c>
      <c r="B72" t="s">
        <v>58</v>
      </c>
      <c r="C72" t="s">
        <v>530</v>
      </c>
      <c r="D72" t="s">
        <v>531</v>
      </c>
      <c r="E72">
        <v>2018</v>
      </c>
      <c r="J72">
        <v>2</v>
      </c>
      <c r="L72">
        <v>76.5</v>
      </c>
      <c r="M72">
        <v>13</v>
      </c>
      <c r="N72">
        <v>10.5</v>
      </c>
      <c r="O72" t="s">
        <v>279</v>
      </c>
    </row>
    <row r="73" spans="1:15" x14ac:dyDescent="0.25">
      <c r="A73" t="s">
        <v>177</v>
      </c>
      <c r="B73" t="s">
        <v>58</v>
      </c>
      <c r="C73" t="s">
        <v>532</v>
      </c>
      <c r="D73" t="s">
        <v>533</v>
      </c>
      <c r="E73">
        <v>2018</v>
      </c>
      <c r="J73">
        <v>2</v>
      </c>
      <c r="L73">
        <v>76.5</v>
      </c>
      <c r="M73">
        <v>13</v>
      </c>
      <c r="N73">
        <v>10.5</v>
      </c>
      <c r="O73" t="s">
        <v>279</v>
      </c>
    </row>
    <row r="74" spans="1:15" x14ac:dyDescent="0.25">
      <c r="A74" t="s">
        <v>178</v>
      </c>
      <c r="B74" t="s">
        <v>58</v>
      </c>
      <c r="C74" t="s">
        <v>530</v>
      </c>
      <c r="D74" t="s">
        <v>534</v>
      </c>
      <c r="E74">
        <v>2018</v>
      </c>
      <c r="J74">
        <v>2</v>
      </c>
      <c r="L74">
        <v>76.5</v>
      </c>
      <c r="M74">
        <v>13</v>
      </c>
      <c r="N74">
        <v>10.5</v>
      </c>
      <c r="O74" t="s">
        <v>279</v>
      </c>
    </row>
    <row r="75" spans="1:15" x14ac:dyDescent="0.25">
      <c r="A75" t="s">
        <v>179</v>
      </c>
      <c r="B75" t="s">
        <v>58</v>
      </c>
      <c r="C75" t="s">
        <v>535</v>
      </c>
      <c r="D75" t="s">
        <v>536</v>
      </c>
      <c r="E75">
        <v>2018</v>
      </c>
      <c r="J75">
        <v>2</v>
      </c>
      <c r="L75">
        <v>76.5</v>
      </c>
      <c r="M75">
        <v>13</v>
      </c>
      <c r="N75">
        <v>10.5</v>
      </c>
      <c r="O75" t="s">
        <v>279</v>
      </c>
    </row>
    <row r="76" spans="1:15" x14ac:dyDescent="0.25">
      <c r="A76" t="s">
        <v>180</v>
      </c>
      <c r="B76" t="s">
        <v>58</v>
      </c>
      <c r="C76" t="s">
        <v>537</v>
      </c>
      <c r="D76" t="s">
        <v>538</v>
      </c>
      <c r="E76">
        <v>2018</v>
      </c>
      <c r="J76">
        <v>3</v>
      </c>
      <c r="L76">
        <v>81</v>
      </c>
      <c r="M76">
        <v>10.8</v>
      </c>
      <c r="N76">
        <v>8.1999999999999993</v>
      </c>
      <c r="O76" t="s">
        <v>278</v>
      </c>
    </row>
    <row r="77" spans="1:15" x14ac:dyDescent="0.25">
      <c r="A77" t="s">
        <v>181</v>
      </c>
      <c r="B77" t="s">
        <v>58</v>
      </c>
      <c r="E77">
        <v>2018</v>
      </c>
      <c r="J77">
        <v>3</v>
      </c>
      <c r="L77">
        <v>81</v>
      </c>
      <c r="M77">
        <v>10.8</v>
      </c>
      <c r="N77">
        <v>8.1999999999999993</v>
      </c>
      <c r="O77" t="s">
        <v>278</v>
      </c>
    </row>
    <row r="78" spans="1:15" x14ac:dyDescent="0.25">
      <c r="A78" t="s">
        <v>182</v>
      </c>
      <c r="B78" t="s">
        <v>58</v>
      </c>
      <c r="C78" t="s">
        <v>539</v>
      </c>
      <c r="D78" t="s">
        <v>540</v>
      </c>
      <c r="E78">
        <v>2018</v>
      </c>
      <c r="J78">
        <v>3</v>
      </c>
      <c r="L78">
        <v>81</v>
      </c>
      <c r="M78">
        <v>10.8</v>
      </c>
      <c r="N78">
        <v>8.1999999999999993</v>
      </c>
      <c r="O78" t="s">
        <v>278</v>
      </c>
    </row>
    <row r="79" spans="1:15" x14ac:dyDescent="0.25">
      <c r="A79" t="s">
        <v>183</v>
      </c>
      <c r="B79" t="s">
        <v>58</v>
      </c>
      <c r="E79">
        <v>2018</v>
      </c>
      <c r="J79">
        <v>3</v>
      </c>
      <c r="L79">
        <v>81</v>
      </c>
      <c r="M79">
        <v>10.8</v>
      </c>
      <c r="N79">
        <v>8.1999999999999993</v>
      </c>
      <c r="O79" t="s">
        <v>278</v>
      </c>
    </row>
    <row r="80" spans="1:15" x14ac:dyDescent="0.25">
      <c r="A80" t="s">
        <v>184</v>
      </c>
      <c r="B80" t="s">
        <v>268</v>
      </c>
      <c r="C80" t="s">
        <v>541</v>
      </c>
      <c r="D80" t="s">
        <v>542</v>
      </c>
      <c r="E80">
        <v>2018</v>
      </c>
      <c r="J80">
        <v>1</v>
      </c>
      <c r="L80">
        <v>35.200000000000003</v>
      </c>
      <c r="M80">
        <v>36.799999999999997</v>
      </c>
      <c r="N80">
        <v>28</v>
      </c>
      <c r="O80" t="s">
        <v>275</v>
      </c>
    </row>
    <row r="81" spans="1:15" x14ac:dyDescent="0.25">
      <c r="A81" t="s">
        <v>185</v>
      </c>
      <c r="B81" t="s">
        <v>268</v>
      </c>
      <c r="C81" t="s">
        <v>543</v>
      </c>
      <c r="D81" t="s">
        <v>544</v>
      </c>
      <c r="E81">
        <v>2018</v>
      </c>
      <c r="J81">
        <v>1</v>
      </c>
      <c r="L81">
        <v>35.200000000000003</v>
      </c>
      <c r="M81">
        <v>36.799999999999997</v>
      </c>
      <c r="N81">
        <v>28</v>
      </c>
      <c r="O81" t="s">
        <v>275</v>
      </c>
    </row>
    <row r="82" spans="1:15" x14ac:dyDescent="0.25">
      <c r="A82" t="s">
        <v>186</v>
      </c>
      <c r="B82" t="s">
        <v>268</v>
      </c>
      <c r="C82" t="s">
        <v>543</v>
      </c>
      <c r="D82" t="s">
        <v>545</v>
      </c>
      <c r="E82">
        <v>2018</v>
      </c>
      <c r="J82">
        <v>1</v>
      </c>
      <c r="L82">
        <v>35.200000000000003</v>
      </c>
      <c r="M82">
        <v>36.799999999999997</v>
      </c>
      <c r="N82">
        <v>28</v>
      </c>
      <c r="O82" t="s">
        <v>275</v>
      </c>
    </row>
    <row r="83" spans="1:15" x14ac:dyDescent="0.25">
      <c r="A83" t="s">
        <v>187</v>
      </c>
      <c r="B83" t="s">
        <v>268</v>
      </c>
      <c r="C83" t="s">
        <v>546</v>
      </c>
      <c r="D83" t="s">
        <v>545</v>
      </c>
      <c r="E83">
        <v>2018</v>
      </c>
      <c r="J83">
        <v>1</v>
      </c>
      <c r="L83">
        <v>35.200000000000003</v>
      </c>
      <c r="M83">
        <v>36.799999999999997</v>
      </c>
      <c r="N83">
        <v>28</v>
      </c>
      <c r="O83" t="s">
        <v>275</v>
      </c>
    </row>
    <row r="84" spans="1:15" x14ac:dyDescent="0.25">
      <c r="A84" t="s">
        <v>188</v>
      </c>
      <c r="B84" t="s">
        <v>268</v>
      </c>
      <c r="C84" t="s">
        <v>547</v>
      </c>
      <c r="D84" t="s">
        <v>548</v>
      </c>
      <c r="E84">
        <v>2018</v>
      </c>
      <c r="J84">
        <v>2</v>
      </c>
      <c r="L84">
        <v>24.8</v>
      </c>
      <c r="M84">
        <v>38</v>
      </c>
      <c r="N84">
        <v>37.200000000000003</v>
      </c>
      <c r="O84" t="s">
        <v>275</v>
      </c>
    </row>
    <row r="85" spans="1:15" x14ac:dyDescent="0.25">
      <c r="A85" t="s">
        <v>189</v>
      </c>
      <c r="B85" t="s">
        <v>268</v>
      </c>
      <c r="C85" t="s">
        <v>549</v>
      </c>
      <c r="D85" t="s">
        <v>548</v>
      </c>
      <c r="E85">
        <v>2018</v>
      </c>
      <c r="J85">
        <v>2</v>
      </c>
      <c r="L85">
        <v>24.8</v>
      </c>
      <c r="M85">
        <v>38</v>
      </c>
      <c r="N85">
        <v>37.200000000000003</v>
      </c>
      <c r="O85" t="s">
        <v>275</v>
      </c>
    </row>
    <row r="86" spans="1:15" x14ac:dyDescent="0.25">
      <c r="A86" t="s">
        <v>190</v>
      </c>
      <c r="B86" t="s">
        <v>268</v>
      </c>
      <c r="C86" t="s">
        <v>550</v>
      </c>
      <c r="D86" t="s">
        <v>551</v>
      </c>
      <c r="E86">
        <v>2018</v>
      </c>
      <c r="J86">
        <v>2</v>
      </c>
      <c r="L86">
        <v>24.8</v>
      </c>
      <c r="M86">
        <v>38</v>
      </c>
      <c r="N86">
        <v>37.200000000000003</v>
      </c>
      <c r="O86" t="s">
        <v>275</v>
      </c>
    </row>
    <row r="87" spans="1:15" x14ac:dyDescent="0.25">
      <c r="A87" t="s">
        <v>191</v>
      </c>
      <c r="B87" t="s">
        <v>268</v>
      </c>
      <c r="C87" t="s">
        <v>547</v>
      </c>
      <c r="D87" t="s">
        <v>552</v>
      </c>
      <c r="E87">
        <v>2018</v>
      </c>
      <c r="J87">
        <v>2</v>
      </c>
      <c r="L87">
        <v>24.8</v>
      </c>
      <c r="M87">
        <v>38</v>
      </c>
      <c r="N87">
        <v>37.200000000000003</v>
      </c>
      <c r="O87" t="s">
        <v>275</v>
      </c>
    </row>
    <row r="88" spans="1:15" x14ac:dyDescent="0.25">
      <c r="A88" t="s">
        <v>192</v>
      </c>
      <c r="B88" t="s">
        <v>268</v>
      </c>
      <c r="C88" t="s">
        <v>553</v>
      </c>
      <c r="D88" t="s">
        <v>554</v>
      </c>
      <c r="E88">
        <v>2018</v>
      </c>
      <c r="J88">
        <v>3</v>
      </c>
      <c r="L88">
        <v>30</v>
      </c>
      <c r="M88">
        <v>33.6</v>
      </c>
      <c r="N88">
        <v>36.4</v>
      </c>
      <c r="O88" t="s">
        <v>275</v>
      </c>
    </row>
    <row r="89" spans="1:15" x14ac:dyDescent="0.25">
      <c r="A89" t="s">
        <v>193</v>
      </c>
      <c r="B89" t="s">
        <v>268</v>
      </c>
      <c r="C89" t="s">
        <v>555</v>
      </c>
      <c r="D89" t="s">
        <v>556</v>
      </c>
      <c r="E89">
        <v>2018</v>
      </c>
      <c r="J89">
        <v>3</v>
      </c>
      <c r="L89">
        <v>30</v>
      </c>
      <c r="M89">
        <v>33.6</v>
      </c>
      <c r="N89">
        <v>36.4</v>
      </c>
      <c r="O89" t="s">
        <v>275</v>
      </c>
    </row>
    <row r="90" spans="1:15" x14ac:dyDescent="0.25">
      <c r="A90" t="s">
        <v>194</v>
      </c>
      <c r="B90" t="s">
        <v>268</v>
      </c>
      <c r="C90" t="s">
        <v>557</v>
      </c>
      <c r="D90" t="s">
        <v>558</v>
      </c>
      <c r="E90">
        <v>2018</v>
      </c>
      <c r="J90">
        <v>3</v>
      </c>
      <c r="L90">
        <v>30</v>
      </c>
      <c r="M90">
        <v>33.6</v>
      </c>
      <c r="N90">
        <v>36.4</v>
      </c>
      <c r="O90" t="s">
        <v>275</v>
      </c>
    </row>
    <row r="91" spans="1:15" x14ac:dyDescent="0.25">
      <c r="A91" t="s">
        <v>195</v>
      </c>
      <c r="B91" t="s">
        <v>268</v>
      </c>
      <c r="C91" t="s">
        <v>559</v>
      </c>
      <c r="D91" t="s">
        <v>560</v>
      </c>
      <c r="E91">
        <v>2018</v>
      </c>
      <c r="J91">
        <v>3</v>
      </c>
      <c r="L91">
        <v>30</v>
      </c>
      <c r="M91">
        <v>33.6</v>
      </c>
      <c r="N91">
        <v>36.4</v>
      </c>
      <c r="O91" t="s">
        <v>275</v>
      </c>
    </row>
    <row r="92" spans="1:15" x14ac:dyDescent="0.25">
      <c r="A92" t="s">
        <v>196</v>
      </c>
      <c r="B92" t="s">
        <v>269</v>
      </c>
      <c r="C92" t="s">
        <v>561</v>
      </c>
      <c r="D92" t="s">
        <v>562</v>
      </c>
      <c r="E92">
        <v>2018</v>
      </c>
      <c r="J92">
        <v>1</v>
      </c>
      <c r="L92">
        <v>78.2</v>
      </c>
      <c r="M92">
        <v>14.4</v>
      </c>
      <c r="N92">
        <v>7.4</v>
      </c>
      <c r="O92" t="s">
        <v>279</v>
      </c>
    </row>
    <row r="93" spans="1:15" x14ac:dyDescent="0.25">
      <c r="A93" t="s">
        <v>197</v>
      </c>
      <c r="B93" t="s">
        <v>269</v>
      </c>
      <c r="C93" t="s">
        <v>563</v>
      </c>
      <c r="D93" t="s">
        <v>564</v>
      </c>
      <c r="E93">
        <v>2018</v>
      </c>
      <c r="J93">
        <v>1</v>
      </c>
      <c r="L93">
        <v>78.2</v>
      </c>
      <c r="M93">
        <v>14.4</v>
      </c>
      <c r="N93">
        <v>7.4</v>
      </c>
      <c r="O93" t="s">
        <v>279</v>
      </c>
    </row>
    <row r="94" spans="1:15" x14ac:dyDescent="0.25">
      <c r="A94" t="s">
        <v>198</v>
      </c>
      <c r="B94" t="s">
        <v>269</v>
      </c>
      <c r="C94" t="s">
        <v>565</v>
      </c>
      <c r="D94" t="s">
        <v>566</v>
      </c>
      <c r="E94">
        <v>2018</v>
      </c>
      <c r="J94">
        <v>1</v>
      </c>
      <c r="L94">
        <v>78.2</v>
      </c>
      <c r="M94">
        <v>14.4</v>
      </c>
      <c r="N94">
        <v>7.4</v>
      </c>
      <c r="O94" t="s">
        <v>279</v>
      </c>
    </row>
    <row r="95" spans="1:15" x14ac:dyDescent="0.25">
      <c r="A95" t="s">
        <v>199</v>
      </c>
      <c r="B95" t="s">
        <v>269</v>
      </c>
      <c r="C95" t="s">
        <v>567</v>
      </c>
      <c r="D95" t="s">
        <v>568</v>
      </c>
      <c r="E95">
        <v>2018</v>
      </c>
      <c r="J95">
        <v>1</v>
      </c>
      <c r="L95">
        <v>78.2</v>
      </c>
      <c r="M95">
        <v>14.4</v>
      </c>
      <c r="N95">
        <v>7.4</v>
      </c>
      <c r="O95" t="s">
        <v>279</v>
      </c>
    </row>
    <row r="96" spans="1:15" x14ac:dyDescent="0.25">
      <c r="A96" t="s">
        <v>200</v>
      </c>
      <c r="B96" t="s">
        <v>269</v>
      </c>
      <c r="C96" t="s">
        <v>569</v>
      </c>
      <c r="D96" t="s">
        <v>570</v>
      </c>
      <c r="E96">
        <v>2018</v>
      </c>
      <c r="J96">
        <v>2</v>
      </c>
      <c r="L96">
        <v>78.2</v>
      </c>
      <c r="M96">
        <v>12.8</v>
      </c>
      <c r="N96">
        <v>9</v>
      </c>
      <c r="O96" t="s">
        <v>279</v>
      </c>
    </row>
    <row r="97" spans="1:15" x14ac:dyDescent="0.25">
      <c r="A97" t="s">
        <v>201</v>
      </c>
      <c r="B97" t="s">
        <v>269</v>
      </c>
      <c r="C97" t="s">
        <v>571</v>
      </c>
      <c r="D97" t="s">
        <v>572</v>
      </c>
      <c r="E97">
        <v>2018</v>
      </c>
      <c r="J97">
        <v>2</v>
      </c>
      <c r="L97">
        <v>78.2</v>
      </c>
      <c r="M97">
        <v>12.8</v>
      </c>
      <c r="N97">
        <v>9</v>
      </c>
      <c r="O97" t="s">
        <v>279</v>
      </c>
    </row>
    <row r="98" spans="1:15" x14ac:dyDescent="0.25">
      <c r="A98" t="s">
        <v>202</v>
      </c>
      <c r="B98" t="s">
        <v>269</v>
      </c>
      <c r="C98" t="s">
        <v>573</v>
      </c>
      <c r="D98" t="s">
        <v>574</v>
      </c>
      <c r="E98">
        <v>2018</v>
      </c>
      <c r="J98">
        <v>2</v>
      </c>
      <c r="L98">
        <v>78.2</v>
      </c>
      <c r="M98">
        <v>12.8</v>
      </c>
      <c r="N98">
        <v>9</v>
      </c>
      <c r="O98" t="s">
        <v>279</v>
      </c>
    </row>
    <row r="99" spans="1:15" x14ac:dyDescent="0.25">
      <c r="A99" t="s">
        <v>203</v>
      </c>
      <c r="B99" t="s">
        <v>269</v>
      </c>
      <c r="C99" t="s">
        <v>575</v>
      </c>
      <c r="D99" t="s">
        <v>570</v>
      </c>
      <c r="E99">
        <v>2018</v>
      </c>
      <c r="J99">
        <v>2</v>
      </c>
      <c r="L99">
        <v>78.2</v>
      </c>
      <c r="M99">
        <v>12.8</v>
      </c>
      <c r="N99">
        <v>9</v>
      </c>
      <c r="O99" t="s">
        <v>279</v>
      </c>
    </row>
    <row r="100" spans="1:15" x14ac:dyDescent="0.25">
      <c r="A100" t="s">
        <v>204</v>
      </c>
      <c r="B100" t="s">
        <v>269</v>
      </c>
      <c r="C100" t="s">
        <v>576</v>
      </c>
      <c r="D100" t="s">
        <v>577</v>
      </c>
      <c r="E100">
        <v>2018</v>
      </c>
      <c r="J100">
        <v>3</v>
      </c>
      <c r="L100">
        <v>72</v>
      </c>
      <c r="M100">
        <v>15.2</v>
      </c>
      <c r="N100">
        <v>12.8</v>
      </c>
      <c r="O100" t="s">
        <v>279</v>
      </c>
    </row>
    <row r="101" spans="1:15" x14ac:dyDescent="0.25">
      <c r="A101" t="s">
        <v>205</v>
      </c>
      <c r="B101" t="s">
        <v>269</v>
      </c>
      <c r="C101" t="s">
        <v>576</v>
      </c>
      <c r="D101" t="s">
        <v>578</v>
      </c>
      <c r="E101">
        <v>2018</v>
      </c>
      <c r="J101">
        <v>3</v>
      </c>
      <c r="L101">
        <v>72</v>
      </c>
      <c r="M101">
        <v>15.2</v>
      </c>
      <c r="N101">
        <v>12.8</v>
      </c>
      <c r="O101" t="s">
        <v>279</v>
      </c>
    </row>
    <row r="102" spans="1:15" x14ac:dyDescent="0.25">
      <c r="A102" t="s">
        <v>206</v>
      </c>
      <c r="B102" t="s">
        <v>269</v>
      </c>
      <c r="C102" t="s">
        <v>579</v>
      </c>
      <c r="D102" t="s">
        <v>580</v>
      </c>
      <c r="E102">
        <v>2018</v>
      </c>
      <c r="J102">
        <v>3</v>
      </c>
      <c r="L102">
        <v>72</v>
      </c>
      <c r="M102">
        <v>15.2</v>
      </c>
      <c r="N102">
        <v>12.8</v>
      </c>
      <c r="O102" t="s">
        <v>279</v>
      </c>
    </row>
    <row r="103" spans="1:15" x14ac:dyDescent="0.25">
      <c r="A103" t="s">
        <v>207</v>
      </c>
      <c r="B103" t="s">
        <v>269</v>
      </c>
      <c r="C103" t="s">
        <v>581</v>
      </c>
      <c r="D103" t="s">
        <v>582</v>
      </c>
      <c r="E103">
        <v>2018</v>
      </c>
      <c r="J103">
        <v>3</v>
      </c>
      <c r="L103">
        <v>72</v>
      </c>
      <c r="M103">
        <v>15.2</v>
      </c>
      <c r="N103">
        <v>12.8</v>
      </c>
      <c r="O103" t="s">
        <v>279</v>
      </c>
    </row>
    <row r="104" spans="1:15" x14ac:dyDescent="0.25">
      <c r="A104" t="s">
        <v>208</v>
      </c>
      <c r="B104" t="s">
        <v>270</v>
      </c>
      <c r="C104" t="s">
        <v>583</v>
      </c>
      <c r="D104" t="s">
        <v>584</v>
      </c>
      <c r="E104">
        <v>2018</v>
      </c>
      <c r="J104">
        <v>1</v>
      </c>
      <c r="L104">
        <v>87.2</v>
      </c>
      <c r="M104">
        <v>8.4</v>
      </c>
      <c r="N104">
        <v>4.4000000000000004</v>
      </c>
      <c r="O104" t="s">
        <v>280</v>
      </c>
    </row>
    <row r="105" spans="1:15" x14ac:dyDescent="0.25">
      <c r="A105" t="s">
        <v>209</v>
      </c>
      <c r="B105" t="s">
        <v>270</v>
      </c>
      <c r="C105" t="s">
        <v>585</v>
      </c>
      <c r="D105" t="s">
        <v>586</v>
      </c>
      <c r="E105">
        <v>2018</v>
      </c>
      <c r="J105">
        <v>1</v>
      </c>
      <c r="L105">
        <v>87.2</v>
      </c>
      <c r="M105">
        <v>8.4</v>
      </c>
      <c r="N105">
        <v>4.4000000000000004</v>
      </c>
      <c r="O105" t="s">
        <v>280</v>
      </c>
    </row>
    <row r="106" spans="1:15" x14ac:dyDescent="0.25">
      <c r="A106" t="s">
        <v>210</v>
      </c>
      <c r="B106" t="s">
        <v>270</v>
      </c>
      <c r="C106" t="s">
        <v>587</v>
      </c>
      <c r="D106" t="s">
        <v>588</v>
      </c>
      <c r="E106">
        <v>2018</v>
      </c>
      <c r="J106">
        <v>1</v>
      </c>
      <c r="L106">
        <v>87.2</v>
      </c>
      <c r="M106">
        <v>8.4</v>
      </c>
      <c r="N106">
        <v>4.4000000000000004</v>
      </c>
      <c r="O106" t="s">
        <v>280</v>
      </c>
    </row>
    <row r="107" spans="1:15" x14ac:dyDescent="0.25">
      <c r="A107" t="s">
        <v>211</v>
      </c>
      <c r="B107" t="s">
        <v>270</v>
      </c>
      <c r="C107" t="s">
        <v>589</v>
      </c>
      <c r="D107" t="s">
        <v>590</v>
      </c>
      <c r="E107">
        <v>2018</v>
      </c>
      <c r="J107">
        <v>1</v>
      </c>
      <c r="L107">
        <v>87.2</v>
      </c>
      <c r="M107">
        <v>8.4</v>
      </c>
      <c r="N107">
        <v>4.4000000000000004</v>
      </c>
      <c r="O107" t="s">
        <v>280</v>
      </c>
    </row>
    <row r="108" spans="1:15" x14ac:dyDescent="0.25">
      <c r="A108" t="s">
        <v>212</v>
      </c>
      <c r="B108" t="s">
        <v>270</v>
      </c>
      <c r="C108" t="s">
        <v>591</v>
      </c>
      <c r="D108" t="s">
        <v>592</v>
      </c>
      <c r="E108">
        <v>2018</v>
      </c>
      <c r="J108">
        <v>2</v>
      </c>
      <c r="L108">
        <v>84</v>
      </c>
      <c r="M108">
        <v>10.4</v>
      </c>
      <c r="N108">
        <v>5.6</v>
      </c>
      <c r="O108" t="s">
        <v>278</v>
      </c>
    </row>
    <row r="109" spans="1:15" x14ac:dyDescent="0.25">
      <c r="A109" t="s">
        <v>262</v>
      </c>
      <c r="B109" t="s">
        <v>270</v>
      </c>
      <c r="C109" t="s">
        <v>593</v>
      </c>
      <c r="D109" t="s">
        <v>594</v>
      </c>
      <c r="E109">
        <v>2018</v>
      </c>
      <c r="J109">
        <v>2</v>
      </c>
      <c r="L109">
        <v>84</v>
      </c>
      <c r="M109">
        <v>10.4</v>
      </c>
      <c r="N109">
        <v>5.6</v>
      </c>
      <c r="O109" t="s">
        <v>278</v>
      </c>
    </row>
    <row r="110" spans="1:15" x14ac:dyDescent="0.25">
      <c r="A110" t="s">
        <v>213</v>
      </c>
      <c r="B110" t="s">
        <v>270</v>
      </c>
      <c r="C110" t="s">
        <v>595</v>
      </c>
      <c r="D110" t="s">
        <v>596</v>
      </c>
      <c r="E110">
        <v>2018</v>
      </c>
      <c r="J110">
        <v>2</v>
      </c>
      <c r="L110">
        <v>84</v>
      </c>
      <c r="M110">
        <v>10.4</v>
      </c>
      <c r="N110">
        <v>5.6</v>
      </c>
      <c r="O110" t="s">
        <v>278</v>
      </c>
    </row>
    <row r="111" spans="1:15" x14ac:dyDescent="0.25">
      <c r="A111" t="s">
        <v>214</v>
      </c>
      <c r="B111" t="s">
        <v>270</v>
      </c>
      <c r="C111" t="s">
        <v>597</v>
      </c>
      <c r="D111" t="s">
        <v>592</v>
      </c>
      <c r="E111">
        <v>2018</v>
      </c>
      <c r="J111">
        <v>2</v>
      </c>
      <c r="L111">
        <v>84</v>
      </c>
      <c r="M111">
        <v>10.4</v>
      </c>
      <c r="N111">
        <v>5.6</v>
      </c>
      <c r="O111" t="s">
        <v>278</v>
      </c>
    </row>
    <row r="112" spans="1:15" x14ac:dyDescent="0.25">
      <c r="A112" t="s">
        <v>215</v>
      </c>
      <c r="B112" t="s">
        <v>270</v>
      </c>
      <c r="C112" t="s">
        <v>598</v>
      </c>
      <c r="D112" t="s">
        <v>599</v>
      </c>
      <c r="E112">
        <v>2018</v>
      </c>
      <c r="J112">
        <v>3</v>
      </c>
      <c r="L112">
        <v>84.8</v>
      </c>
      <c r="M112">
        <v>9.9</v>
      </c>
      <c r="N112">
        <v>5.2</v>
      </c>
      <c r="O112" t="s">
        <v>278</v>
      </c>
    </row>
    <row r="113" spans="1:15" x14ac:dyDescent="0.25">
      <c r="A113" t="s">
        <v>216</v>
      </c>
      <c r="B113" t="s">
        <v>270</v>
      </c>
      <c r="C113" t="s">
        <v>600</v>
      </c>
      <c r="D113" t="s">
        <v>599</v>
      </c>
      <c r="E113">
        <v>2018</v>
      </c>
      <c r="J113">
        <v>3</v>
      </c>
      <c r="L113">
        <v>84.8</v>
      </c>
      <c r="M113">
        <v>9.9</v>
      </c>
      <c r="N113">
        <v>5.2</v>
      </c>
      <c r="O113" t="s">
        <v>278</v>
      </c>
    </row>
    <row r="114" spans="1:15" x14ac:dyDescent="0.25">
      <c r="A114" t="s">
        <v>217</v>
      </c>
      <c r="B114" t="s">
        <v>270</v>
      </c>
      <c r="C114" t="s">
        <v>601</v>
      </c>
      <c r="D114" t="s">
        <v>602</v>
      </c>
      <c r="E114">
        <v>2018</v>
      </c>
      <c r="J114">
        <v>3</v>
      </c>
      <c r="L114">
        <v>84.8</v>
      </c>
      <c r="M114">
        <v>9.9</v>
      </c>
      <c r="N114">
        <v>5.2</v>
      </c>
      <c r="O114" t="s">
        <v>278</v>
      </c>
    </row>
    <row r="115" spans="1:15" x14ac:dyDescent="0.25">
      <c r="A115" t="s">
        <v>263</v>
      </c>
      <c r="B115" t="s">
        <v>270</v>
      </c>
      <c r="C115" t="s">
        <v>598</v>
      </c>
      <c r="D115" t="s">
        <v>602</v>
      </c>
      <c r="E115">
        <v>2018</v>
      </c>
      <c r="J115">
        <v>3</v>
      </c>
      <c r="L115">
        <v>84.8</v>
      </c>
      <c r="M115">
        <v>9.9</v>
      </c>
      <c r="N115">
        <v>5.2</v>
      </c>
      <c r="O115" t="s">
        <v>278</v>
      </c>
    </row>
    <row r="116" spans="1:15" x14ac:dyDescent="0.25">
      <c r="A116" t="s">
        <v>218</v>
      </c>
      <c r="B116" t="s">
        <v>271</v>
      </c>
      <c r="C116" s="4" t="s">
        <v>603</v>
      </c>
      <c r="D116" s="4" t="s">
        <v>604</v>
      </c>
      <c r="E116">
        <v>2018</v>
      </c>
      <c r="J116">
        <v>1</v>
      </c>
      <c r="L116">
        <v>52.6</v>
      </c>
      <c r="M116">
        <v>24.4</v>
      </c>
      <c r="N116">
        <v>23</v>
      </c>
      <c r="O116" t="s">
        <v>276</v>
      </c>
    </row>
    <row r="117" spans="1:15" x14ac:dyDescent="0.25">
      <c r="A117" t="s">
        <v>219</v>
      </c>
      <c r="B117" t="s">
        <v>271</v>
      </c>
      <c r="C117" s="4" t="s">
        <v>603</v>
      </c>
      <c r="D117" s="4" t="s">
        <v>605</v>
      </c>
      <c r="E117">
        <v>2018</v>
      </c>
      <c r="J117">
        <v>1</v>
      </c>
      <c r="L117">
        <v>52.6</v>
      </c>
      <c r="M117">
        <v>24.4</v>
      </c>
      <c r="N117">
        <v>23</v>
      </c>
      <c r="O117" t="s">
        <v>276</v>
      </c>
    </row>
    <row r="118" spans="1:15" x14ac:dyDescent="0.25">
      <c r="A118" t="s">
        <v>220</v>
      </c>
      <c r="B118" t="s">
        <v>271</v>
      </c>
      <c r="C118" s="4" t="s">
        <v>606</v>
      </c>
      <c r="D118" s="4" t="s">
        <v>607</v>
      </c>
      <c r="E118">
        <v>2018</v>
      </c>
      <c r="J118">
        <v>1</v>
      </c>
      <c r="L118">
        <v>52.6</v>
      </c>
      <c r="M118">
        <v>24.4</v>
      </c>
      <c r="N118">
        <v>23</v>
      </c>
      <c r="O118" t="s">
        <v>276</v>
      </c>
    </row>
    <row r="119" spans="1:15" x14ac:dyDescent="0.25">
      <c r="A119" t="s">
        <v>221</v>
      </c>
      <c r="B119" t="s">
        <v>271</v>
      </c>
      <c r="C119" s="4" t="s">
        <v>608</v>
      </c>
      <c r="D119" s="4" t="s">
        <v>609</v>
      </c>
      <c r="E119">
        <v>2018</v>
      </c>
      <c r="J119">
        <v>1</v>
      </c>
      <c r="L119">
        <v>52.6</v>
      </c>
      <c r="M119">
        <v>24.4</v>
      </c>
      <c r="N119">
        <v>23</v>
      </c>
      <c r="O119" t="s">
        <v>276</v>
      </c>
    </row>
    <row r="120" spans="1:15" x14ac:dyDescent="0.25">
      <c r="A120" t="s">
        <v>222</v>
      </c>
      <c r="B120" t="s">
        <v>271</v>
      </c>
      <c r="C120" s="4" t="s">
        <v>610</v>
      </c>
      <c r="D120" s="4" t="s">
        <v>611</v>
      </c>
      <c r="E120">
        <v>2018</v>
      </c>
      <c r="J120">
        <v>2</v>
      </c>
      <c r="L120">
        <v>71.099999999999994</v>
      </c>
      <c r="M120">
        <v>13</v>
      </c>
      <c r="N120">
        <v>15.8</v>
      </c>
      <c r="O120" t="s">
        <v>279</v>
      </c>
    </row>
    <row r="121" spans="1:15" x14ac:dyDescent="0.25">
      <c r="A121" t="s">
        <v>223</v>
      </c>
      <c r="B121" t="s">
        <v>271</v>
      </c>
      <c r="C121" s="4" t="s">
        <v>612</v>
      </c>
      <c r="D121" s="4" t="s">
        <v>613</v>
      </c>
      <c r="E121">
        <v>2018</v>
      </c>
      <c r="J121">
        <v>2</v>
      </c>
      <c r="L121">
        <v>71.099999999999994</v>
      </c>
      <c r="M121">
        <v>13</v>
      </c>
      <c r="N121">
        <v>15.8</v>
      </c>
      <c r="O121" t="s">
        <v>279</v>
      </c>
    </row>
    <row r="122" spans="1:15" x14ac:dyDescent="0.25">
      <c r="A122" t="s">
        <v>224</v>
      </c>
      <c r="B122" t="s">
        <v>271</v>
      </c>
      <c r="C122" s="4" t="s">
        <v>614</v>
      </c>
      <c r="D122" s="4" t="s">
        <v>615</v>
      </c>
      <c r="E122">
        <v>2018</v>
      </c>
      <c r="J122">
        <v>2</v>
      </c>
      <c r="L122">
        <v>71.099999999999994</v>
      </c>
      <c r="M122">
        <v>13</v>
      </c>
      <c r="N122">
        <v>15.8</v>
      </c>
      <c r="O122" t="s">
        <v>279</v>
      </c>
    </row>
    <row r="123" spans="1:15" x14ac:dyDescent="0.25">
      <c r="A123" t="s">
        <v>225</v>
      </c>
      <c r="B123" t="s">
        <v>271</v>
      </c>
      <c r="C123" s="4" t="s">
        <v>616</v>
      </c>
      <c r="D123" s="4" t="s">
        <v>611</v>
      </c>
      <c r="E123">
        <v>2018</v>
      </c>
      <c r="J123">
        <v>2</v>
      </c>
      <c r="L123">
        <v>71.099999999999994</v>
      </c>
      <c r="M123">
        <v>13</v>
      </c>
      <c r="N123">
        <v>15.8</v>
      </c>
      <c r="O123" t="s">
        <v>279</v>
      </c>
    </row>
    <row r="124" spans="1:15" x14ac:dyDescent="0.25">
      <c r="A124" t="s">
        <v>226</v>
      </c>
      <c r="B124" t="s">
        <v>271</v>
      </c>
      <c r="C124" s="4" t="s">
        <v>617</v>
      </c>
      <c r="D124" s="4" t="s">
        <v>618</v>
      </c>
      <c r="E124">
        <v>2018</v>
      </c>
      <c r="J124">
        <v>3</v>
      </c>
      <c r="L124">
        <v>52.3</v>
      </c>
      <c r="M124">
        <v>24.5</v>
      </c>
      <c r="N124">
        <v>23.2</v>
      </c>
      <c r="O124" t="s">
        <v>276</v>
      </c>
    </row>
    <row r="125" spans="1:15" x14ac:dyDescent="0.25">
      <c r="A125" t="s">
        <v>227</v>
      </c>
      <c r="B125" t="s">
        <v>271</v>
      </c>
      <c r="C125" s="4" t="s">
        <v>619</v>
      </c>
      <c r="D125" s="4" t="s">
        <v>620</v>
      </c>
      <c r="E125">
        <v>2018</v>
      </c>
      <c r="J125">
        <v>3</v>
      </c>
      <c r="L125">
        <v>52.3</v>
      </c>
      <c r="M125">
        <v>24.5</v>
      </c>
      <c r="N125">
        <v>23.2</v>
      </c>
      <c r="O125" t="s">
        <v>276</v>
      </c>
    </row>
    <row r="126" spans="1:15" x14ac:dyDescent="0.25">
      <c r="A126" t="s">
        <v>228</v>
      </c>
      <c r="B126" t="s">
        <v>271</v>
      </c>
      <c r="C126" s="4" t="s">
        <v>621</v>
      </c>
      <c r="D126" s="4" t="s">
        <v>622</v>
      </c>
      <c r="E126">
        <v>2018</v>
      </c>
      <c r="J126">
        <v>3</v>
      </c>
      <c r="L126">
        <v>52.3</v>
      </c>
      <c r="M126">
        <v>24.5</v>
      </c>
      <c r="N126">
        <v>23.2</v>
      </c>
      <c r="O126" t="s">
        <v>276</v>
      </c>
    </row>
    <row r="127" spans="1:15" x14ac:dyDescent="0.25">
      <c r="A127" t="s">
        <v>229</v>
      </c>
      <c r="B127" t="s">
        <v>271</v>
      </c>
      <c r="C127" s="4" t="s">
        <v>623</v>
      </c>
      <c r="D127" s="4" t="s">
        <v>624</v>
      </c>
      <c r="E127">
        <v>2018</v>
      </c>
      <c r="J127">
        <v>3</v>
      </c>
      <c r="L127">
        <v>52.3</v>
      </c>
      <c r="M127">
        <v>24.5</v>
      </c>
      <c r="N127">
        <v>23.2</v>
      </c>
      <c r="O127" t="s">
        <v>276</v>
      </c>
    </row>
    <row r="128" spans="1:15" x14ac:dyDescent="0.25">
      <c r="A128" t="s">
        <v>230</v>
      </c>
      <c r="B128" t="s">
        <v>59</v>
      </c>
      <c r="C128" t="s">
        <v>625</v>
      </c>
      <c r="D128" t="s">
        <v>626</v>
      </c>
      <c r="E128">
        <v>2018</v>
      </c>
      <c r="J128">
        <v>1</v>
      </c>
      <c r="L128">
        <v>34.4</v>
      </c>
      <c r="M128">
        <v>33.1</v>
      </c>
      <c r="N128">
        <v>32.5</v>
      </c>
      <c r="O128" t="s">
        <v>275</v>
      </c>
    </row>
    <row r="129" spans="1:15" x14ac:dyDescent="0.25">
      <c r="A129" t="s">
        <v>231</v>
      </c>
      <c r="B129" t="s">
        <v>59</v>
      </c>
      <c r="C129" t="s">
        <v>627</v>
      </c>
      <c r="D129" t="s">
        <v>628</v>
      </c>
      <c r="E129">
        <v>2018</v>
      </c>
      <c r="J129">
        <v>1</v>
      </c>
      <c r="L129">
        <v>34.4</v>
      </c>
      <c r="M129">
        <v>33.1</v>
      </c>
      <c r="N129">
        <v>32.5</v>
      </c>
      <c r="O129" t="s">
        <v>275</v>
      </c>
    </row>
    <row r="130" spans="1:15" x14ac:dyDescent="0.25">
      <c r="A130" t="s">
        <v>232</v>
      </c>
      <c r="B130" t="s">
        <v>59</v>
      </c>
      <c r="C130" t="s">
        <v>629</v>
      </c>
      <c r="D130" t="s">
        <v>630</v>
      </c>
      <c r="E130">
        <v>2018</v>
      </c>
      <c r="J130">
        <v>1</v>
      </c>
      <c r="L130">
        <v>34.4</v>
      </c>
      <c r="M130">
        <v>33.1</v>
      </c>
      <c r="N130">
        <v>32.5</v>
      </c>
      <c r="O130" t="s">
        <v>275</v>
      </c>
    </row>
    <row r="131" spans="1:15" x14ac:dyDescent="0.25">
      <c r="A131" t="s">
        <v>233</v>
      </c>
      <c r="B131" t="s">
        <v>59</v>
      </c>
      <c r="C131" t="s">
        <v>631</v>
      </c>
      <c r="D131" t="s">
        <v>632</v>
      </c>
      <c r="E131">
        <v>2018</v>
      </c>
      <c r="J131">
        <v>1</v>
      </c>
      <c r="L131">
        <v>34.4</v>
      </c>
      <c r="M131">
        <v>33.1</v>
      </c>
      <c r="N131">
        <v>32.5</v>
      </c>
      <c r="O131" t="s">
        <v>275</v>
      </c>
    </row>
    <row r="132" spans="1:15" x14ac:dyDescent="0.25">
      <c r="A132" t="s">
        <v>234</v>
      </c>
      <c r="B132" t="s">
        <v>59</v>
      </c>
      <c r="C132" t="s">
        <v>633</v>
      </c>
      <c r="D132" t="s">
        <v>634</v>
      </c>
      <c r="E132">
        <v>2018</v>
      </c>
      <c r="J132">
        <v>2</v>
      </c>
      <c r="L132">
        <v>34.1</v>
      </c>
      <c r="M132">
        <v>28.5</v>
      </c>
      <c r="N132">
        <v>37.4</v>
      </c>
      <c r="O132" t="s">
        <v>275</v>
      </c>
    </row>
    <row r="133" spans="1:15" x14ac:dyDescent="0.25">
      <c r="A133" t="s">
        <v>235</v>
      </c>
      <c r="B133" t="s">
        <v>59</v>
      </c>
      <c r="C133" t="s">
        <v>633</v>
      </c>
      <c r="D133" t="s">
        <v>635</v>
      </c>
      <c r="E133">
        <v>2018</v>
      </c>
      <c r="J133">
        <v>2</v>
      </c>
      <c r="L133">
        <v>34.1</v>
      </c>
      <c r="M133">
        <v>28.5</v>
      </c>
      <c r="N133">
        <v>37.4</v>
      </c>
      <c r="O133" t="s">
        <v>275</v>
      </c>
    </row>
    <row r="134" spans="1:15" x14ac:dyDescent="0.25">
      <c r="A134" t="s">
        <v>236</v>
      </c>
      <c r="B134" t="s">
        <v>59</v>
      </c>
      <c r="C134" t="s">
        <v>636</v>
      </c>
      <c r="D134" t="s">
        <v>637</v>
      </c>
      <c r="E134">
        <v>2018</v>
      </c>
      <c r="J134">
        <v>2</v>
      </c>
      <c r="L134">
        <v>34.1</v>
      </c>
      <c r="M134">
        <v>28.5</v>
      </c>
      <c r="N134">
        <v>37.4</v>
      </c>
      <c r="O134" t="s">
        <v>275</v>
      </c>
    </row>
    <row r="135" spans="1:15" x14ac:dyDescent="0.25">
      <c r="A135" t="s">
        <v>237</v>
      </c>
      <c r="B135" t="s">
        <v>59</v>
      </c>
      <c r="C135" t="s">
        <v>627</v>
      </c>
      <c r="D135" t="s">
        <v>638</v>
      </c>
      <c r="E135">
        <v>2018</v>
      </c>
      <c r="J135">
        <v>2</v>
      </c>
      <c r="L135">
        <v>34.1</v>
      </c>
      <c r="M135">
        <v>28.5</v>
      </c>
      <c r="N135">
        <v>37.4</v>
      </c>
      <c r="O135" t="s">
        <v>275</v>
      </c>
    </row>
    <row r="136" spans="1:15" x14ac:dyDescent="0.25">
      <c r="A136" t="s">
        <v>238</v>
      </c>
      <c r="B136" t="s">
        <v>272</v>
      </c>
      <c r="C136" t="s">
        <v>639</v>
      </c>
      <c r="D136" t="s">
        <v>640</v>
      </c>
      <c r="E136">
        <v>2018</v>
      </c>
      <c r="J136">
        <v>1</v>
      </c>
      <c r="L136">
        <v>34.799999999999997</v>
      </c>
      <c r="M136">
        <v>31.1</v>
      </c>
      <c r="N136">
        <v>34.1</v>
      </c>
      <c r="O136" t="s">
        <v>275</v>
      </c>
    </row>
    <row r="137" spans="1:15" x14ac:dyDescent="0.25">
      <c r="A137" t="s">
        <v>239</v>
      </c>
      <c r="B137" t="s">
        <v>272</v>
      </c>
      <c r="C137" t="s">
        <v>641</v>
      </c>
      <c r="D137" t="s">
        <v>642</v>
      </c>
      <c r="E137">
        <v>2018</v>
      </c>
      <c r="J137">
        <v>1</v>
      </c>
      <c r="L137">
        <v>34.799999999999997</v>
      </c>
      <c r="M137">
        <v>31.1</v>
      </c>
      <c r="N137">
        <v>34.1</v>
      </c>
      <c r="O137" t="s">
        <v>275</v>
      </c>
    </row>
    <row r="138" spans="1:15" x14ac:dyDescent="0.25">
      <c r="A138" t="s">
        <v>240</v>
      </c>
      <c r="B138" t="s">
        <v>272</v>
      </c>
      <c r="C138" t="s">
        <v>643</v>
      </c>
      <c r="D138" t="s">
        <v>644</v>
      </c>
      <c r="E138">
        <v>2018</v>
      </c>
      <c r="J138">
        <v>1</v>
      </c>
      <c r="L138">
        <v>34.799999999999997</v>
      </c>
      <c r="M138">
        <v>31.1</v>
      </c>
      <c r="N138">
        <v>34.1</v>
      </c>
      <c r="O138" t="s">
        <v>275</v>
      </c>
    </row>
    <row r="139" spans="1:15" x14ac:dyDescent="0.25">
      <c r="A139" t="s">
        <v>241</v>
      </c>
      <c r="B139" t="s">
        <v>272</v>
      </c>
      <c r="C139" t="s">
        <v>645</v>
      </c>
      <c r="D139" t="s">
        <v>646</v>
      </c>
      <c r="E139">
        <v>2018</v>
      </c>
      <c r="J139">
        <v>1</v>
      </c>
      <c r="L139">
        <v>34.799999999999997</v>
      </c>
      <c r="M139">
        <v>31.1</v>
      </c>
      <c r="N139">
        <v>34.1</v>
      </c>
      <c r="O139" t="s">
        <v>275</v>
      </c>
    </row>
    <row r="140" spans="1:15" x14ac:dyDescent="0.25">
      <c r="A140" t="s">
        <v>264</v>
      </c>
      <c r="B140" t="s">
        <v>273</v>
      </c>
      <c r="C140" t="s">
        <v>647</v>
      </c>
      <c r="D140" t="s">
        <v>648</v>
      </c>
      <c r="E140">
        <v>2018</v>
      </c>
      <c r="J140">
        <v>1</v>
      </c>
      <c r="L140">
        <v>46.4</v>
      </c>
      <c r="M140">
        <v>28.8</v>
      </c>
      <c r="N140">
        <v>24.9</v>
      </c>
      <c r="O140" t="s">
        <v>276</v>
      </c>
    </row>
    <row r="141" spans="1:15" x14ac:dyDescent="0.25">
      <c r="A141" t="s">
        <v>242</v>
      </c>
      <c r="B141" t="s">
        <v>273</v>
      </c>
      <c r="C141" t="s">
        <v>649</v>
      </c>
      <c r="D141" t="s">
        <v>650</v>
      </c>
      <c r="E141">
        <v>2018</v>
      </c>
      <c r="J141">
        <v>1</v>
      </c>
      <c r="L141">
        <v>46.4</v>
      </c>
      <c r="M141">
        <v>28.8</v>
      </c>
      <c r="N141">
        <v>24.9</v>
      </c>
      <c r="O141" t="s">
        <v>276</v>
      </c>
    </row>
    <row r="142" spans="1:15" x14ac:dyDescent="0.25">
      <c r="A142" t="s">
        <v>243</v>
      </c>
      <c r="B142" t="s">
        <v>273</v>
      </c>
      <c r="C142" t="s">
        <v>651</v>
      </c>
      <c r="D142" t="s">
        <v>652</v>
      </c>
      <c r="E142">
        <v>2018</v>
      </c>
      <c r="J142">
        <v>1</v>
      </c>
      <c r="L142">
        <v>46.4</v>
      </c>
      <c r="M142">
        <v>28.8</v>
      </c>
      <c r="N142">
        <v>24.9</v>
      </c>
      <c r="O142" t="s">
        <v>276</v>
      </c>
    </row>
    <row r="143" spans="1:15" x14ac:dyDescent="0.25">
      <c r="A143" t="s">
        <v>244</v>
      </c>
      <c r="B143" t="s">
        <v>273</v>
      </c>
      <c r="C143" t="s">
        <v>653</v>
      </c>
      <c r="D143" t="s">
        <v>654</v>
      </c>
      <c r="E143">
        <v>2018</v>
      </c>
      <c r="J143">
        <v>1</v>
      </c>
      <c r="L143">
        <v>46.4</v>
      </c>
      <c r="M143">
        <v>28.8</v>
      </c>
      <c r="N143">
        <v>24.9</v>
      </c>
      <c r="O143" t="s">
        <v>276</v>
      </c>
    </row>
    <row r="144" spans="1:15" x14ac:dyDescent="0.25">
      <c r="A144" t="s">
        <v>245</v>
      </c>
      <c r="B144" t="s">
        <v>273</v>
      </c>
      <c r="C144" t="s">
        <v>655</v>
      </c>
      <c r="D144" t="s">
        <v>656</v>
      </c>
      <c r="E144">
        <v>2018</v>
      </c>
      <c r="J144">
        <v>2</v>
      </c>
      <c r="L144">
        <v>39.799999999999997</v>
      </c>
      <c r="M144">
        <v>34.799999999999997</v>
      </c>
      <c r="N144">
        <v>25.4</v>
      </c>
      <c r="O144" t="s">
        <v>275</v>
      </c>
    </row>
    <row r="145" spans="1:15" x14ac:dyDescent="0.25">
      <c r="A145" t="s">
        <v>246</v>
      </c>
      <c r="B145" t="s">
        <v>273</v>
      </c>
      <c r="C145" t="s">
        <v>657</v>
      </c>
      <c r="D145" t="s">
        <v>658</v>
      </c>
      <c r="E145">
        <v>2018</v>
      </c>
      <c r="J145">
        <v>2</v>
      </c>
      <c r="L145">
        <v>39.799999999999997</v>
      </c>
      <c r="M145">
        <v>34.799999999999997</v>
      </c>
      <c r="N145">
        <v>25.4</v>
      </c>
      <c r="O145" t="s">
        <v>275</v>
      </c>
    </row>
    <row r="146" spans="1:15" x14ac:dyDescent="0.25">
      <c r="A146" t="s">
        <v>247</v>
      </c>
      <c r="B146" t="s">
        <v>273</v>
      </c>
      <c r="C146" t="s">
        <v>659</v>
      </c>
      <c r="D146" t="s">
        <v>660</v>
      </c>
      <c r="E146">
        <v>2018</v>
      </c>
      <c r="J146">
        <v>2</v>
      </c>
      <c r="L146">
        <v>39.799999999999997</v>
      </c>
      <c r="M146">
        <v>34.799999999999997</v>
      </c>
      <c r="N146">
        <v>25.4</v>
      </c>
      <c r="O146" t="s">
        <v>275</v>
      </c>
    </row>
    <row r="147" spans="1:15" x14ac:dyDescent="0.25">
      <c r="A147" t="s">
        <v>248</v>
      </c>
      <c r="B147" t="s">
        <v>273</v>
      </c>
      <c r="C147" t="s">
        <v>661</v>
      </c>
      <c r="D147" t="s">
        <v>662</v>
      </c>
      <c r="E147">
        <v>2018</v>
      </c>
      <c r="J147">
        <v>2</v>
      </c>
      <c r="L147">
        <v>39.799999999999997</v>
      </c>
      <c r="M147">
        <v>34.799999999999997</v>
      </c>
      <c r="N147">
        <v>25.4</v>
      </c>
      <c r="O147" t="s">
        <v>275</v>
      </c>
    </row>
    <row r="148" spans="1:15" x14ac:dyDescent="0.25">
      <c r="A148" t="s">
        <v>249</v>
      </c>
      <c r="B148" t="s">
        <v>272</v>
      </c>
      <c r="C148" t="s">
        <v>663</v>
      </c>
      <c r="D148" t="s">
        <v>664</v>
      </c>
      <c r="E148">
        <v>2018</v>
      </c>
      <c r="J148">
        <v>2</v>
      </c>
      <c r="L148">
        <v>53.8</v>
      </c>
      <c r="M148">
        <v>28.9</v>
      </c>
      <c r="N148">
        <v>17.3</v>
      </c>
      <c r="O148" t="s">
        <v>276</v>
      </c>
    </row>
    <row r="149" spans="1:15" x14ac:dyDescent="0.25">
      <c r="A149" t="s">
        <v>265</v>
      </c>
      <c r="B149" t="s">
        <v>272</v>
      </c>
      <c r="C149" t="s">
        <v>665</v>
      </c>
      <c r="D149" t="s">
        <v>666</v>
      </c>
      <c r="E149">
        <v>2018</v>
      </c>
      <c r="J149">
        <v>2</v>
      </c>
      <c r="L149">
        <v>53.8</v>
      </c>
      <c r="M149">
        <v>28.9</v>
      </c>
      <c r="N149">
        <v>17.3</v>
      </c>
      <c r="O149" t="s">
        <v>276</v>
      </c>
    </row>
    <row r="150" spans="1:15" x14ac:dyDescent="0.25">
      <c r="A150" t="s">
        <v>266</v>
      </c>
      <c r="B150" t="s">
        <v>272</v>
      </c>
      <c r="C150" t="s">
        <v>667</v>
      </c>
      <c r="D150" t="s">
        <v>668</v>
      </c>
      <c r="E150">
        <v>2018</v>
      </c>
      <c r="J150">
        <v>2</v>
      </c>
      <c r="L150">
        <v>53.8</v>
      </c>
      <c r="M150">
        <v>28.9</v>
      </c>
      <c r="N150">
        <v>17.3</v>
      </c>
      <c r="O150" t="s">
        <v>276</v>
      </c>
    </row>
    <row r="151" spans="1:15" x14ac:dyDescent="0.25">
      <c r="A151" t="s">
        <v>267</v>
      </c>
      <c r="B151" t="s">
        <v>272</v>
      </c>
      <c r="C151" t="s">
        <v>669</v>
      </c>
      <c r="D151" t="s">
        <v>670</v>
      </c>
      <c r="E151">
        <v>2018</v>
      </c>
      <c r="J151">
        <v>2</v>
      </c>
      <c r="L151">
        <v>53.8</v>
      </c>
      <c r="M151">
        <v>28.9</v>
      </c>
      <c r="N151">
        <v>17.3</v>
      </c>
      <c r="O151" t="s">
        <v>276</v>
      </c>
    </row>
    <row r="152" spans="1:15" x14ac:dyDescent="0.25">
      <c r="A152" t="s">
        <v>250</v>
      </c>
      <c r="B152" t="s">
        <v>274</v>
      </c>
      <c r="C152" t="s">
        <v>671</v>
      </c>
      <c r="D152" t="s">
        <v>672</v>
      </c>
      <c r="E152">
        <v>2018</v>
      </c>
      <c r="J152">
        <v>1</v>
      </c>
      <c r="L152">
        <v>55.9</v>
      </c>
      <c r="M152">
        <v>23.3</v>
      </c>
      <c r="N152">
        <v>20.8</v>
      </c>
      <c r="O152" t="s">
        <v>276</v>
      </c>
    </row>
    <row r="153" spans="1:15" x14ac:dyDescent="0.25">
      <c r="A153" t="s">
        <v>251</v>
      </c>
      <c r="B153" t="s">
        <v>274</v>
      </c>
      <c r="C153" t="s">
        <v>673</v>
      </c>
      <c r="D153" t="s">
        <v>674</v>
      </c>
      <c r="E153">
        <v>2018</v>
      </c>
      <c r="J153">
        <v>1</v>
      </c>
      <c r="L153">
        <v>55.9</v>
      </c>
      <c r="M153">
        <v>23.3</v>
      </c>
      <c r="N153">
        <v>20.8</v>
      </c>
      <c r="O153" t="s">
        <v>276</v>
      </c>
    </row>
    <row r="154" spans="1:15" x14ac:dyDescent="0.25">
      <c r="A154" t="s">
        <v>252</v>
      </c>
      <c r="B154" t="s">
        <v>274</v>
      </c>
      <c r="C154" t="s">
        <v>675</v>
      </c>
      <c r="D154" t="s">
        <v>637</v>
      </c>
      <c r="E154">
        <v>2018</v>
      </c>
      <c r="J154">
        <v>1</v>
      </c>
      <c r="L154">
        <v>55.9</v>
      </c>
      <c r="M154">
        <v>23.3</v>
      </c>
      <c r="N154">
        <v>20.8</v>
      </c>
      <c r="O154" t="s">
        <v>276</v>
      </c>
    </row>
    <row r="155" spans="1:15" x14ac:dyDescent="0.25">
      <c r="A155" t="s">
        <v>253</v>
      </c>
      <c r="B155" t="s">
        <v>274</v>
      </c>
      <c r="C155" t="s">
        <v>671</v>
      </c>
      <c r="D155" t="s">
        <v>637</v>
      </c>
      <c r="E155">
        <v>2018</v>
      </c>
      <c r="J155">
        <v>1</v>
      </c>
      <c r="L155">
        <v>55.9</v>
      </c>
      <c r="M155">
        <v>23.3</v>
      </c>
      <c r="N155">
        <v>20.8</v>
      </c>
      <c r="O155" t="s">
        <v>276</v>
      </c>
    </row>
    <row r="156" spans="1:15" x14ac:dyDescent="0.25">
      <c r="A156" t="s">
        <v>254</v>
      </c>
      <c r="B156" t="s">
        <v>274</v>
      </c>
      <c r="C156" t="s">
        <v>676</v>
      </c>
      <c r="D156" t="s">
        <v>677</v>
      </c>
      <c r="E156">
        <v>2018</v>
      </c>
      <c r="J156">
        <v>2</v>
      </c>
      <c r="L156">
        <v>74.599999999999994</v>
      </c>
      <c r="M156">
        <v>12</v>
      </c>
      <c r="N156">
        <v>13.4</v>
      </c>
      <c r="O156" t="s">
        <v>279</v>
      </c>
    </row>
    <row r="157" spans="1:15" x14ac:dyDescent="0.25">
      <c r="A157" t="s">
        <v>255</v>
      </c>
      <c r="B157" t="s">
        <v>274</v>
      </c>
      <c r="C157" t="s">
        <v>678</v>
      </c>
      <c r="D157" t="s">
        <v>679</v>
      </c>
      <c r="E157">
        <v>2018</v>
      </c>
      <c r="J157">
        <v>2</v>
      </c>
      <c r="L157">
        <v>74.599999999999994</v>
      </c>
      <c r="M157">
        <v>12</v>
      </c>
      <c r="N157">
        <v>13.4</v>
      </c>
      <c r="O157" t="s">
        <v>279</v>
      </c>
    </row>
    <row r="158" spans="1:15" x14ac:dyDescent="0.25">
      <c r="A158" t="s">
        <v>256</v>
      </c>
      <c r="B158" t="s">
        <v>274</v>
      </c>
      <c r="C158" t="s">
        <v>680</v>
      </c>
      <c r="D158" t="s">
        <v>681</v>
      </c>
      <c r="E158">
        <v>2018</v>
      </c>
      <c r="J158">
        <v>2</v>
      </c>
      <c r="L158">
        <v>74.599999999999994</v>
      </c>
      <c r="M158">
        <v>12</v>
      </c>
      <c r="N158">
        <v>13.4</v>
      </c>
      <c r="O158" t="s">
        <v>279</v>
      </c>
    </row>
    <row r="159" spans="1:15" x14ac:dyDescent="0.25">
      <c r="A159" t="s">
        <v>257</v>
      </c>
      <c r="B159" t="s">
        <v>274</v>
      </c>
      <c r="C159" t="s">
        <v>680</v>
      </c>
      <c r="D159" t="s">
        <v>677</v>
      </c>
      <c r="E159">
        <v>2018</v>
      </c>
      <c r="J159">
        <v>2</v>
      </c>
      <c r="L159">
        <v>74.599999999999994</v>
      </c>
      <c r="M159">
        <v>12</v>
      </c>
      <c r="N159">
        <v>13.4</v>
      </c>
      <c r="O159" t="s">
        <v>279</v>
      </c>
    </row>
    <row r="160" spans="1:15" x14ac:dyDescent="0.25">
      <c r="A160" t="s">
        <v>258</v>
      </c>
      <c r="B160" t="s">
        <v>274</v>
      </c>
      <c r="C160" t="s">
        <v>682</v>
      </c>
      <c r="D160" t="s">
        <v>683</v>
      </c>
      <c r="E160">
        <v>2018</v>
      </c>
      <c r="J160">
        <v>3</v>
      </c>
      <c r="L160">
        <v>74.400000000000006</v>
      </c>
      <c r="M160">
        <v>14.4</v>
      </c>
      <c r="N160">
        <v>11.2</v>
      </c>
      <c r="O160" t="s">
        <v>279</v>
      </c>
    </row>
    <row r="161" spans="1:15" x14ac:dyDescent="0.25">
      <c r="A161" t="s">
        <v>259</v>
      </c>
      <c r="B161" t="s">
        <v>274</v>
      </c>
      <c r="C161" t="s">
        <v>684</v>
      </c>
      <c r="D161" t="s">
        <v>685</v>
      </c>
      <c r="E161">
        <v>2018</v>
      </c>
      <c r="J161">
        <v>3</v>
      </c>
      <c r="L161">
        <v>74.400000000000006</v>
      </c>
      <c r="M161">
        <v>14.4</v>
      </c>
      <c r="N161">
        <v>11.2</v>
      </c>
      <c r="O161" t="s">
        <v>279</v>
      </c>
    </row>
    <row r="162" spans="1:15" x14ac:dyDescent="0.25">
      <c r="A162" t="s">
        <v>260</v>
      </c>
      <c r="B162" t="s">
        <v>274</v>
      </c>
      <c r="C162" t="s">
        <v>686</v>
      </c>
      <c r="D162" t="s">
        <v>687</v>
      </c>
      <c r="E162">
        <v>2018</v>
      </c>
      <c r="J162">
        <v>3</v>
      </c>
      <c r="L162">
        <v>74.400000000000006</v>
      </c>
      <c r="M162">
        <v>14.4</v>
      </c>
      <c r="N162">
        <v>11.2</v>
      </c>
      <c r="O162" t="s">
        <v>279</v>
      </c>
    </row>
    <row r="163" spans="1:15" x14ac:dyDescent="0.25">
      <c r="A163" t="s">
        <v>261</v>
      </c>
      <c r="B163" t="s">
        <v>274</v>
      </c>
      <c r="C163" t="s">
        <v>682</v>
      </c>
      <c r="D163" t="s">
        <v>688</v>
      </c>
      <c r="E163">
        <v>2018</v>
      </c>
      <c r="J163">
        <v>3</v>
      </c>
      <c r="L163">
        <v>74.400000000000006</v>
      </c>
      <c r="M163">
        <v>14.4</v>
      </c>
      <c r="N163">
        <v>11.2</v>
      </c>
      <c r="O163" t="s">
        <v>279</v>
      </c>
    </row>
    <row r="164" spans="1:15" x14ac:dyDescent="0.25">
      <c r="A164" t="s">
        <v>392</v>
      </c>
      <c r="B164" t="s">
        <v>59</v>
      </c>
      <c r="C164" t="s">
        <v>689</v>
      </c>
      <c r="D164" t="s">
        <v>690</v>
      </c>
      <c r="E164">
        <v>2019</v>
      </c>
      <c r="J164">
        <v>3</v>
      </c>
      <c r="L164">
        <v>36.6</v>
      </c>
      <c r="M164">
        <v>30.2</v>
      </c>
      <c r="N164">
        <v>33.200000000000003</v>
      </c>
      <c r="O164" t="s">
        <v>446</v>
      </c>
    </row>
    <row r="165" spans="1:15" x14ac:dyDescent="0.25">
      <c r="A165" t="s">
        <v>393</v>
      </c>
      <c r="B165" t="s">
        <v>59</v>
      </c>
      <c r="E165">
        <v>2019</v>
      </c>
      <c r="J165">
        <v>3</v>
      </c>
      <c r="L165">
        <v>36.6</v>
      </c>
      <c r="M165">
        <v>30.2</v>
      </c>
      <c r="N165">
        <v>33.200000000000003</v>
      </c>
      <c r="O165" t="s">
        <v>446</v>
      </c>
    </row>
    <row r="166" spans="1:15" x14ac:dyDescent="0.25">
      <c r="A166" t="s">
        <v>394</v>
      </c>
      <c r="B166" t="s">
        <v>59</v>
      </c>
      <c r="E166">
        <v>2019</v>
      </c>
      <c r="J166">
        <v>3</v>
      </c>
      <c r="L166">
        <v>36.6</v>
      </c>
      <c r="M166">
        <v>30.2</v>
      </c>
      <c r="N166">
        <v>33.200000000000003</v>
      </c>
      <c r="O166" t="s">
        <v>446</v>
      </c>
    </row>
    <row r="167" spans="1:15" x14ac:dyDescent="0.25">
      <c r="A167" t="s">
        <v>395</v>
      </c>
      <c r="B167" t="s">
        <v>59</v>
      </c>
      <c r="C167" t="s">
        <v>691</v>
      </c>
      <c r="D167" t="s">
        <v>692</v>
      </c>
      <c r="E167">
        <v>2019</v>
      </c>
      <c r="J167">
        <v>4</v>
      </c>
      <c r="L167">
        <v>42.8</v>
      </c>
      <c r="M167">
        <v>28.1</v>
      </c>
      <c r="N167">
        <v>29</v>
      </c>
      <c r="O167" t="s">
        <v>446</v>
      </c>
    </row>
    <row r="168" spans="1:15" x14ac:dyDescent="0.25">
      <c r="A168" t="s">
        <v>396</v>
      </c>
      <c r="B168" t="s">
        <v>59</v>
      </c>
      <c r="E168">
        <v>2019</v>
      </c>
      <c r="J168">
        <v>4</v>
      </c>
      <c r="L168">
        <v>42.8</v>
      </c>
      <c r="M168">
        <v>28.1</v>
      </c>
      <c r="N168">
        <v>29</v>
      </c>
      <c r="O168" t="s">
        <v>446</v>
      </c>
    </row>
    <row r="169" spans="1:15" x14ac:dyDescent="0.25">
      <c r="A169" t="s">
        <v>397</v>
      </c>
      <c r="B169" t="s">
        <v>59</v>
      </c>
      <c r="E169">
        <v>2019</v>
      </c>
      <c r="J169">
        <v>4</v>
      </c>
      <c r="L169">
        <v>42.8</v>
      </c>
      <c r="M169">
        <v>28.1</v>
      </c>
      <c r="N169">
        <v>29</v>
      </c>
      <c r="O169" t="s">
        <v>446</v>
      </c>
    </row>
    <row r="170" spans="1:15" x14ac:dyDescent="0.25">
      <c r="A170" t="s">
        <v>398</v>
      </c>
      <c r="B170" t="s">
        <v>273</v>
      </c>
      <c r="C170" t="s">
        <v>693</v>
      </c>
      <c r="D170" t="s">
        <v>694</v>
      </c>
      <c r="E170">
        <v>2019</v>
      </c>
      <c r="J170">
        <v>3</v>
      </c>
      <c r="L170">
        <v>25.4</v>
      </c>
      <c r="M170">
        <v>34.1</v>
      </c>
      <c r="N170">
        <v>40.5</v>
      </c>
      <c r="O170" t="s">
        <v>446</v>
      </c>
    </row>
    <row r="171" spans="1:15" x14ac:dyDescent="0.25">
      <c r="A171" t="s">
        <v>399</v>
      </c>
      <c r="B171" t="s">
        <v>273</v>
      </c>
      <c r="E171">
        <v>2019</v>
      </c>
      <c r="J171">
        <v>3</v>
      </c>
      <c r="L171">
        <v>25.4</v>
      </c>
      <c r="M171">
        <v>34.1</v>
      </c>
      <c r="N171">
        <v>40.5</v>
      </c>
      <c r="O171" t="s">
        <v>446</v>
      </c>
    </row>
    <row r="172" spans="1:15" x14ac:dyDescent="0.25">
      <c r="A172" t="s">
        <v>400</v>
      </c>
      <c r="B172" t="s">
        <v>273</v>
      </c>
      <c r="E172">
        <v>2019</v>
      </c>
      <c r="J172">
        <v>3</v>
      </c>
      <c r="L172">
        <v>25.4</v>
      </c>
      <c r="M172">
        <v>34.1</v>
      </c>
      <c r="N172">
        <v>40.5</v>
      </c>
      <c r="O172" t="s">
        <v>446</v>
      </c>
    </row>
    <row r="173" spans="1:15" x14ac:dyDescent="0.25">
      <c r="A173" t="s">
        <v>401</v>
      </c>
      <c r="B173" t="s">
        <v>273</v>
      </c>
      <c r="C173" t="s">
        <v>695</v>
      </c>
      <c r="D173" t="s">
        <v>696</v>
      </c>
      <c r="E173">
        <v>2019</v>
      </c>
      <c r="J173">
        <v>4</v>
      </c>
      <c r="L173">
        <v>43.1</v>
      </c>
      <c r="M173">
        <v>34.1</v>
      </c>
      <c r="N173">
        <v>22.8</v>
      </c>
      <c r="O173" t="s">
        <v>446</v>
      </c>
    </row>
    <row r="174" spans="1:15" x14ac:dyDescent="0.25">
      <c r="A174" t="s">
        <v>402</v>
      </c>
      <c r="B174" t="s">
        <v>273</v>
      </c>
      <c r="E174">
        <v>2019</v>
      </c>
      <c r="J174">
        <v>4</v>
      </c>
      <c r="L174">
        <v>43.1</v>
      </c>
      <c r="M174">
        <v>34.1</v>
      </c>
      <c r="N174">
        <v>22.8</v>
      </c>
      <c r="O174" t="s">
        <v>446</v>
      </c>
    </row>
    <row r="175" spans="1:15" x14ac:dyDescent="0.25">
      <c r="A175" t="s">
        <v>403</v>
      </c>
      <c r="B175" t="s">
        <v>273</v>
      </c>
      <c r="E175">
        <v>2019</v>
      </c>
      <c r="J175">
        <v>4</v>
      </c>
      <c r="L175">
        <v>43.1</v>
      </c>
      <c r="M175">
        <v>34.1</v>
      </c>
      <c r="N175">
        <v>22.8</v>
      </c>
      <c r="O175" t="s">
        <v>446</v>
      </c>
    </row>
    <row r="176" spans="1:15" x14ac:dyDescent="0.25">
      <c r="A176" t="s">
        <v>404</v>
      </c>
      <c r="B176" t="s">
        <v>272</v>
      </c>
      <c r="C176" t="s">
        <v>697</v>
      </c>
      <c r="D176" t="s">
        <v>698</v>
      </c>
      <c r="E176">
        <v>2019</v>
      </c>
      <c r="J176">
        <v>3</v>
      </c>
      <c r="L176">
        <v>42.2</v>
      </c>
      <c r="M176">
        <v>30.2</v>
      </c>
      <c r="N176">
        <v>27.6</v>
      </c>
      <c r="O176" t="s">
        <v>446</v>
      </c>
    </row>
    <row r="177" spans="1:15" x14ac:dyDescent="0.25">
      <c r="A177" t="s">
        <v>405</v>
      </c>
      <c r="B177" t="s">
        <v>272</v>
      </c>
      <c r="E177">
        <v>2019</v>
      </c>
      <c r="J177">
        <v>3</v>
      </c>
      <c r="L177">
        <v>42.2</v>
      </c>
      <c r="M177">
        <v>30.2</v>
      </c>
      <c r="N177">
        <v>27.6</v>
      </c>
      <c r="O177" t="s">
        <v>446</v>
      </c>
    </row>
    <row r="178" spans="1:15" x14ac:dyDescent="0.25">
      <c r="A178" t="s">
        <v>406</v>
      </c>
      <c r="B178" t="s">
        <v>272</v>
      </c>
      <c r="E178">
        <v>2019</v>
      </c>
      <c r="J178">
        <v>3</v>
      </c>
      <c r="L178">
        <v>42.2</v>
      </c>
      <c r="M178">
        <v>30.2</v>
      </c>
      <c r="N178">
        <v>27.6</v>
      </c>
      <c r="O178" t="s">
        <v>446</v>
      </c>
    </row>
    <row r="179" spans="1:15" x14ac:dyDescent="0.25">
      <c r="A179" t="s">
        <v>407</v>
      </c>
      <c r="B179" t="s">
        <v>272</v>
      </c>
      <c r="C179" t="s">
        <v>699</v>
      </c>
      <c r="D179" t="s">
        <v>700</v>
      </c>
      <c r="E179">
        <v>2019</v>
      </c>
      <c r="J179">
        <v>4</v>
      </c>
      <c r="L179">
        <v>81.400000000000006</v>
      </c>
      <c r="M179">
        <v>13.7</v>
      </c>
      <c r="N179">
        <v>4.9000000000000004</v>
      </c>
      <c r="O179" t="s">
        <v>279</v>
      </c>
    </row>
    <row r="180" spans="1:15" x14ac:dyDescent="0.25">
      <c r="A180" t="s">
        <v>408</v>
      </c>
      <c r="B180" t="s">
        <v>272</v>
      </c>
      <c r="E180">
        <v>2019</v>
      </c>
      <c r="J180">
        <v>4</v>
      </c>
      <c r="L180">
        <v>81.400000000000006</v>
      </c>
      <c r="M180">
        <v>13.7</v>
      </c>
      <c r="N180">
        <v>4.9000000000000004</v>
      </c>
      <c r="O180" t="s">
        <v>279</v>
      </c>
    </row>
    <row r="181" spans="1:15" x14ac:dyDescent="0.25">
      <c r="A181" t="s">
        <v>409</v>
      </c>
      <c r="B181" t="s">
        <v>272</v>
      </c>
      <c r="E181">
        <v>2019</v>
      </c>
      <c r="J181">
        <v>4</v>
      </c>
      <c r="L181">
        <v>81.400000000000006</v>
      </c>
      <c r="M181">
        <v>13.7</v>
      </c>
      <c r="N181">
        <v>4.9000000000000004</v>
      </c>
      <c r="O181" t="s">
        <v>279</v>
      </c>
    </row>
    <row r="182" spans="1:15" x14ac:dyDescent="0.25">
      <c r="A182" t="s">
        <v>410</v>
      </c>
      <c r="B182" t="s">
        <v>445</v>
      </c>
      <c r="C182" t="s">
        <v>701</v>
      </c>
      <c r="D182" t="s">
        <v>702</v>
      </c>
      <c r="E182">
        <v>2019</v>
      </c>
      <c r="J182">
        <v>1</v>
      </c>
      <c r="L182">
        <v>43.1</v>
      </c>
      <c r="M182">
        <v>34.1</v>
      </c>
      <c r="N182">
        <v>22.8</v>
      </c>
      <c r="O182" t="s">
        <v>446</v>
      </c>
    </row>
    <row r="183" spans="1:15" x14ac:dyDescent="0.25">
      <c r="A183" t="s">
        <v>411</v>
      </c>
      <c r="B183" t="s">
        <v>445</v>
      </c>
      <c r="E183">
        <v>2019</v>
      </c>
      <c r="J183">
        <v>1</v>
      </c>
      <c r="L183">
        <v>43.1</v>
      </c>
      <c r="M183">
        <v>34.1</v>
      </c>
      <c r="N183">
        <v>22.8</v>
      </c>
      <c r="O183" t="s">
        <v>446</v>
      </c>
    </row>
    <row r="184" spans="1:15" x14ac:dyDescent="0.25">
      <c r="A184" t="s">
        <v>412</v>
      </c>
      <c r="B184" t="s">
        <v>445</v>
      </c>
      <c r="E184">
        <v>2019</v>
      </c>
      <c r="J184">
        <v>1</v>
      </c>
      <c r="L184">
        <v>43.1</v>
      </c>
      <c r="M184">
        <v>34.1</v>
      </c>
      <c r="N184">
        <v>22.8</v>
      </c>
      <c r="O184" t="s">
        <v>446</v>
      </c>
    </row>
    <row r="185" spans="1:15" x14ac:dyDescent="0.25">
      <c r="A185" t="s">
        <v>413</v>
      </c>
      <c r="B185" t="s">
        <v>445</v>
      </c>
      <c r="C185" t="s">
        <v>703</v>
      </c>
      <c r="D185" t="s">
        <v>704</v>
      </c>
      <c r="E185">
        <v>2019</v>
      </c>
      <c r="J185">
        <v>2</v>
      </c>
      <c r="L185">
        <v>54.9</v>
      </c>
      <c r="M185">
        <v>26.1</v>
      </c>
      <c r="N185">
        <v>19</v>
      </c>
      <c r="O185" t="s">
        <v>276</v>
      </c>
    </row>
    <row r="186" spans="1:15" x14ac:dyDescent="0.25">
      <c r="A186" t="s">
        <v>414</v>
      </c>
      <c r="B186" t="s">
        <v>445</v>
      </c>
      <c r="E186">
        <v>2019</v>
      </c>
      <c r="J186">
        <v>2</v>
      </c>
      <c r="L186">
        <v>54.9</v>
      </c>
      <c r="M186">
        <v>26.1</v>
      </c>
      <c r="N186">
        <v>19</v>
      </c>
      <c r="O186" t="s">
        <v>276</v>
      </c>
    </row>
    <row r="187" spans="1:15" x14ac:dyDescent="0.25">
      <c r="A187" t="s">
        <v>415</v>
      </c>
      <c r="B187" t="s">
        <v>445</v>
      </c>
      <c r="E187">
        <v>2019</v>
      </c>
      <c r="J187">
        <v>2</v>
      </c>
      <c r="L187">
        <v>54.9</v>
      </c>
      <c r="M187">
        <v>26.1</v>
      </c>
      <c r="N187">
        <v>19</v>
      </c>
      <c r="O187" t="s">
        <v>276</v>
      </c>
    </row>
    <row r="188" spans="1:15" x14ac:dyDescent="0.25">
      <c r="A188" t="s">
        <v>416</v>
      </c>
      <c r="B188" t="s">
        <v>445</v>
      </c>
      <c r="C188" t="s">
        <v>705</v>
      </c>
      <c r="D188" t="s">
        <v>706</v>
      </c>
      <c r="E188">
        <v>2019</v>
      </c>
      <c r="J188">
        <v>3</v>
      </c>
      <c r="L188">
        <v>50.6</v>
      </c>
      <c r="M188">
        <v>30.2</v>
      </c>
      <c r="N188">
        <v>19.2</v>
      </c>
      <c r="O188" t="s">
        <v>276</v>
      </c>
    </row>
    <row r="189" spans="1:15" x14ac:dyDescent="0.25">
      <c r="A189" t="s">
        <v>417</v>
      </c>
      <c r="B189" t="s">
        <v>445</v>
      </c>
      <c r="E189">
        <v>2019</v>
      </c>
      <c r="J189">
        <v>3</v>
      </c>
      <c r="L189">
        <v>50.6</v>
      </c>
      <c r="M189">
        <v>30.2</v>
      </c>
      <c r="N189">
        <v>19.2</v>
      </c>
      <c r="O189" t="s">
        <v>276</v>
      </c>
    </row>
    <row r="190" spans="1:15" x14ac:dyDescent="0.25">
      <c r="A190" t="s">
        <v>418</v>
      </c>
      <c r="B190" t="s">
        <v>445</v>
      </c>
      <c r="E190">
        <v>2019</v>
      </c>
      <c r="J190">
        <v>3</v>
      </c>
      <c r="L190">
        <v>50.6</v>
      </c>
      <c r="M190">
        <v>30.2</v>
      </c>
      <c r="N190">
        <v>19.2</v>
      </c>
      <c r="O190" t="s">
        <v>276</v>
      </c>
    </row>
    <row r="191" spans="1:15" x14ac:dyDescent="0.25">
      <c r="A191" t="s">
        <v>419</v>
      </c>
      <c r="B191" t="s">
        <v>445</v>
      </c>
      <c r="C191" t="s">
        <v>707</v>
      </c>
      <c r="D191" t="s">
        <v>708</v>
      </c>
      <c r="E191">
        <v>2019</v>
      </c>
      <c r="J191">
        <v>4</v>
      </c>
      <c r="L191">
        <v>82.8</v>
      </c>
      <c r="M191">
        <v>12</v>
      </c>
      <c r="N191">
        <v>5.2</v>
      </c>
      <c r="O191" t="s">
        <v>278</v>
      </c>
    </row>
    <row r="192" spans="1:15" x14ac:dyDescent="0.25">
      <c r="A192" t="s">
        <v>420</v>
      </c>
      <c r="B192" t="s">
        <v>445</v>
      </c>
      <c r="E192">
        <v>2019</v>
      </c>
      <c r="J192">
        <v>4</v>
      </c>
      <c r="L192">
        <v>82.8</v>
      </c>
      <c r="M192">
        <v>12</v>
      </c>
      <c r="N192">
        <v>5.2</v>
      </c>
      <c r="O192" t="s">
        <v>278</v>
      </c>
    </row>
    <row r="193" spans="1:15" x14ac:dyDescent="0.25">
      <c r="A193" t="s">
        <v>421</v>
      </c>
      <c r="B193" t="s">
        <v>445</v>
      </c>
      <c r="E193">
        <v>2019</v>
      </c>
      <c r="J193">
        <v>4</v>
      </c>
      <c r="L193">
        <v>82.8</v>
      </c>
      <c r="M193">
        <v>12</v>
      </c>
      <c r="N193">
        <v>5.2</v>
      </c>
      <c r="O193" t="s">
        <v>278</v>
      </c>
    </row>
    <row r="194" spans="1:15" x14ac:dyDescent="0.25">
      <c r="A194" t="s">
        <v>358</v>
      </c>
      <c r="B194" t="s">
        <v>274</v>
      </c>
      <c r="C194" t="s">
        <v>709</v>
      </c>
      <c r="D194" t="s">
        <v>710</v>
      </c>
      <c r="E194">
        <v>2019</v>
      </c>
      <c r="J194">
        <v>4</v>
      </c>
      <c r="L194">
        <v>68.400000000000006</v>
      </c>
      <c r="M194">
        <v>23.2</v>
      </c>
      <c r="N194">
        <v>8.4</v>
      </c>
      <c r="O194" t="s">
        <v>276</v>
      </c>
    </row>
    <row r="195" spans="1:15" x14ac:dyDescent="0.25">
      <c r="A195" t="s">
        <v>359</v>
      </c>
      <c r="B195" t="s">
        <v>274</v>
      </c>
      <c r="E195">
        <v>2019</v>
      </c>
      <c r="J195">
        <v>4</v>
      </c>
      <c r="L195">
        <v>68.400000000000006</v>
      </c>
      <c r="M195">
        <v>23.2</v>
      </c>
      <c r="N195">
        <v>8.4</v>
      </c>
      <c r="O195" t="s">
        <v>276</v>
      </c>
    </row>
    <row r="196" spans="1:15" x14ac:dyDescent="0.25">
      <c r="A196" t="s">
        <v>360</v>
      </c>
      <c r="B196" t="s">
        <v>274</v>
      </c>
      <c r="E196">
        <v>2019</v>
      </c>
      <c r="J196">
        <v>4</v>
      </c>
      <c r="L196">
        <v>68.400000000000006</v>
      </c>
      <c r="M196">
        <v>23.2</v>
      </c>
      <c r="N196">
        <v>8.4</v>
      </c>
      <c r="O196" t="s">
        <v>276</v>
      </c>
    </row>
    <row r="197" spans="1:15" x14ac:dyDescent="0.25">
      <c r="A197" t="s">
        <v>391</v>
      </c>
      <c r="B197" t="s">
        <v>58</v>
      </c>
      <c r="C197" t="s">
        <v>711</v>
      </c>
      <c r="D197" t="s">
        <v>712</v>
      </c>
      <c r="E197">
        <v>2019</v>
      </c>
      <c r="J197">
        <v>4</v>
      </c>
      <c r="L197">
        <v>81.400000000000006</v>
      </c>
      <c r="M197">
        <v>10.8</v>
      </c>
      <c r="N197">
        <v>7.9</v>
      </c>
      <c r="O197" t="s">
        <v>278</v>
      </c>
    </row>
    <row r="198" spans="1:15" x14ac:dyDescent="0.25">
      <c r="A198" t="s">
        <v>440</v>
      </c>
      <c r="B198" t="s">
        <v>58</v>
      </c>
      <c r="E198">
        <v>2019</v>
      </c>
      <c r="J198">
        <v>4</v>
      </c>
      <c r="L198">
        <v>81.400000000000006</v>
      </c>
      <c r="M198">
        <v>10.8</v>
      </c>
      <c r="N198">
        <v>7.9</v>
      </c>
      <c r="O198" t="s">
        <v>278</v>
      </c>
    </row>
    <row r="199" spans="1:15" x14ac:dyDescent="0.25">
      <c r="A199" t="s">
        <v>441</v>
      </c>
      <c r="B199" t="s">
        <v>58</v>
      </c>
      <c r="E199">
        <v>2019</v>
      </c>
      <c r="J199">
        <v>4</v>
      </c>
      <c r="L199">
        <v>81.400000000000006</v>
      </c>
      <c r="M199">
        <v>10.8</v>
      </c>
      <c r="N199">
        <v>7.9</v>
      </c>
      <c r="O199" t="s">
        <v>278</v>
      </c>
    </row>
    <row r="200" spans="1:15" x14ac:dyDescent="0.25">
      <c r="A200" s="12" t="s">
        <v>422</v>
      </c>
      <c r="B200" t="s">
        <v>447</v>
      </c>
      <c r="C200" t="s">
        <v>713</v>
      </c>
      <c r="D200" t="s">
        <v>714</v>
      </c>
      <c r="E200">
        <v>2019</v>
      </c>
      <c r="J200">
        <v>1</v>
      </c>
      <c r="L200">
        <v>53.9</v>
      </c>
      <c r="M200">
        <v>32.799999999999997</v>
      </c>
      <c r="N200">
        <v>13.4</v>
      </c>
      <c r="O200" t="s">
        <v>276</v>
      </c>
    </row>
    <row r="201" spans="1:15" x14ac:dyDescent="0.25">
      <c r="A201" s="12" t="s">
        <v>423</v>
      </c>
      <c r="B201" t="s">
        <v>447</v>
      </c>
      <c r="E201">
        <v>2019</v>
      </c>
      <c r="J201">
        <v>1</v>
      </c>
      <c r="L201">
        <v>53.9</v>
      </c>
      <c r="M201">
        <v>32.799999999999997</v>
      </c>
      <c r="N201">
        <v>13.4</v>
      </c>
      <c r="O201" t="s">
        <v>276</v>
      </c>
    </row>
    <row r="202" spans="1:15" x14ac:dyDescent="0.25">
      <c r="A202" s="12" t="s">
        <v>424</v>
      </c>
      <c r="B202" t="s">
        <v>447</v>
      </c>
      <c r="E202">
        <v>2019</v>
      </c>
      <c r="J202">
        <v>1</v>
      </c>
      <c r="L202">
        <v>53.9</v>
      </c>
      <c r="M202">
        <v>32.799999999999997</v>
      </c>
      <c r="N202">
        <v>13.4</v>
      </c>
      <c r="O202" t="s">
        <v>276</v>
      </c>
    </row>
    <row r="203" spans="1:15" x14ac:dyDescent="0.25">
      <c r="A203" s="12" t="s">
        <v>425</v>
      </c>
      <c r="B203" t="s">
        <v>447</v>
      </c>
      <c r="C203" t="s">
        <v>715</v>
      </c>
      <c r="D203" t="s">
        <v>716</v>
      </c>
      <c r="E203">
        <v>2019</v>
      </c>
      <c r="J203">
        <v>2</v>
      </c>
      <c r="L203">
        <v>81.900000000000006</v>
      </c>
      <c r="M203">
        <v>16.8</v>
      </c>
      <c r="N203">
        <v>1.3</v>
      </c>
      <c r="O203" t="s">
        <v>279</v>
      </c>
    </row>
    <row r="204" spans="1:15" x14ac:dyDescent="0.25">
      <c r="A204" s="12" t="s">
        <v>426</v>
      </c>
      <c r="B204" t="s">
        <v>447</v>
      </c>
      <c r="E204">
        <v>2019</v>
      </c>
      <c r="J204">
        <v>2</v>
      </c>
      <c r="L204">
        <v>81.900000000000006</v>
      </c>
      <c r="M204">
        <v>16.8</v>
      </c>
      <c r="N204">
        <v>1.3</v>
      </c>
      <c r="O204" t="s">
        <v>279</v>
      </c>
    </row>
    <row r="205" spans="1:15" x14ac:dyDescent="0.25">
      <c r="A205" s="12" t="s">
        <v>427</v>
      </c>
      <c r="B205" t="s">
        <v>447</v>
      </c>
      <c r="E205">
        <v>2019</v>
      </c>
      <c r="J205">
        <v>2</v>
      </c>
      <c r="L205">
        <v>81.900000000000006</v>
      </c>
      <c r="M205">
        <v>16.8</v>
      </c>
      <c r="N205">
        <v>1.3</v>
      </c>
      <c r="O205" t="s">
        <v>279</v>
      </c>
    </row>
    <row r="206" spans="1:15" x14ac:dyDescent="0.25">
      <c r="A206" s="12" t="s">
        <v>428</v>
      </c>
      <c r="B206" t="s">
        <v>447</v>
      </c>
      <c r="C206" t="s">
        <v>717</v>
      </c>
      <c r="D206" t="s">
        <v>718</v>
      </c>
      <c r="E206">
        <v>2019</v>
      </c>
      <c r="J206">
        <v>3</v>
      </c>
      <c r="L206">
        <v>83.6</v>
      </c>
      <c r="M206">
        <v>8.9</v>
      </c>
      <c r="N206">
        <v>7.4</v>
      </c>
      <c r="O206" t="s">
        <v>278</v>
      </c>
    </row>
    <row r="207" spans="1:15" x14ac:dyDescent="0.25">
      <c r="A207" s="12" t="s">
        <v>429</v>
      </c>
      <c r="B207" t="s">
        <v>447</v>
      </c>
      <c r="E207">
        <v>2019</v>
      </c>
      <c r="J207">
        <v>3</v>
      </c>
      <c r="L207">
        <v>83.6</v>
      </c>
      <c r="M207">
        <v>8.9</v>
      </c>
      <c r="N207">
        <v>7.4</v>
      </c>
      <c r="O207" t="s">
        <v>278</v>
      </c>
    </row>
    <row r="208" spans="1:15" x14ac:dyDescent="0.25">
      <c r="A208" s="12" t="s">
        <v>430</v>
      </c>
      <c r="B208" t="s">
        <v>447</v>
      </c>
      <c r="E208">
        <v>2019</v>
      </c>
      <c r="J208">
        <v>3</v>
      </c>
      <c r="L208">
        <v>83.6</v>
      </c>
      <c r="M208">
        <v>8.9</v>
      </c>
      <c r="N208">
        <v>7.4</v>
      </c>
      <c r="O208" t="s">
        <v>278</v>
      </c>
    </row>
    <row r="209" spans="1:15" x14ac:dyDescent="0.25">
      <c r="A209" t="s">
        <v>431</v>
      </c>
      <c r="B209" t="s">
        <v>269</v>
      </c>
      <c r="C209" t="s">
        <v>719</v>
      </c>
      <c r="D209" t="s">
        <v>720</v>
      </c>
      <c r="E209">
        <v>2019</v>
      </c>
      <c r="J209">
        <v>4</v>
      </c>
      <c r="L209">
        <v>69.400000000000006</v>
      </c>
      <c r="M209">
        <v>3.1</v>
      </c>
      <c r="N209">
        <v>7.5</v>
      </c>
      <c r="O209" t="s">
        <v>276</v>
      </c>
    </row>
    <row r="210" spans="1:15" x14ac:dyDescent="0.25">
      <c r="A210" t="s">
        <v>432</v>
      </c>
      <c r="B210" t="s">
        <v>269</v>
      </c>
      <c r="E210">
        <v>2019</v>
      </c>
      <c r="J210">
        <v>4</v>
      </c>
      <c r="L210">
        <v>69.400000000000006</v>
      </c>
      <c r="M210">
        <v>3.1</v>
      </c>
      <c r="N210">
        <v>7.5</v>
      </c>
      <c r="O210" t="s">
        <v>276</v>
      </c>
    </row>
    <row r="211" spans="1:15" x14ac:dyDescent="0.25">
      <c r="A211" t="s">
        <v>433</v>
      </c>
      <c r="B211" t="s">
        <v>269</v>
      </c>
      <c r="E211">
        <v>2019</v>
      </c>
      <c r="J211">
        <v>4</v>
      </c>
      <c r="L211">
        <v>69.400000000000006</v>
      </c>
      <c r="M211">
        <v>3.1</v>
      </c>
      <c r="N211">
        <v>7.5</v>
      </c>
      <c r="O211" t="s">
        <v>276</v>
      </c>
    </row>
    <row r="212" spans="1:15" x14ac:dyDescent="0.25">
      <c r="A212" t="s">
        <v>434</v>
      </c>
      <c r="B212" t="s">
        <v>269</v>
      </c>
      <c r="C212" t="s">
        <v>721</v>
      </c>
      <c r="D212" t="s">
        <v>722</v>
      </c>
      <c r="E212">
        <v>2019</v>
      </c>
      <c r="J212">
        <v>5</v>
      </c>
      <c r="L212">
        <v>81.8</v>
      </c>
      <c r="M212">
        <v>16.8</v>
      </c>
      <c r="N212">
        <v>1.4</v>
      </c>
      <c r="O212" t="s">
        <v>279</v>
      </c>
    </row>
    <row r="213" spans="1:15" x14ac:dyDescent="0.25">
      <c r="A213" t="s">
        <v>435</v>
      </c>
      <c r="B213" t="s">
        <v>269</v>
      </c>
      <c r="E213">
        <v>2019</v>
      </c>
      <c r="J213">
        <v>5</v>
      </c>
      <c r="L213">
        <v>81.8</v>
      </c>
      <c r="M213">
        <v>16.8</v>
      </c>
      <c r="N213">
        <v>1.4</v>
      </c>
      <c r="O213" t="s">
        <v>279</v>
      </c>
    </row>
    <row r="214" spans="1:15" x14ac:dyDescent="0.25">
      <c r="A214" t="s">
        <v>436</v>
      </c>
      <c r="B214" t="s">
        <v>269</v>
      </c>
      <c r="E214">
        <v>2019</v>
      </c>
      <c r="J214">
        <v>5</v>
      </c>
      <c r="L214">
        <v>81.8</v>
      </c>
      <c r="M214">
        <v>16.8</v>
      </c>
      <c r="N214">
        <v>1.4</v>
      </c>
      <c r="O214" t="s">
        <v>279</v>
      </c>
    </row>
    <row r="215" spans="1:15" x14ac:dyDescent="0.25">
      <c r="A215" t="s">
        <v>437</v>
      </c>
      <c r="B215" t="s">
        <v>269</v>
      </c>
      <c r="C215" t="s">
        <v>723</v>
      </c>
      <c r="D215" t="s">
        <v>724</v>
      </c>
      <c r="E215">
        <v>2019</v>
      </c>
      <c r="J215">
        <v>6</v>
      </c>
      <c r="L215">
        <v>56.2</v>
      </c>
      <c r="M215">
        <v>34.6</v>
      </c>
      <c r="N215">
        <v>9.1999999999999993</v>
      </c>
      <c r="O215" t="s">
        <v>276</v>
      </c>
    </row>
    <row r="216" spans="1:15" x14ac:dyDescent="0.25">
      <c r="A216" t="s">
        <v>438</v>
      </c>
      <c r="B216" t="s">
        <v>269</v>
      </c>
      <c r="E216">
        <v>2019</v>
      </c>
      <c r="J216">
        <v>6</v>
      </c>
      <c r="L216">
        <v>56.2</v>
      </c>
      <c r="M216">
        <v>34.6</v>
      </c>
      <c r="N216">
        <v>9.1999999999999993</v>
      </c>
      <c r="O216" t="s">
        <v>276</v>
      </c>
    </row>
    <row r="217" spans="1:15" x14ac:dyDescent="0.25">
      <c r="A217" t="s">
        <v>439</v>
      </c>
      <c r="B217" t="s">
        <v>269</v>
      </c>
      <c r="E217">
        <v>2019</v>
      </c>
      <c r="J217">
        <v>6</v>
      </c>
      <c r="L217">
        <v>56.2</v>
      </c>
      <c r="M217">
        <v>34.6</v>
      </c>
      <c r="N217">
        <v>9.1999999999999993</v>
      </c>
      <c r="O217" t="s">
        <v>276</v>
      </c>
    </row>
    <row r="218" spans="1:15" x14ac:dyDescent="0.25">
      <c r="A218" t="s">
        <v>373</v>
      </c>
      <c r="B218" t="s">
        <v>118</v>
      </c>
      <c r="C218" t="s">
        <v>725</v>
      </c>
      <c r="D218" t="s">
        <v>726</v>
      </c>
      <c r="E218">
        <v>2019</v>
      </c>
      <c r="J218">
        <v>3</v>
      </c>
      <c r="L218">
        <v>44.4</v>
      </c>
      <c r="M218">
        <v>32.6</v>
      </c>
      <c r="N218">
        <v>22.9</v>
      </c>
      <c r="O218" t="s">
        <v>275</v>
      </c>
    </row>
    <row r="219" spans="1:15" x14ac:dyDescent="0.25">
      <c r="A219" t="s">
        <v>374</v>
      </c>
      <c r="B219" t="s">
        <v>118</v>
      </c>
      <c r="E219">
        <v>2019</v>
      </c>
      <c r="J219">
        <v>3</v>
      </c>
      <c r="L219">
        <v>44.4</v>
      </c>
      <c r="M219">
        <v>32.6</v>
      </c>
      <c r="N219">
        <v>22.9</v>
      </c>
      <c r="O219" t="s">
        <v>275</v>
      </c>
    </row>
    <row r="220" spans="1:15" x14ac:dyDescent="0.25">
      <c r="A220" t="s">
        <v>375</v>
      </c>
      <c r="B220" t="s">
        <v>118</v>
      </c>
      <c r="E220">
        <v>2019</v>
      </c>
      <c r="J220">
        <v>3</v>
      </c>
      <c r="L220">
        <v>44.4</v>
      </c>
      <c r="M220">
        <v>32.6</v>
      </c>
      <c r="N220">
        <v>22.9</v>
      </c>
      <c r="O220" t="s">
        <v>275</v>
      </c>
    </row>
    <row r="221" spans="1:15" x14ac:dyDescent="0.25">
      <c r="A221" t="s">
        <v>376</v>
      </c>
      <c r="B221" t="s">
        <v>118</v>
      </c>
      <c r="C221" t="s">
        <v>727</v>
      </c>
      <c r="D221" t="s">
        <v>728</v>
      </c>
      <c r="E221">
        <v>2019</v>
      </c>
      <c r="J221">
        <v>2</v>
      </c>
      <c r="L221">
        <v>48.4</v>
      </c>
      <c r="M221">
        <v>32.6</v>
      </c>
      <c r="N221">
        <v>19.100000000000001</v>
      </c>
      <c r="O221" t="s">
        <v>276</v>
      </c>
    </row>
    <row r="222" spans="1:15" x14ac:dyDescent="0.25">
      <c r="A222" t="s">
        <v>377</v>
      </c>
      <c r="B222" t="s">
        <v>118</v>
      </c>
      <c r="E222">
        <v>2019</v>
      </c>
      <c r="J222">
        <v>2</v>
      </c>
      <c r="L222">
        <v>48.4</v>
      </c>
      <c r="M222">
        <v>32.6</v>
      </c>
      <c r="N222">
        <v>19.100000000000001</v>
      </c>
      <c r="O222" t="s">
        <v>276</v>
      </c>
    </row>
    <row r="223" spans="1:15" x14ac:dyDescent="0.25">
      <c r="A223" t="s">
        <v>378</v>
      </c>
      <c r="B223" t="s">
        <v>118</v>
      </c>
      <c r="E223">
        <v>2019</v>
      </c>
      <c r="J223">
        <v>2</v>
      </c>
      <c r="L223">
        <v>48.4</v>
      </c>
      <c r="M223">
        <v>32.6</v>
      </c>
      <c r="N223">
        <v>19.100000000000001</v>
      </c>
      <c r="O223" t="s">
        <v>276</v>
      </c>
    </row>
    <row r="224" spans="1:15" x14ac:dyDescent="0.25">
      <c r="A224" t="s">
        <v>379</v>
      </c>
      <c r="B224" t="s">
        <v>118</v>
      </c>
      <c r="C224" t="s">
        <v>729</v>
      </c>
      <c r="D224" t="s">
        <v>730</v>
      </c>
      <c r="E224">
        <v>2019</v>
      </c>
      <c r="J224">
        <v>1</v>
      </c>
      <c r="L224">
        <v>50.4</v>
      </c>
      <c r="M224">
        <v>32.4</v>
      </c>
      <c r="N224">
        <v>17.2</v>
      </c>
      <c r="O224" t="s">
        <v>276</v>
      </c>
    </row>
    <row r="225" spans="1:15" x14ac:dyDescent="0.25">
      <c r="A225" t="s">
        <v>380</v>
      </c>
      <c r="B225" t="s">
        <v>118</v>
      </c>
      <c r="E225">
        <v>2019</v>
      </c>
      <c r="J225">
        <v>1</v>
      </c>
      <c r="L225">
        <v>50.4</v>
      </c>
      <c r="M225">
        <v>32.4</v>
      </c>
      <c r="N225">
        <v>17.2</v>
      </c>
      <c r="O225" t="s">
        <v>276</v>
      </c>
    </row>
    <row r="226" spans="1:15" x14ac:dyDescent="0.25">
      <c r="A226" t="s">
        <v>381</v>
      </c>
      <c r="B226" t="s">
        <v>118</v>
      </c>
      <c r="E226">
        <v>2019</v>
      </c>
      <c r="J226">
        <v>1</v>
      </c>
      <c r="L226">
        <v>50.4</v>
      </c>
      <c r="M226">
        <v>32.4</v>
      </c>
      <c r="N226">
        <v>17.2</v>
      </c>
    </row>
    <row r="227" spans="1:15" x14ac:dyDescent="0.25">
      <c r="A227" t="s">
        <v>382</v>
      </c>
      <c r="B227" t="s">
        <v>116</v>
      </c>
      <c r="C227" t="s">
        <v>738</v>
      </c>
      <c r="D227" t="s">
        <v>739</v>
      </c>
      <c r="E227">
        <v>2019</v>
      </c>
      <c r="J227">
        <v>4</v>
      </c>
      <c r="L227">
        <v>60.5</v>
      </c>
      <c r="M227">
        <v>34.700000000000003</v>
      </c>
      <c r="N227">
        <v>14.8</v>
      </c>
      <c r="O227" t="s">
        <v>276</v>
      </c>
    </row>
    <row r="228" spans="1:15" x14ac:dyDescent="0.25">
      <c r="A228" t="s">
        <v>383</v>
      </c>
      <c r="B228" t="s">
        <v>116</v>
      </c>
      <c r="E228">
        <v>2019</v>
      </c>
      <c r="J228">
        <v>4</v>
      </c>
      <c r="L228">
        <v>60.5</v>
      </c>
      <c r="M228">
        <v>34.700000000000003</v>
      </c>
      <c r="N228">
        <v>14.8</v>
      </c>
      <c r="O228" t="s">
        <v>276</v>
      </c>
    </row>
    <row r="229" spans="1:15" x14ac:dyDescent="0.25">
      <c r="A229" t="s">
        <v>384</v>
      </c>
      <c r="B229" t="s">
        <v>116</v>
      </c>
      <c r="E229">
        <v>2019</v>
      </c>
      <c r="J229">
        <v>4</v>
      </c>
      <c r="L229">
        <v>60.5</v>
      </c>
      <c r="M229">
        <v>34.700000000000003</v>
      </c>
      <c r="N229">
        <v>14.8</v>
      </c>
      <c r="O229" t="s">
        <v>276</v>
      </c>
    </row>
    <row r="230" spans="1:15" x14ac:dyDescent="0.25">
      <c r="A230" t="s">
        <v>385</v>
      </c>
      <c r="B230" t="s">
        <v>116</v>
      </c>
      <c r="C230" t="s">
        <v>740</v>
      </c>
      <c r="D230" t="s">
        <v>741</v>
      </c>
      <c r="E230">
        <v>2019</v>
      </c>
      <c r="J230">
        <v>5</v>
      </c>
      <c r="L230">
        <v>44.3</v>
      </c>
      <c r="M230">
        <v>34.700000000000003</v>
      </c>
      <c r="N230">
        <v>21</v>
      </c>
      <c r="O230" t="s">
        <v>275</v>
      </c>
    </row>
    <row r="231" spans="1:15" x14ac:dyDescent="0.25">
      <c r="A231" t="s">
        <v>386</v>
      </c>
      <c r="B231" t="s">
        <v>116</v>
      </c>
      <c r="E231">
        <v>2019</v>
      </c>
      <c r="J231">
        <v>5</v>
      </c>
      <c r="L231">
        <v>44.3</v>
      </c>
      <c r="M231">
        <v>34.700000000000003</v>
      </c>
      <c r="N231">
        <v>21</v>
      </c>
      <c r="O231" t="s">
        <v>275</v>
      </c>
    </row>
    <row r="232" spans="1:15" x14ac:dyDescent="0.25">
      <c r="A232" t="s">
        <v>387</v>
      </c>
      <c r="B232" t="s">
        <v>116</v>
      </c>
      <c r="E232">
        <v>2019</v>
      </c>
      <c r="J232">
        <v>5</v>
      </c>
      <c r="L232">
        <v>44.3</v>
      </c>
      <c r="M232">
        <v>34.700000000000003</v>
      </c>
      <c r="N232">
        <v>21</v>
      </c>
      <c r="O232" t="s">
        <v>275</v>
      </c>
    </row>
    <row r="233" spans="1:15" x14ac:dyDescent="0.25">
      <c r="A233" t="s">
        <v>388</v>
      </c>
      <c r="B233" t="s">
        <v>116</v>
      </c>
      <c r="C233" t="s">
        <v>742</v>
      </c>
      <c r="D233" t="s">
        <v>743</v>
      </c>
      <c r="E233">
        <v>2019</v>
      </c>
      <c r="J233">
        <v>6</v>
      </c>
      <c r="L233">
        <v>44.2</v>
      </c>
      <c r="M233">
        <v>38.6</v>
      </c>
      <c r="N233">
        <v>17.2</v>
      </c>
      <c r="O233" t="s">
        <v>764</v>
      </c>
    </row>
    <row r="234" spans="1:15" x14ac:dyDescent="0.25">
      <c r="A234" t="s">
        <v>389</v>
      </c>
      <c r="B234" t="s">
        <v>116</v>
      </c>
      <c r="E234">
        <v>2019</v>
      </c>
      <c r="J234">
        <v>6</v>
      </c>
      <c r="L234">
        <v>44.2</v>
      </c>
      <c r="M234">
        <v>38.6</v>
      </c>
      <c r="N234">
        <v>17.2</v>
      </c>
      <c r="O234" t="s">
        <v>764</v>
      </c>
    </row>
    <row r="235" spans="1:15" x14ac:dyDescent="0.25">
      <c r="A235" t="s">
        <v>390</v>
      </c>
      <c r="B235" t="s">
        <v>116</v>
      </c>
      <c r="E235">
        <v>2019</v>
      </c>
      <c r="J235">
        <v>6</v>
      </c>
      <c r="L235">
        <v>44.2</v>
      </c>
      <c r="M235">
        <v>38.6</v>
      </c>
      <c r="N235">
        <v>17.2</v>
      </c>
      <c r="O235" t="s">
        <v>764</v>
      </c>
    </row>
    <row r="236" spans="1:15" x14ac:dyDescent="0.25">
      <c r="A236" t="s">
        <v>361</v>
      </c>
      <c r="B236" t="s">
        <v>268</v>
      </c>
      <c r="C236" t="s">
        <v>550</v>
      </c>
      <c r="D236" t="s">
        <v>744</v>
      </c>
      <c r="E236">
        <v>2019</v>
      </c>
      <c r="J236">
        <v>4</v>
      </c>
      <c r="L236">
        <v>32.1</v>
      </c>
      <c r="M236">
        <v>38.6</v>
      </c>
      <c r="N236">
        <v>29.2</v>
      </c>
      <c r="O236" t="s">
        <v>275</v>
      </c>
    </row>
    <row r="237" spans="1:15" x14ac:dyDescent="0.25">
      <c r="A237" t="s">
        <v>362</v>
      </c>
      <c r="B237" t="s">
        <v>268</v>
      </c>
      <c r="E237">
        <v>2019</v>
      </c>
      <c r="J237">
        <v>4</v>
      </c>
      <c r="L237">
        <v>32.1</v>
      </c>
      <c r="M237">
        <v>38.6</v>
      </c>
      <c r="N237">
        <v>29.2</v>
      </c>
      <c r="O237" t="s">
        <v>275</v>
      </c>
    </row>
    <row r="238" spans="1:15" x14ac:dyDescent="0.25">
      <c r="A238" t="s">
        <v>363</v>
      </c>
      <c r="B238" t="s">
        <v>268</v>
      </c>
      <c r="E238">
        <v>2019</v>
      </c>
      <c r="J238">
        <v>4</v>
      </c>
      <c r="L238">
        <v>32.1</v>
      </c>
      <c r="M238">
        <v>38.6</v>
      </c>
      <c r="N238">
        <v>29.2</v>
      </c>
      <c r="O238" t="s">
        <v>275</v>
      </c>
    </row>
    <row r="239" spans="1:15" x14ac:dyDescent="0.25">
      <c r="A239" t="s">
        <v>364</v>
      </c>
      <c r="B239" t="s">
        <v>268</v>
      </c>
      <c r="C239" t="s">
        <v>745</v>
      </c>
      <c r="D239" t="s">
        <v>746</v>
      </c>
      <c r="E239">
        <v>2019</v>
      </c>
      <c r="J239">
        <v>5</v>
      </c>
      <c r="L239">
        <v>28.8</v>
      </c>
      <c r="M239">
        <v>42.6</v>
      </c>
      <c r="N239">
        <v>28.6</v>
      </c>
      <c r="O239" t="s">
        <v>765</v>
      </c>
    </row>
    <row r="240" spans="1:15" x14ac:dyDescent="0.25">
      <c r="A240" t="s">
        <v>365</v>
      </c>
      <c r="B240" t="s">
        <v>268</v>
      </c>
      <c r="E240">
        <v>2019</v>
      </c>
      <c r="J240">
        <v>5</v>
      </c>
      <c r="L240">
        <v>28.8</v>
      </c>
      <c r="M240">
        <v>42.6</v>
      </c>
      <c r="N240">
        <v>28.6</v>
      </c>
      <c r="O240" t="s">
        <v>765</v>
      </c>
    </row>
    <row r="241" spans="1:15" x14ac:dyDescent="0.25">
      <c r="A241" t="s">
        <v>366</v>
      </c>
      <c r="B241" t="s">
        <v>268</v>
      </c>
      <c r="E241">
        <v>2019</v>
      </c>
      <c r="J241">
        <v>5</v>
      </c>
      <c r="L241">
        <v>28.8</v>
      </c>
      <c r="M241">
        <v>42.6</v>
      </c>
      <c r="N241">
        <v>28.6</v>
      </c>
      <c r="O241" t="s">
        <v>765</v>
      </c>
    </row>
    <row r="242" spans="1:15" x14ac:dyDescent="0.25">
      <c r="A242" t="s">
        <v>367</v>
      </c>
      <c r="B242" t="s">
        <v>268</v>
      </c>
      <c r="C242" t="s">
        <v>747</v>
      </c>
      <c r="D242" t="s">
        <v>748</v>
      </c>
      <c r="E242">
        <v>2019</v>
      </c>
      <c r="J242">
        <v>6</v>
      </c>
      <c r="L242">
        <v>36.6</v>
      </c>
      <c r="M242">
        <v>36.6</v>
      </c>
      <c r="N242">
        <v>26.8</v>
      </c>
      <c r="O242" t="s">
        <v>275</v>
      </c>
    </row>
    <row r="243" spans="1:15" x14ac:dyDescent="0.25">
      <c r="A243" t="s">
        <v>368</v>
      </c>
      <c r="B243" t="s">
        <v>268</v>
      </c>
      <c r="E243">
        <v>2019</v>
      </c>
      <c r="J243">
        <v>6</v>
      </c>
      <c r="L243">
        <v>36.6</v>
      </c>
      <c r="M243">
        <v>36.6</v>
      </c>
      <c r="N243">
        <v>26.8</v>
      </c>
      <c r="O243" t="s">
        <v>275</v>
      </c>
    </row>
    <row r="244" spans="1:15" x14ac:dyDescent="0.25">
      <c r="A244" t="s">
        <v>369</v>
      </c>
      <c r="B244" t="s">
        <v>268</v>
      </c>
      <c r="E244">
        <v>2019</v>
      </c>
      <c r="J244">
        <v>6</v>
      </c>
      <c r="L244">
        <v>36.6</v>
      </c>
      <c r="M244">
        <v>36.6</v>
      </c>
      <c r="N244">
        <v>26.8</v>
      </c>
      <c r="O244" t="s">
        <v>275</v>
      </c>
    </row>
    <row r="245" spans="1:15" x14ac:dyDescent="0.25">
      <c r="A245" t="s">
        <v>370</v>
      </c>
      <c r="B245" t="s">
        <v>271</v>
      </c>
      <c r="C245" t="s">
        <v>749</v>
      </c>
      <c r="D245" t="s">
        <v>750</v>
      </c>
      <c r="E245">
        <v>2019</v>
      </c>
      <c r="J245">
        <v>4</v>
      </c>
      <c r="L245">
        <v>61</v>
      </c>
      <c r="M245">
        <v>28.6</v>
      </c>
      <c r="N245">
        <v>10.4</v>
      </c>
      <c r="O245" t="s">
        <v>276</v>
      </c>
    </row>
    <row r="246" spans="1:15" x14ac:dyDescent="0.25">
      <c r="A246" t="s">
        <v>371</v>
      </c>
      <c r="B246" t="s">
        <v>271</v>
      </c>
      <c r="E246">
        <v>2019</v>
      </c>
      <c r="J246">
        <v>4</v>
      </c>
      <c r="L246">
        <v>61</v>
      </c>
      <c r="M246">
        <v>28.6</v>
      </c>
      <c r="N246">
        <v>10.4</v>
      </c>
      <c r="O246" t="s">
        <v>276</v>
      </c>
    </row>
    <row r="247" spans="1:15" x14ac:dyDescent="0.25">
      <c r="A247" t="s">
        <v>372</v>
      </c>
      <c r="B247" t="s">
        <v>271</v>
      </c>
      <c r="E247">
        <v>2019</v>
      </c>
      <c r="J247">
        <v>4</v>
      </c>
      <c r="L247">
        <v>61</v>
      </c>
      <c r="M247">
        <v>28.6</v>
      </c>
      <c r="N247">
        <v>10.4</v>
      </c>
      <c r="O247" t="s">
        <v>276</v>
      </c>
    </row>
  </sheetData>
  <phoneticPr fontId="10" type="noConversion"/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58"/>
  <sheetViews>
    <sheetView zoomScaleNormal="100" workbookViewId="0">
      <pane ySplit="1" topLeftCell="A2" activePane="bottomLeft" state="frozen"/>
      <selection pane="bottomLeft" activeCell="A2" sqref="A2"/>
    </sheetView>
  </sheetViews>
  <sheetFormatPr defaultColWidth="11" defaultRowHeight="15.75" x14ac:dyDescent="0.25"/>
  <cols>
    <col min="4" max="4" width="6.125" bestFit="1" customWidth="1"/>
    <col min="5" max="5" width="6.125" customWidth="1"/>
    <col min="6" max="6" width="13.5" bestFit="1" customWidth="1"/>
    <col min="7" max="7" width="8.125" bestFit="1" customWidth="1"/>
    <col min="8" max="8" width="8.125" customWidth="1"/>
    <col min="9" max="9" width="13.125" bestFit="1" customWidth="1"/>
    <col min="10" max="10" width="7.375" customWidth="1"/>
    <col min="11" max="11" width="12" bestFit="1" customWidth="1"/>
    <col min="12" max="12" width="12.375" bestFit="1" customWidth="1"/>
    <col min="13" max="13" width="7.375" bestFit="1" customWidth="1"/>
    <col min="14" max="14" width="7.375" customWidth="1"/>
  </cols>
  <sheetData>
    <row r="1" spans="1:17" x14ac:dyDescent="0.25">
      <c r="A1" t="s">
        <v>56</v>
      </c>
      <c r="B1" t="s">
        <v>60</v>
      </c>
      <c r="C1" t="s">
        <v>292</v>
      </c>
      <c r="D1" t="s">
        <v>34</v>
      </c>
      <c r="E1" t="s">
        <v>448</v>
      </c>
      <c r="F1" t="s">
        <v>284</v>
      </c>
      <c r="G1" t="s">
        <v>23</v>
      </c>
      <c r="H1" t="s">
        <v>450</v>
      </c>
      <c r="I1" t="s">
        <v>338</v>
      </c>
      <c r="J1" t="s">
        <v>285</v>
      </c>
      <c r="K1" t="s">
        <v>281</v>
      </c>
      <c r="L1" t="s">
        <v>777</v>
      </c>
      <c r="M1" t="s">
        <v>282</v>
      </c>
      <c r="N1" t="s">
        <v>339</v>
      </c>
      <c r="O1" t="s">
        <v>289</v>
      </c>
      <c r="P1" t="s">
        <v>290</v>
      </c>
      <c r="Q1" t="s">
        <v>288</v>
      </c>
    </row>
    <row r="2" spans="1:17" x14ac:dyDescent="0.25">
      <c r="A2" t="s">
        <v>116</v>
      </c>
      <c r="B2">
        <v>1</v>
      </c>
      <c r="C2" s="1">
        <v>43239</v>
      </c>
      <c r="D2" t="s">
        <v>283</v>
      </c>
      <c r="F2">
        <v>10</v>
      </c>
      <c r="G2" t="s">
        <v>286</v>
      </c>
      <c r="K2" t="s">
        <v>286</v>
      </c>
      <c r="L2" t="s">
        <v>25</v>
      </c>
      <c r="M2" s="14" t="s">
        <v>300</v>
      </c>
      <c r="N2" s="14" t="s">
        <v>340</v>
      </c>
      <c r="P2" t="s">
        <v>293</v>
      </c>
      <c r="Q2" t="s">
        <v>296</v>
      </c>
    </row>
    <row r="3" spans="1:17" x14ac:dyDescent="0.25">
      <c r="A3" t="s">
        <v>116</v>
      </c>
      <c r="B3">
        <v>2</v>
      </c>
      <c r="C3" s="1">
        <v>43245</v>
      </c>
      <c r="D3" t="s">
        <v>298</v>
      </c>
      <c r="F3">
        <v>3</v>
      </c>
      <c r="G3" t="s">
        <v>286</v>
      </c>
      <c r="H3">
        <v>12</v>
      </c>
      <c r="I3" t="s">
        <v>753</v>
      </c>
      <c r="J3">
        <v>250</v>
      </c>
      <c r="K3" t="s">
        <v>283</v>
      </c>
      <c r="L3" t="s">
        <v>24</v>
      </c>
      <c r="M3" t="s">
        <v>297</v>
      </c>
      <c r="N3" s="14" t="s">
        <v>341</v>
      </c>
      <c r="P3" t="s">
        <v>25</v>
      </c>
      <c r="Q3" t="s">
        <v>357</v>
      </c>
    </row>
    <row r="4" spans="1:17" x14ac:dyDescent="0.25">
      <c r="A4" t="s">
        <v>116</v>
      </c>
      <c r="B4">
        <v>3</v>
      </c>
      <c r="C4" s="1">
        <v>43234</v>
      </c>
      <c r="D4" t="s">
        <v>283</v>
      </c>
      <c r="F4">
        <v>12</v>
      </c>
      <c r="G4" t="s">
        <v>286</v>
      </c>
      <c r="K4" t="s">
        <v>286</v>
      </c>
      <c r="L4" t="s">
        <v>117</v>
      </c>
      <c r="M4" s="14" t="s">
        <v>295</v>
      </c>
      <c r="N4" s="14" t="s">
        <v>340</v>
      </c>
      <c r="P4" t="s">
        <v>25</v>
      </c>
      <c r="Q4" t="s">
        <v>294</v>
      </c>
    </row>
    <row r="5" spans="1:17" x14ac:dyDescent="0.25">
      <c r="A5" t="s">
        <v>116</v>
      </c>
      <c r="B5">
        <v>4</v>
      </c>
      <c r="C5" s="1">
        <v>43637</v>
      </c>
      <c r="D5" t="s">
        <v>286</v>
      </c>
      <c r="E5" t="s">
        <v>774</v>
      </c>
      <c r="G5" t="s">
        <v>283</v>
      </c>
      <c r="I5" t="s">
        <v>283</v>
      </c>
      <c r="K5" t="s">
        <v>283</v>
      </c>
      <c r="L5" t="s">
        <v>775</v>
      </c>
      <c r="M5" s="14" t="s">
        <v>283</v>
      </c>
      <c r="N5" s="14"/>
      <c r="Q5" t="s">
        <v>776</v>
      </c>
    </row>
    <row r="6" spans="1:17" x14ac:dyDescent="0.25">
      <c r="A6" t="s">
        <v>116</v>
      </c>
      <c r="B6">
        <v>5</v>
      </c>
      <c r="C6" s="1">
        <v>43622</v>
      </c>
      <c r="D6" t="s">
        <v>283</v>
      </c>
      <c r="F6">
        <v>11</v>
      </c>
      <c r="G6" t="s">
        <v>286</v>
      </c>
      <c r="H6">
        <v>8</v>
      </c>
      <c r="I6" t="s">
        <v>753</v>
      </c>
      <c r="J6">
        <v>250</v>
      </c>
      <c r="K6" t="s">
        <v>286</v>
      </c>
      <c r="L6" t="s">
        <v>772</v>
      </c>
      <c r="M6" s="14" t="s">
        <v>300</v>
      </c>
      <c r="N6" s="14" t="s">
        <v>300</v>
      </c>
      <c r="P6" t="s">
        <v>283</v>
      </c>
      <c r="Q6" t="s">
        <v>773</v>
      </c>
    </row>
    <row r="7" spans="1:17" x14ac:dyDescent="0.25">
      <c r="A7" t="s">
        <v>116</v>
      </c>
      <c r="B7">
        <v>6</v>
      </c>
      <c r="C7" s="1">
        <v>43623</v>
      </c>
      <c r="D7" t="s">
        <v>283</v>
      </c>
      <c r="F7">
        <v>11</v>
      </c>
      <c r="G7" t="s">
        <v>286</v>
      </c>
      <c r="H7">
        <v>6</v>
      </c>
      <c r="I7" t="s">
        <v>753</v>
      </c>
      <c r="J7">
        <v>250</v>
      </c>
      <c r="K7" t="s">
        <v>286</v>
      </c>
      <c r="L7" t="s">
        <v>772</v>
      </c>
      <c r="M7" s="14" t="s">
        <v>300</v>
      </c>
      <c r="N7" s="14" t="s">
        <v>300</v>
      </c>
      <c r="P7" t="s">
        <v>283</v>
      </c>
      <c r="Q7" t="s">
        <v>771</v>
      </c>
    </row>
    <row r="8" spans="1:17" x14ac:dyDescent="0.25">
      <c r="A8" t="s">
        <v>269</v>
      </c>
      <c r="B8">
        <v>1</v>
      </c>
      <c r="D8" t="s">
        <v>283</v>
      </c>
      <c r="F8">
        <v>8</v>
      </c>
      <c r="G8" t="s">
        <v>286</v>
      </c>
      <c r="I8" t="s">
        <v>283</v>
      </c>
      <c r="K8" t="s">
        <v>286</v>
      </c>
      <c r="L8" t="s">
        <v>117</v>
      </c>
      <c r="M8" s="14" t="s">
        <v>295</v>
      </c>
      <c r="N8" s="14" t="s">
        <v>340</v>
      </c>
      <c r="P8" t="s">
        <v>291</v>
      </c>
    </row>
    <row r="9" spans="1:17" x14ac:dyDescent="0.25">
      <c r="A9" t="s">
        <v>269</v>
      </c>
      <c r="B9">
        <v>2</v>
      </c>
      <c r="D9" t="s">
        <v>283</v>
      </c>
      <c r="F9">
        <v>6</v>
      </c>
      <c r="G9" t="s">
        <v>286</v>
      </c>
      <c r="I9" t="s">
        <v>751</v>
      </c>
      <c r="K9" t="s">
        <v>283</v>
      </c>
      <c r="L9" t="s">
        <v>24</v>
      </c>
      <c r="M9" t="s">
        <v>297</v>
      </c>
      <c r="N9" s="14" t="s">
        <v>341</v>
      </c>
      <c r="O9">
        <v>3</v>
      </c>
    </row>
    <row r="10" spans="1:17" x14ac:dyDescent="0.25">
      <c r="A10" t="s">
        <v>269</v>
      </c>
      <c r="B10">
        <v>3</v>
      </c>
      <c r="D10" t="s">
        <v>283</v>
      </c>
      <c r="F10">
        <v>8</v>
      </c>
      <c r="G10" t="s">
        <v>286</v>
      </c>
      <c r="I10" t="s">
        <v>283</v>
      </c>
      <c r="K10" t="s">
        <v>286</v>
      </c>
      <c r="L10" t="s">
        <v>71</v>
      </c>
      <c r="M10" t="s">
        <v>300</v>
      </c>
      <c r="N10" s="14" t="s">
        <v>340</v>
      </c>
      <c r="P10" t="s">
        <v>291</v>
      </c>
    </row>
    <row r="11" spans="1:17" x14ac:dyDescent="0.25">
      <c r="A11" t="s">
        <v>269</v>
      </c>
      <c r="B11">
        <v>4</v>
      </c>
      <c r="C11" s="1">
        <v>43610</v>
      </c>
      <c r="D11" t="s">
        <v>298</v>
      </c>
      <c r="E11" t="s">
        <v>757</v>
      </c>
      <c r="G11" t="s">
        <v>286</v>
      </c>
      <c r="I11" t="s">
        <v>753</v>
      </c>
      <c r="J11">
        <v>200</v>
      </c>
      <c r="K11" t="s">
        <v>286</v>
      </c>
      <c r="L11" t="s">
        <v>117</v>
      </c>
      <c r="M11" t="s">
        <v>295</v>
      </c>
      <c r="N11" s="14"/>
      <c r="P11" t="s">
        <v>291</v>
      </c>
    </row>
    <row r="12" spans="1:17" x14ac:dyDescent="0.25">
      <c r="A12" t="s">
        <v>269</v>
      </c>
      <c r="B12">
        <v>5</v>
      </c>
      <c r="C12" s="1">
        <v>43610</v>
      </c>
      <c r="D12" t="s">
        <v>283</v>
      </c>
      <c r="F12">
        <v>9</v>
      </c>
      <c r="G12" t="s">
        <v>286</v>
      </c>
      <c r="I12" t="s">
        <v>752</v>
      </c>
      <c r="J12">
        <v>200</v>
      </c>
      <c r="K12" t="s">
        <v>286</v>
      </c>
      <c r="L12" t="s">
        <v>755</v>
      </c>
      <c r="M12" t="s">
        <v>300</v>
      </c>
      <c r="N12" s="14"/>
      <c r="O12">
        <v>3</v>
      </c>
      <c r="P12" t="s">
        <v>756</v>
      </c>
    </row>
    <row r="13" spans="1:17" x14ac:dyDescent="0.25">
      <c r="A13" t="s">
        <v>269</v>
      </c>
      <c r="B13">
        <v>6</v>
      </c>
      <c r="C13" s="1">
        <v>43613</v>
      </c>
      <c r="D13" t="s">
        <v>283</v>
      </c>
      <c r="F13">
        <v>9</v>
      </c>
      <c r="G13" t="s">
        <v>286</v>
      </c>
      <c r="I13" t="s">
        <v>752</v>
      </c>
      <c r="J13">
        <v>200</v>
      </c>
      <c r="K13" t="s">
        <v>286</v>
      </c>
      <c r="L13" t="s">
        <v>754</v>
      </c>
      <c r="M13" t="s">
        <v>300</v>
      </c>
      <c r="N13" s="14"/>
      <c r="O13">
        <v>3</v>
      </c>
      <c r="P13" t="s">
        <v>291</v>
      </c>
    </row>
    <row r="14" spans="1:17" x14ac:dyDescent="0.25">
      <c r="A14" t="s">
        <v>274</v>
      </c>
      <c r="B14">
        <v>1</v>
      </c>
      <c r="D14" t="s">
        <v>286</v>
      </c>
      <c r="E14" t="s">
        <v>451</v>
      </c>
      <c r="G14" t="s">
        <v>286</v>
      </c>
      <c r="H14">
        <v>2.5</v>
      </c>
      <c r="I14" t="s">
        <v>752</v>
      </c>
      <c r="J14">
        <v>15</v>
      </c>
      <c r="K14" t="s">
        <v>286</v>
      </c>
      <c r="L14" t="s">
        <v>452</v>
      </c>
      <c r="M14" t="s">
        <v>295</v>
      </c>
      <c r="N14" s="14" t="s">
        <v>340</v>
      </c>
      <c r="O14">
        <v>2</v>
      </c>
      <c r="P14" t="s">
        <v>283</v>
      </c>
      <c r="Q14" t="s">
        <v>335</v>
      </c>
    </row>
    <row r="15" spans="1:17" x14ac:dyDescent="0.25">
      <c r="A15" t="s">
        <v>274</v>
      </c>
      <c r="B15">
        <v>2</v>
      </c>
      <c r="D15" t="s">
        <v>298</v>
      </c>
      <c r="E15" t="s">
        <v>449</v>
      </c>
      <c r="G15" t="s">
        <v>286</v>
      </c>
      <c r="H15">
        <v>4.5</v>
      </c>
      <c r="I15" t="s">
        <v>752</v>
      </c>
      <c r="J15">
        <v>20</v>
      </c>
      <c r="K15" t="s">
        <v>283</v>
      </c>
      <c r="L15" t="s">
        <v>24</v>
      </c>
      <c r="M15" t="s">
        <v>297</v>
      </c>
      <c r="N15" s="14" t="s">
        <v>341</v>
      </c>
      <c r="O15">
        <v>2</v>
      </c>
      <c r="P15" t="s">
        <v>283</v>
      </c>
      <c r="Q15" t="s">
        <v>335</v>
      </c>
    </row>
    <row r="16" spans="1:17" x14ac:dyDescent="0.25">
      <c r="A16" t="s">
        <v>274</v>
      </c>
      <c r="B16">
        <v>3</v>
      </c>
      <c r="D16" t="s">
        <v>298</v>
      </c>
      <c r="E16" t="s">
        <v>449</v>
      </c>
      <c r="G16" t="s">
        <v>286</v>
      </c>
      <c r="H16">
        <v>5</v>
      </c>
      <c r="I16" t="s">
        <v>752</v>
      </c>
      <c r="J16">
        <v>18</v>
      </c>
      <c r="K16" t="s">
        <v>283</v>
      </c>
      <c r="L16" t="s">
        <v>24</v>
      </c>
      <c r="M16" t="s">
        <v>297</v>
      </c>
      <c r="N16" s="14" t="s">
        <v>341</v>
      </c>
      <c r="O16">
        <v>2</v>
      </c>
      <c r="P16" t="s">
        <v>25</v>
      </c>
      <c r="Q16" t="s">
        <v>335</v>
      </c>
    </row>
    <row r="17" spans="1:17" x14ac:dyDescent="0.25">
      <c r="A17" t="s">
        <v>274</v>
      </c>
      <c r="B17">
        <v>4</v>
      </c>
      <c r="D17" t="s">
        <v>286</v>
      </c>
      <c r="E17" t="s">
        <v>451</v>
      </c>
      <c r="G17" t="s">
        <v>286</v>
      </c>
      <c r="H17">
        <v>2.5</v>
      </c>
      <c r="I17" t="s">
        <v>752</v>
      </c>
      <c r="J17">
        <v>15</v>
      </c>
      <c r="K17" t="s">
        <v>286</v>
      </c>
      <c r="L17" t="s">
        <v>452</v>
      </c>
      <c r="M17" t="s">
        <v>295</v>
      </c>
      <c r="N17" s="14" t="s">
        <v>340</v>
      </c>
      <c r="O17">
        <v>2</v>
      </c>
      <c r="P17" t="s">
        <v>283</v>
      </c>
      <c r="Q17" t="s">
        <v>335</v>
      </c>
    </row>
    <row r="18" spans="1:17" x14ac:dyDescent="0.25">
      <c r="A18" t="s">
        <v>270</v>
      </c>
      <c r="B18">
        <v>1</v>
      </c>
      <c r="D18" t="s">
        <v>283</v>
      </c>
      <c r="F18">
        <v>1</v>
      </c>
      <c r="G18" t="s">
        <v>283</v>
      </c>
      <c r="I18" t="s">
        <v>283</v>
      </c>
      <c r="K18" t="s">
        <v>286</v>
      </c>
      <c r="L18" t="s">
        <v>71</v>
      </c>
      <c r="M18" s="14" t="s">
        <v>295</v>
      </c>
      <c r="N18" s="14" t="s">
        <v>340</v>
      </c>
      <c r="Q18" t="s">
        <v>337</v>
      </c>
    </row>
    <row r="19" spans="1:17" x14ac:dyDescent="0.25">
      <c r="A19" t="s">
        <v>270</v>
      </c>
      <c r="B19">
        <v>2</v>
      </c>
      <c r="D19" t="s">
        <v>286</v>
      </c>
      <c r="G19" t="s">
        <v>286</v>
      </c>
      <c r="I19" t="s">
        <v>286</v>
      </c>
      <c r="J19">
        <v>125</v>
      </c>
      <c r="K19" t="s">
        <v>283</v>
      </c>
      <c r="L19" t="s">
        <v>24</v>
      </c>
      <c r="M19" t="s">
        <v>297</v>
      </c>
      <c r="N19" s="14" t="s">
        <v>341</v>
      </c>
    </row>
    <row r="20" spans="1:17" x14ac:dyDescent="0.25">
      <c r="A20" t="s">
        <v>270</v>
      </c>
      <c r="B20">
        <v>3</v>
      </c>
      <c r="D20" t="s">
        <v>286</v>
      </c>
      <c r="G20" t="s">
        <v>283</v>
      </c>
      <c r="I20" t="s">
        <v>286</v>
      </c>
      <c r="J20">
        <v>200</v>
      </c>
      <c r="K20" s="14" t="s">
        <v>283</v>
      </c>
      <c r="M20" t="s">
        <v>283</v>
      </c>
      <c r="N20" s="14" t="s">
        <v>341</v>
      </c>
      <c r="P20" t="s">
        <v>333</v>
      </c>
    </row>
    <row r="21" spans="1:17" x14ac:dyDescent="0.25">
      <c r="A21" t="s">
        <v>271</v>
      </c>
      <c r="B21">
        <v>1</v>
      </c>
      <c r="D21" s="12" t="s">
        <v>286</v>
      </c>
      <c r="E21" s="12"/>
      <c r="G21" t="s">
        <v>286</v>
      </c>
      <c r="I21" t="s">
        <v>286</v>
      </c>
      <c r="K21" t="s">
        <v>283</v>
      </c>
      <c r="M21" s="14" t="s">
        <v>283</v>
      </c>
      <c r="N21" s="14" t="s">
        <v>341</v>
      </c>
    </row>
    <row r="22" spans="1:17" x14ac:dyDescent="0.25">
      <c r="A22" t="s">
        <v>271</v>
      </c>
      <c r="B22">
        <v>2</v>
      </c>
      <c r="D22" s="12" t="s">
        <v>286</v>
      </c>
      <c r="E22" s="12"/>
      <c r="G22" t="s">
        <v>283</v>
      </c>
      <c r="I22" t="s">
        <v>283</v>
      </c>
      <c r="K22" t="s">
        <v>283</v>
      </c>
      <c r="M22" s="14" t="s">
        <v>283</v>
      </c>
      <c r="N22" s="14" t="s">
        <v>341</v>
      </c>
    </row>
    <row r="23" spans="1:17" x14ac:dyDescent="0.25">
      <c r="A23" t="s">
        <v>271</v>
      </c>
      <c r="B23">
        <v>3</v>
      </c>
      <c r="D23" t="s">
        <v>298</v>
      </c>
      <c r="G23" s="12" t="s">
        <v>283</v>
      </c>
      <c r="H23" s="12"/>
      <c r="I23" t="s">
        <v>283</v>
      </c>
      <c r="K23" t="s">
        <v>283</v>
      </c>
      <c r="M23" s="14" t="s">
        <v>295</v>
      </c>
      <c r="N23" s="14" t="s">
        <v>340</v>
      </c>
    </row>
    <row r="24" spans="1:17" x14ac:dyDescent="0.25">
      <c r="A24" t="s">
        <v>271</v>
      </c>
      <c r="B24">
        <v>4</v>
      </c>
      <c r="G24" s="12"/>
      <c r="H24" s="12"/>
      <c r="M24" s="14" t="s">
        <v>297</v>
      </c>
      <c r="N24" s="14"/>
      <c r="Q24" t="s">
        <v>784</v>
      </c>
    </row>
    <row r="25" spans="1:17" x14ac:dyDescent="0.25">
      <c r="A25" t="s">
        <v>57</v>
      </c>
      <c r="B25">
        <v>1</v>
      </c>
      <c r="D25" t="s">
        <v>283</v>
      </c>
      <c r="G25" t="s">
        <v>286</v>
      </c>
      <c r="I25" t="s">
        <v>286</v>
      </c>
      <c r="J25">
        <v>150</v>
      </c>
      <c r="K25" t="s">
        <v>286</v>
      </c>
      <c r="M25" t="s">
        <v>300</v>
      </c>
      <c r="N25" s="14" t="s">
        <v>340</v>
      </c>
      <c r="Q25" t="s">
        <v>299</v>
      </c>
    </row>
    <row r="26" spans="1:17" x14ac:dyDescent="0.25">
      <c r="A26" t="s">
        <v>57</v>
      </c>
      <c r="B26">
        <v>2</v>
      </c>
      <c r="D26" t="s">
        <v>283</v>
      </c>
      <c r="G26" t="s">
        <v>283</v>
      </c>
      <c r="I26" t="s">
        <v>283</v>
      </c>
      <c r="K26" t="s">
        <v>283</v>
      </c>
      <c r="M26" t="s">
        <v>297</v>
      </c>
      <c r="N26" s="14" t="s">
        <v>341</v>
      </c>
      <c r="P26" t="s">
        <v>291</v>
      </c>
    </row>
    <row r="27" spans="1:17" x14ac:dyDescent="0.25">
      <c r="A27" t="s">
        <v>57</v>
      </c>
      <c r="B27">
        <v>3</v>
      </c>
      <c r="D27" t="s">
        <v>298</v>
      </c>
      <c r="G27" t="s">
        <v>286</v>
      </c>
      <c r="I27" t="s">
        <v>286</v>
      </c>
      <c r="J27">
        <v>150</v>
      </c>
      <c r="K27" t="s">
        <v>286</v>
      </c>
      <c r="L27" t="s">
        <v>301</v>
      </c>
      <c r="M27" t="s">
        <v>300</v>
      </c>
      <c r="N27" s="14" t="s">
        <v>340</v>
      </c>
    </row>
    <row r="28" spans="1:17" x14ac:dyDescent="0.25">
      <c r="A28" t="s">
        <v>118</v>
      </c>
      <c r="B28">
        <v>1</v>
      </c>
      <c r="C28" s="1">
        <v>43227</v>
      </c>
      <c r="D28" t="s">
        <v>283</v>
      </c>
      <c r="F28">
        <v>10</v>
      </c>
      <c r="G28" t="s">
        <v>286</v>
      </c>
      <c r="I28" t="s">
        <v>286</v>
      </c>
      <c r="J28">
        <v>96</v>
      </c>
      <c r="K28" t="s">
        <v>286</v>
      </c>
      <c r="L28" t="s">
        <v>25</v>
      </c>
      <c r="M28" s="14" t="s">
        <v>295</v>
      </c>
      <c r="N28" s="14" t="s">
        <v>340</v>
      </c>
      <c r="P28" t="s">
        <v>283</v>
      </c>
      <c r="Q28" t="s">
        <v>337</v>
      </c>
    </row>
    <row r="29" spans="1:17" x14ac:dyDescent="0.25">
      <c r="A29" t="s">
        <v>118</v>
      </c>
      <c r="B29">
        <v>2</v>
      </c>
      <c r="C29" s="1">
        <v>43230</v>
      </c>
      <c r="D29" t="s">
        <v>286</v>
      </c>
      <c r="F29" t="s">
        <v>287</v>
      </c>
      <c r="G29" t="s">
        <v>286</v>
      </c>
      <c r="I29" t="s">
        <v>752</v>
      </c>
      <c r="J29">
        <v>96</v>
      </c>
      <c r="K29" t="s">
        <v>286</v>
      </c>
      <c r="L29" t="s">
        <v>117</v>
      </c>
      <c r="M29" t="s">
        <v>297</v>
      </c>
      <c r="N29" s="14" t="s">
        <v>341</v>
      </c>
      <c r="O29">
        <v>2</v>
      </c>
      <c r="P29" t="s">
        <v>283</v>
      </c>
    </row>
    <row r="30" spans="1:17" x14ac:dyDescent="0.25">
      <c r="A30" t="s">
        <v>118</v>
      </c>
      <c r="B30">
        <v>3</v>
      </c>
      <c r="C30" s="1">
        <v>43231</v>
      </c>
      <c r="D30" t="s">
        <v>283</v>
      </c>
      <c r="F30">
        <v>3</v>
      </c>
      <c r="G30" t="s">
        <v>286</v>
      </c>
      <c r="I30" t="s">
        <v>286</v>
      </c>
      <c r="J30">
        <v>96</v>
      </c>
      <c r="K30" t="s">
        <v>286</v>
      </c>
      <c r="L30" t="s">
        <v>117</v>
      </c>
      <c r="M30" t="s">
        <v>300</v>
      </c>
      <c r="N30" s="15" t="s">
        <v>340</v>
      </c>
      <c r="P30" t="s">
        <v>25</v>
      </c>
    </row>
    <row r="31" spans="1:17" x14ac:dyDescent="0.25">
      <c r="A31" t="s">
        <v>268</v>
      </c>
      <c r="B31">
        <v>1</v>
      </c>
      <c r="D31" s="14" t="s">
        <v>283</v>
      </c>
      <c r="E31" s="14"/>
      <c r="G31" t="s">
        <v>286</v>
      </c>
      <c r="K31" t="s">
        <v>286</v>
      </c>
      <c r="M31" s="14" t="s">
        <v>300</v>
      </c>
      <c r="N31" s="15" t="s">
        <v>340</v>
      </c>
    </row>
    <row r="32" spans="1:17" x14ac:dyDescent="0.25">
      <c r="A32" t="s">
        <v>268</v>
      </c>
      <c r="B32">
        <v>2</v>
      </c>
      <c r="D32" s="14" t="s">
        <v>283</v>
      </c>
      <c r="E32" s="14"/>
      <c r="G32" t="s">
        <v>286</v>
      </c>
      <c r="K32" t="s">
        <v>286</v>
      </c>
      <c r="M32" s="14" t="s">
        <v>295</v>
      </c>
      <c r="N32" s="14" t="s">
        <v>340</v>
      </c>
    </row>
    <row r="33" spans="1:17" x14ac:dyDescent="0.25">
      <c r="A33" t="s">
        <v>268</v>
      </c>
      <c r="B33">
        <v>3</v>
      </c>
      <c r="D33" s="14" t="s">
        <v>283</v>
      </c>
      <c r="E33" s="14"/>
      <c r="G33" t="s">
        <v>286</v>
      </c>
      <c r="K33" t="s">
        <v>286</v>
      </c>
      <c r="M33" s="14" t="s">
        <v>295</v>
      </c>
      <c r="N33" s="14" t="s">
        <v>340</v>
      </c>
    </row>
    <row r="34" spans="1:17" x14ac:dyDescent="0.25">
      <c r="A34" t="s">
        <v>268</v>
      </c>
      <c r="B34">
        <v>4</v>
      </c>
      <c r="D34" s="14" t="s">
        <v>298</v>
      </c>
      <c r="E34" s="14" t="s">
        <v>763</v>
      </c>
      <c r="G34" t="s">
        <v>286</v>
      </c>
      <c r="I34" t="s">
        <v>753</v>
      </c>
      <c r="K34" t="s">
        <v>286</v>
      </c>
      <c r="L34" t="s">
        <v>117</v>
      </c>
      <c r="M34" s="14" t="s">
        <v>295</v>
      </c>
      <c r="N34" s="14"/>
      <c r="P34" t="s">
        <v>283</v>
      </c>
    </row>
    <row r="35" spans="1:17" x14ac:dyDescent="0.25">
      <c r="A35" t="s">
        <v>268</v>
      </c>
      <c r="B35">
        <v>5</v>
      </c>
      <c r="D35" s="14" t="s">
        <v>298</v>
      </c>
      <c r="E35" s="14" t="s">
        <v>763</v>
      </c>
      <c r="G35" t="s">
        <v>286</v>
      </c>
      <c r="I35" t="s">
        <v>753</v>
      </c>
      <c r="K35" t="s">
        <v>286</v>
      </c>
      <c r="L35" t="s">
        <v>117</v>
      </c>
      <c r="M35" s="14" t="s">
        <v>295</v>
      </c>
      <c r="N35" s="14"/>
      <c r="P35" t="s">
        <v>283</v>
      </c>
    </row>
    <row r="36" spans="1:17" x14ac:dyDescent="0.25">
      <c r="A36" t="s">
        <v>268</v>
      </c>
      <c r="B36">
        <v>6</v>
      </c>
      <c r="C36" s="1">
        <v>43607</v>
      </c>
      <c r="D36" s="14" t="s">
        <v>298</v>
      </c>
      <c r="E36" s="14" t="s">
        <v>763</v>
      </c>
      <c r="G36" t="s">
        <v>286</v>
      </c>
      <c r="I36" t="s">
        <v>753</v>
      </c>
      <c r="K36" t="s">
        <v>286</v>
      </c>
      <c r="L36" t="s">
        <v>117</v>
      </c>
      <c r="M36" s="14" t="s">
        <v>295</v>
      </c>
      <c r="N36" s="14"/>
      <c r="P36" t="s">
        <v>283</v>
      </c>
    </row>
    <row r="37" spans="1:17" x14ac:dyDescent="0.25">
      <c r="A37" t="s">
        <v>273</v>
      </c>
      <c r="B37">
        <v>1</v>
      </c>
      <c r="D37" t="s">
        <v>283</v>
      </c>
      <c r="F37">
        <v>5</v>
      </c>
      <c r="G37" t="s">
        <v>286</v>
      </c>
      <c r="I37" t="s">
        <v>286</v>
      </c>
      <c r="J37">
        <v>65</v>
      </c>
      <c r="K37" t="s">
        <v>283</v>
      </c>
      <c r="L37" t="s">
        <v>24</v>
      </c>
      <c r="M37" t="s">
        <v>297</v>
      </c>
      <c r="N37" s="14" t="s">
        <v>341</v>
      </c>
    </row>
    <row r="38" spans="1:17" x14ac:dyDescent="0.25">
      <c r="A38" t="s">
        <v>273</v>
      </c>
      <c r="B38">
        <v>2</v>
      </c>
      <c r="D38" t="s">
        <v>283</v>
      </c>
      <c r="F38">
        <v>5</v>
      </c>
      <c r="G38" t="s">
        <v>286</v>
      </c>
      <c r="I38" t="s">
        <v>286</v>
      </c>
      <c r="J38">
        <v>65</v>
      </c>
      <c r="K38" t="s">
        <v>286</v>
      </c>
      <c r="L38" t="s">
        <v>71</v>
      </c>
      <c r="M38" t="s">
        <v>295</v>
      </c>
      <c r="N38" s="14" t="s">
        <v>340</v>
      </c>
    </row>
    <row r="39" spans="1:17" x14ac:dyDescent="0.25">
      <c r="A39" t="s">
        <v>273</v>
      </c>
      <c r="B39">
        <v>3</v>
      </c>
      <c r="C39" s="1">
        <v>43611</v>
      </c>
      <c r="D39" s="14" t="s">
        <v>283</v>
      </c>
      <c r="F39">
        <v>8</v>
      </c>
      <c r="G39" t="s">
        <v>286</v>
      </c>
      <c r="H39">
        <v>5</v>
      </c>
      <c r="I39" t="s">
        <v>283</v>
      </c>
      <c r="K39" t="s">
        <v>286</v>
      </c>
      <c r="L39" t="s">
        <v>452</v>
      </c>
      <c r="M39" s="14" t="s">
        <v>300</v>
      </c>
      <c r="N39" s="14"/>
      <c r="P39" t="s">
        <v>736</v>
      </c>
      <c r="Q39" t="s">
        <v>735</v>
      </c>
    </row>
    <row r="40" spans="1:17" x14ac:dyDescent="0.25">
      <c r="A40" t="s">
        <v>273</v>
      </c>
      <c r="B40">
        <v>4</v>
      </c>
      <c r="C40" s="1">
        <v>43611</v>
      </c>
      <c r="D40" s="14" t="s">
        <v>283</v>
      </c>
      <c r="F40">
        <v>8</v>
      </c>
      <c r="G40" t="s">
        <v>286</v>
      </c>
      <c r="H40">
        <v>5</v>
      </c>
      <c r="I40" t="s">
        <v>283</v>
      </c>
      <c r="K40" t="s">
        <v>286</v>
      </c>
      <c r="L40" t="s">
        <v>452</v>
      </c>
      <c r="M40" s="14" t="s">
        <v>295</v>
      </c>
      <c r="N40" s="14"/>
      <c r="P40" t="s">
        <v>283</v>
      </c>
      <c r="Q40" t="s">
        <v>737</v>
      </c>
    </row>
    <row r="41" spans="1:17" x14ac:dyDescent="0.25">
      <c r="A41" t="s">
        <v>272</v>
      </c>
      <c r="B41">
        <v>1</v>
      </c>
      <c r="D41" t="s">
        <v>283</v>
      </c>
      <c r="F41">
        <v>20</v>
      </c>
      <c r="G41" t="s">
        <v>286</v>
      </c>
      <c r="I41" t="s">
        <v>283</v>
      </c>
      <c r="K41" t="s">
        <v>286</v>
      </c>
      <c r="L41" t="s">
        <v>25</v>
      </c>
      <c r="M41" t="s">
        <v>295</v>
      </c>
      <c r="N41" s="14" t="s">
        <v>340</v>
      </c>
    </row>
    <row r="42" spans="1:17" x14ac:dyDescent="0.25">
      <c r="A42" t="s">
        <v>272</v>
      </c>
      <c r="B42">
        <v>2</v>
      </c>
      <c r="D42" t="s">
        <v>283</v>
      </c>
      <c r="F42">
        <v>20</v>
      </c>
      <c r="G42" t="s">
        <v>286</v>
      </c>
      <c r="I42" t="s">
        <v>283</v>
      </c>
      <c r="K42" t="s">
        <v>286</v>
      </c>
      <c r="L42" t="s">
        <v>25</v>
      </c>
      <c r="M42" t="s">
        <v>295</v>
      </c>
      <c r="N42" s="14" t="s">
        <v>340</v>
      </c>
    </row>
    <row r="43" spans="1:17" x14ac:dyDescent="0.25">
      <c r="A43" t="s">
        <v>272</v>
      </c>
      <c r="B43">
        <v>3</v>
      </c>
      <c r="C43" s="1">
        <v>43609</v>
      </c>
      <c r="D43" t="s">
        <v>283</v>
      </c>
      <c r="G43" t="s">
        <v>283</v>
      </c>
      <c r="I43" t="s">
        <v>283</v>
      </c>
      <c r="K43" t="s">
        <v>286</v>
      </c>
      <c r="L43" t="s">
        <v>25</v>
      </c>
      <c r="M43" t="s">
        <v>297</v>
      </c>
      <c r="N43" s="14"/>
      <c r="P43" t="s">
        <v>283</v>
      </c>
    </row>
    <row r="44" spans="1:17" x14ac:dyDescent="0.25">
      <c r="A44" t="s">
        <v>272</v>
      </c>
      <c r="B44">
        <v>4</v>
      </c>
      <c r="C44" s="1">
        <v>43609</v>
      </c>
      <c r="D44" t="s">
        <v>283</v>
      </c>
      <c r="G44" t="s">
        <v>286</v>
      </c>
      <c r="H44">
        <v>5</v>
      </c>
      <c r="I44" t="s">
        <v>753</v>
      </c>
      <c r="K44" t="s">
        <v>286</v>
      </c>
      <c r="L44" t="s">
        <v>25</v>
      </c>
      <c r="M44" s="14" t="s">
        <v>297</v>
      </c>
      <c r="N44" s="14"/>
      <c r="P44" t="s">
        <v>283</v>
      </c>
    </row>
    <row r="45" spans="1:17" x14ac:dyDescent="0.25">
      <c r="A45" t="s">
        <v>59</v>
      </c>
      <c r="B45">
        <v>1</v>
      </c>
      <c r="D45" t="s">
        <v>283</v>
      </c>
      <c r="F45">
        <v>20</v>
      </c>
      <c r="G45" t="s">
        <v>286</v>
      </c>
      <c r="I45" t="s">
        <v>286</v>
      </c>
      <c r="J45">
        <v>80</v>
      </c>
      <c r="K45" t="s">
        <v>286</v>
      </c>
      <c r="L45" t="s">
        <v>71</v>
      </c>
      <c r="M45" t="s">
        <v>295</v>
      </c>
      <c r="N45" s="14" t="s">
        <v>340</v>
      </c>
    </row>
    <row r="46" spans="1:17" x14ac:dyDescent="0.25">
      <c r="A46" t="s">
        <v>59</v>
      </c>
      <c r="B46">
        <v>2</v>
      </c>
      <c r="D46" t="s">
        <v>283</v>
      </c>
      <c r="F46">
        <v>20</v>
      </c>
      <c r="G46" t="s">
        <v>283</v>
      </c>
      <c r="I46" t="s">
        <v>283</v>
      </c>
      <c r="K46" t="s">
        <v>286</v>
      </c>
      <c r="L46" t="s">
        <v>71</v>
      </c>
      <c r="M46" t="s">
        <v>295</v>
      </c>
      <c r="N46" s="14" t="s">
        <v>340</v>
      </c>
    </row>
    <row r="47" spans="1:17" x14ac:dyDescent="0.25">
      <c r="A47" t="s">
        <v>59</v>
      </c>
      <c r="B47">
        <v>3</v>
      </c>
      <c r="C47" s="1">
        <v>43609</v>
      </c>
      <c r="D47" t="s">
        <v>283</v>
      </c>
      <c r="F47">
        <v>20</v>
      </c>
      <c r="G47" t="s">
        <v>283</v>
      </c>
      <c r="I47" t="s">
        <v>283</v>
      </c>
      <c r="K47" t="s">
        <v>286</v>
      </c>
      <c r="L47" t="s">
        <v>452</v>
      </c>
      <c r="M47" t="s">
        <v>297</v>
      </c>
      <c r="N47" s="14"/>
      <c r="P47" t="s">
        <v>283</v>
      </c>
    </row>
    <row r="48" spans="1:17" x14ac:dyDescent="0.25">
      <c r="A48" t="s">
        <v>59</v>
      </c>
      <c r="B48">
        <v>4</v>
      </c>
      <c r="C48" s="1">
        <v>43609</v>
      </c>
      <c r="D48" t="s">
        <v>283</v>
      </c>
      <c r="F48">
        <v>20</v>
      </c>
      <c r="G48" t="s">
        <v>286</v>
      </c>
      <c r="H48">
        <v>4</v>
      </c>
      <c r="I48" t="s">
        <v>283</v>
      </c>
      <c r="K48" t="s">
        <v>286</v>
      </c>
      <c r="L48" t="s">
        <v>452</v>
      </c>
      <c r="M48" t="s">
        <v>297</v>
      </c>
      <c r="N48" s="14"/>
      <c r="P48" t="s">
        <v>283</v>
      </c>
    </row>
    <row r="49" spans="1:17" x14ac:dyDescent="0.25">
      <c r="A49" t="s">
        <v>58</v>
      </c>
      <c r="B49">
        <v>1</v>
      </c>
      <c r="D49" t="s">
        <v>298</v>
      </c>
      <c r="G49" t="s">
        <v>283</v>
      </c>
      <c r="I49" t="s">
        <v>286</v>
      </c>
      <c r="K49" t="s">
        <v>283</v>
      </c>
      <c r="L49" t="s">
        <v>24</v>
      </c>
      <c r="M49" t="s">
        <v>297</v>
      </c>
      <c r="N49" s="14" t="s">
        <v>341</v>
      </c>
    </row>
    <row r="50" spans="1:17" x14ac:dyDescent="0.25">
      <c r="A50" t="s">
        <v>58</v>
      </c>
      <c r="B50">
        <v>2</v>
      </c>
      <c r="D50" t="s">
        <v>298</v>
      </c>
      <c r="G50" t="s">
        <v>283</v>
      </c>
      <c r="I50" t="s">
        <v>286</v>
      </c>
      <c r="K50" t="s">
        <v>283</v>
      </c>
      <c r="L50" t="s">
        <v>24</v>
      </c>
      <c r="M50" t="s">
        <v>297</v>
      </c>
      <c r="N50" s="14" t="s">
        <v>341</v>
      </c>
    </row>
    <row r="51" spans="1:17" x14ac:dyDescent="0.25">
      <c r="A51" t="s">
        <v>58</v>
      </c>
      <c r="B51">
        <v>3</v>
      </c>
      <c r="D51" t="s">
        <v>298</v>
      </c>
      <c r="G51" t="s">
        <v>283</v>
      </c>
      <c r="I51" t="s">
        <v>286</v>
      </c>
      <c r="K51" t="s">
        <v>283</v>
      </c>
      <c r="L51" t="s">
        <v>24</v>
      </c>
      <c r="M51" t="s">
        <v>297</v>
      </c>
      <c r="N51" s="14" t="s">
        <v>341</v>
      </c>
    </row>
    <row r="52" spans="1:17" x14ac:dyDescent="0.25">
      <c r="A52" t="s">
        <v>447</v>
      </c>
      <c r="B52">
        <v>1</v>
      </c>
      <c r="C52" s="1">
        <v>43618</v>
      </c>
      <c r="D52" t="s">
        <v>286</v>
      </c>
      <c r="E52" t="s">
        <v>758</v>
      </c>
      <c r="G52" t="s">
        <v>283</v>
      </c>
      <c r="I52" t="s">
        <v>286</v>
      </c>
      <c r="K52" t="s">
        <v>286</v>
      </c>
      <c r="L52" t="s">
        <v>759</v>
      </c>
      <c r="M52" t="s">
        <v>297</v>
      </c>
      <c r="P52" t="s">
        <v>760</v>
      </c>
    </row>
    <row r="53" spans="1:17" x14ac:dyDescent="0.25">
      <c r="A53" t="s">
        <v>447</v>
      </c>
      <c r="B53">
        <v>2</v>
      </c>
      <c r="C53" s="1">
        <v>43618</v>
      </c>
      <c r="D53" t="s">
        <v>286</v>
      </c>
      <c r="E53" t="s">
        <v>758</v>
      </c>
      <c r="G53" t="s">
        <v>283</v>
      </c>
      <c r="I53" t="s">
        <v>286</v>
      </c>
      <c r="K53" t="s">
        <v>286</v>
      </c>
      <c r="L53" t="s">
        <v>761</v>
      </c>
      <c r="M53" t="s">
        <v>297</v>
      </c>
      <c r="P53" t="s">
        <v>760</v>
      </c>
    </row>
    <row r="54" spans="1:17" x14ac:dyDescent="0.25">
      <c r="A54" t="s">
        <v>447</v>
      </c>
      <c r="B54">
        <v>3</v>
      </c>
      <c r="C54" s="1">
        <v>43614</v>
      </c>
      <c r="D54" t="s">
        <v>298</v>
      </c>
      <c r="G54" t="s">
        <v>283</v>
      </c>
      <c r="I54" t="s">
        <v>283</v>
      </c>
      <c r="K54" t="s">
        <v>286</v>
      </c>
      <c r="L54" t="s">
        <v>291</v>
      </c>
      <c r="M54" t="s">
        <v>297</v>
      </c>
      <c r="P54" t="s">
        <v>768</v>
      </c>
      <c r="Q54" t="s">
        <v>762</v>
      </c>
    </row>
    <row r="55" spans="1:17" x14ac:dyDescent="0.25">
      <c r="A55" t="s">
        <v>445</v>
      </c>
      <c r="B55">
        <v>1</v>
      </c>
      <c r="D55" t="s">
        <v>298</v>
      </c>
      <c r="G55" t="s">
        <v>286</v>
      </c>
      <c r="I55" t="s">
        <v>753</v>
      </c>
      <c r="K55" t="s">
        <v>286</v>
      </c>
      <c r="L55" t="s">
        <v>24</v>
      </c>
      <c r="M55" t="s">
        <v>297</v>
      </c>
      <c r="P55" t="s">
        <v>767</v>
      </c>
      <c r="Q55" t="s">
        <v>781</v>
      </c>
    </row>
    <row r="56" spans="1:17" x14ac:dyDescent="0.25">
      <c r="A56" t="s">
        <v>445</v>
      </c>
      <c r="B56">
        <v>2</v>
      </c>
      <c r="D56" t="s">
        <v>286</v>
      </c>
      <c r="G56" t="s">
        <v>283</v>
      </c>
      <c r="I56" t="s">
        <v>753</v>
      </c>
      <c r="K56" t="s">
        <v>283</v>
      </c>
      <c r="L56" t="s">
        <v>333</v>
      </c>
      <c r="M56" t="s">
        <v>283</v>
      </c>
      <c r="P56" t="s">
        <v>283</v>
      </c>
      <c r="Q56" t="s">
        <v>766</v>
      </c>
    </row>
    <row r="57" spans="1:17" x14ac:dyDescent="0.25">
      <c r="A57" t="s">
        <v>445</v>
      </c>
      <c r="B57">
        <v>3</v>
      </c>
      <c r="D57" t="s">
        <v>283</v>
      </c>
      <c r="F57">
        <v>1</v>
      </c>
      <c r="G57" t="s">
        <v>283</v>
      </c>
      <c r="I57" t="s">
        <v>283</v>
      </c>
      <c r="K57" t="s">
        <v>283</v>
      </c>
      <c r="L57" t="s">
        <v>333</v>
      </c>
      <c r="M57" t="s">
        <v>297</v>
      </c>
      <c r="P57" t="s">
        <v>291</v>
      </c>
      <c r="Q57" t="s">
        <v>782</v>
      </c>
    </row>
    <row r="58" spans="1:17" x14ac:dyDescent="0.25">
      <c r="A58" t="s">
        <v>445</v>
      </c>
      <c r="B58">
        <v>4</v>
      </c>
      <c r="D58" t="s">
        <v>286</v>
      </c>
      <c r="E58" t="s">
        <v>769</v>
      </c>
      <c r="G58" t="s">
        <v>283</v>
      </c>
      <c r="I58" t="s">
        <v>283</v>
      </c>
      <c r="K58" t="s">
        <v>283</v>
      </c>
      <c r="L58" t="s">
        <v>24</v>
      </c>
      <c r="M58" t="s">
        <v>297</v>
      </c>
      <c r="P58" t="s">
        <v>770</v>
      </c>
      <c r="Q58" t="s">
        <v>783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52"/>
  <sheetViews>
    <sheetView workbookViewId="0">
      <selection activeCell="J18" sqref="J18"/>
    </sheetView>
  </sheetViews>
  <sheetFormatPr defaultColWidth="11" defaultRowHeight="15.75" x14ac:dyDescent="0.25"/>
  <sheetData>
    <row r="1" spans="1:9" x14ac:dyDescent="0.25">
      <c r="A1" t="s">
        <v>56</v>
      </c>
      <c r="C1" t="s">
        <v>60</v>
      </c>
      <c r="D1" t="s">
        <v>103</v>
      </c>
      <c r="E1" t="s">
        <v>102</v>
      </c>
      <c r="F1" t="s">
        <v>104</v>
      </c>
      <c r="G1" t="s">
        <v>105</v>
      </c>
      <c r="H1" t="s">
        <v>780</v>
      </c>
      <c r="I1" t="s">
        <v>779</v>
      </c>
    </row>
    <row r="2" spans="1:9" x14ac:dyDescent="0.25">
      <c r="A2" t="s">
        <v>11</v>
      </c>
      <c r="D2">
        <v>2017</v>
      </c>
      <c r="E2">
        <f>(1/0.0020833333333333)*F2</f>
        <v>1440.000000000023</v>
      </c>
      <c r="F2">
        <v>3</v>
      </c>
    </row>
    <row r="3" spans="1:9" x14ac:dyDescent="0.25">
      <c r="A3" t="s">
        <v>12</v>
      </c>
      <c r="D3">
        <v>2017</v>
      </c>
      <c r="E3">
        <f>(1/0.0020833333333333)*F3</f>
        <v>408.00000000000654</v>
      </c>
      <c r="F3">
        <v>0.85</v>
      </c>
    </row>
    <row r="4" spans="1:9" x14ac:dyDescent="0.25">
      <c r="A4" t="s">
        <v>13</v>
      </c>
      <c r="D4">
        <v>2017</v>
      </c>
      <c r="E4">
        <f>60*G4</f>
        <v>960</v>
      </c>
      <c r="G4">
        <v>16</v>
      </c>
    </row>
    <row r="5" spans="1:9" x14ac:dyDescent="0.25">
      <c r="A5" t="s">
        <v>58</v>
      </c>
      <c r="D5">
        <v>2017</v>
      </c>
    </row>
    <row r="6" spans="1:9" x14ac:dyDescent="0.25">
      <c r="A6" t="s">
        <v>59</v>
      </c>
      <c r="D6">
        <v>2017</v>
      </c>
      <c r="E6">
        <v>1469</v>
      </c>
    </row>
    <row r="7" spans="1:9" x14ac:dyDescent="0.25">
      <c r="A7" t="s">
        <v>116</v>
      </c>
      <c r="C7">
        <v>1</v>
      </c>
      <c r="D7">
        <v>2018</v>
      </c>
      <c r="E7">
        <v>1928</v>
      </c>
    </row>
    <row r="8" spans="1:9" x14ac:dyDescent="0.25">
      <c r="A8" t="s">
        <v>116</v>
      </c>
      <c r="C8">
        <v>2</v>
      </c>
      <c r="D8">
        <v>2018</v>
      </c>
      <c r="E8">
        <v>1736</v>
      </c>
    </row>
    <row r="9" spans="1:9" x14ac:dyDescent="0.25">
      <c r="A9" t="s">
        <v>116</v>
      </c>
      <c r="C9">
        <v>2</v>
      </c>
      <c r="D9">
        <v>2019</v>
      </c>
      <c r="E9">
        <v>796</v>
      </c>
    </row>
    <row r="10" spans="1:9" x14ac:dyDescent="0.25">
      <c r="A10" t="s">
        <v>116</v>
      </c>
      <c r="C10">
        <v>3</v>
      </c>
      <c r="D10">
        <v>2018</v>
      </c>
      <c r="E10">
        <v>1680</v>
      </c>
    </row>
    <row r="11" spans="1:9" x14ac:dyDescent="0.25">
      <c r="A11" t="s">
        <v>116</v>
      </c>
      <c r="C11">
        <v>4</v>
      </c>
      <c r="D11">
        <v>2019</v>
      </c>
    </row>
    <row r="12" spans="1:9" x14ac:dyDescent="0.25">
      <c r="A12" t="s">
        <v>116</v>
      </c>
      <c r="C12">
        <v>5</v>
      </c>
      <c r="D12">
        <v>2019</v>
      </c>
      <c r="E12">
        <v>1337</v>
      </c>
    </row>
    <row r="13" spans="1:9" x14ac:dyDescent="0.25">
      <c r="A13" t="s">
        <v>116</v>
      </c>
      <c r="C13">
        <v>6</v>
      </c>
      <c r="D13">
        <v>2019</v>
      </c>
      <c r="E13">
        <v>1275</v>
      </c>
    </row>
    <row r="14" spans="1:9" x14ac:dyDescent="0.25">
      <c r="A14" t="s">
        <v>118</v>
      </c>
      <c r="C14">
        <v>1</v>
      </c>
      <c r="D14">
        <v>2018</v>
      </c>
      <c r="E14">
        <v>1686</v>
      </c>
    </row>
    <row r="15" spans="1:9" x14ac:dyDescent="0.25">
      <c r="A15" t="s">
        <v>118</v>
      </c>
      <c r="C15">
        <v>2</v>
      </c>
      <c r="D15">
        <v>2018</v>
      </c>
      <c r="E15">
        <v>1367</v>
      </c>
    </row>
    <row r="16" spans="1:9" x14ac:dyDescent="0.25">
      <c r="A16" t="s">
        <v>118</v>
      </c>
      <c r="C16">
        <v>3</v>
      </c>
      <c r="D16">
        <v>2018</v>
      </c>
      <c r="E16">
        <v>1547</v>
      </c>
    </row>
    <row r="17" spans="1:10" x14ac:dyDescent="0.25">
      <c r="A17" t="s">
        <v>269</v>
      </c>
      <c r="C17">
        <v>1</v>
      </c>
      <c r="D17">
        <v>2018</v>
      </c>
      <c r="E17">
        <v>1760</v>
      </c>
    </row>
    <row r="18" spans="1:10" x14ac:dyDescent="0.25">
      <c r="A18" t="s">
        <v>269</v>
      </c>
      <c r="C18">
        <v>2</v>
      </c>
      <c r="D18">
        <v>2018</v>
      </c>
      <c r="E18">
        <v>1547</v>
      </c>
    </row>
    <row r="19" spans="1:10" x14ac:dyDescent="0.25">
      <c r="A19" t="s">
        <v>269</v>
      </c>
      <c r="C19">
        <v>3</v>
      </c>
      <c r="D19">
        <v>2018</v>
      </c>
      <c r="E19">
        <v>1463</v>
      </c>
    </row>
    <row r="20" spans="1:10" x14ac:dyDescent="0.25">
      <c r="A20" t="s">
        <v>268</v>
      </c>
      <c r="C20">
        <v>1</v>
      </c>
      <c r="D20">
        <v>2018</v>
      </c>
      <c r="E20">
        <v>684</v>
      </c>
      <c r="J20" t="s">
        <v>355</v>
      </c>
    </row>
    <row r="21" spans="1:10" x14ac:dyDescent="0.25">
      <c r="A21" t="s">
        <v>268</v>
      </c>
      <c r="C21">
        <v>2</v>
      </c>
      <c r="D21">
        <v>2018</v>
      </c>
      <c r="E21">
        <v>1612</v>
      </c>
    </row>
    <row r="22" spans="1:10" x14ac:dyDescent="0.25">
      <c r="A22" t="s">
        <v>268</v>
      </c>
      <c r="C22">
        <v>3</v>
      </c>
      <c r="D22">
        <v>2018</v>
      </c>
      <c r="E22">
        <v>1149</v>
      </c>
      <c r="J22" t="s">
        <v>356</v>
      </c>
    </row>
    <row r="23" spans="1:10" x14ac:dyDescent="0.25">
      <c r="A23" t="s">
        <v>271</v>
      </c>
      <c r="C23">
        <v>1</v>
      </c>
      <c r="D23">
        <v>2018</v>
      </c>
    </row>
    <row r="24" spans="1:10" x14ac:dyDescent="0.25">
      <c r="A24" t="s">
        <v>271</v>
      </c>
      <c r="C24">
        <v>2</v>
      </c>
      <c r="D24">
        <v>2018</v>
      </c>
      <c r="E24">
        <v>0</v>
      </c>
    </row>
    <row r="25" spans="1:10" x14ac:dyDescent="0.25">
      <c r="A25" t="s">
        <v>271</v>
      </c>
      <c r="C25">
        <v>3</v>
      </c>
      <c r="D25">
        <v>2018</v>
      </c>
      <c r="E25">
        <v>0</v>
      </c>
    </row>
    <row r="26" spans="1:10" x14ac:dyDescent="0.25">
      <c r="A26" t="s">
        <v>59</v>
      </c>
      <c r="C26">
        <v>1</v>
      </c>
      <c r="D26">
        <v>2018</v>
      </c>
      <c r="E26">
        <v>1512</v>
      </c>
    </row>
    <row r="27" spans="1:10" x14ac:dyDescent="0.25">
      <c r="A27" t="s">
        <v>59</v>
      </c>
      <c r="C27">
        <v>2</v>
      </c>
      <c r="D27">
        <v>2018</v>
      </c>
      <c r="E27">
        <v>431</v>
      </c>
    </row>
    <row r="28" spans="1:10" x14ac:dyDescent="0.25">
      <c r="A28" t="s">
        <v>273</v>
      </c>
      <c r="C28">
        <v>1</v>
      </c>
      <c r="D28">
        <v>2018</v>
      </c>
      <c r="E28">
        <v>0</v>
      </c>
      <c r="J28" t="s">
        <v>354</v>
      </c>
    </row>
    <row r="29" spans="1:10" x14ac:dyDescent="0.25">
      <c r="A29" t="s">
        <v>273</v>
      </c>
      <c r="C29">
        <v>2</v>
      </c>
      <c r="D29">
        <v>2018</v>
      </c>
      <c r="E29">
        <v>0</v>
      </c>
      <c r="J29" t="s">
        <v>354</v>
      </c>
    </row>
    <row r="30" spans="1:10" x14ac:dyDescent="0.25">
      <c r="A30" t="s">
        <v>272</v>
      </c>
      <c r="C30">
        <v>1</v>
      </c>
      <c r="D30">
        <v>2018</v>
      </c>
      <c r="E30">
        <v>1500</v>
      </c>
    </row>
    <row r="31" spans="1:10" x14ac:dyDescent="0.25">
      <c r="A31" t="s">
        <v>272</v>
      </c>
      <c r="C31">
        <v>2</v>
      </c>
      <c r="D31">
        <v>2018</v>
      </c>
      <c r="E31">
        <v>1500</v>
      </c>
    </row>
    <row r="32" spans="1:10" x14ac:dyDescent="0.25">
      <c r="A32" t="s">
        <v>270</v>
      </c>
      <c r="C32">
        <v>1</v>
      </c>
      <c r="D32">
        <v>2018</v>
      </c>
      <c r="F32">
        <f>H32/I32</f>
        <v>0.20236087689713322</v>
      </c>
      <c r="H32">
        <v>24</v>
      </c>
      <c r="I32">
        <v>118.6</v>
      </c>
    </row>
    <row r="33" spans="1:10" x14ac:dyDescent="0.25">
      <c r="A33" t="s">
        <v>270</v>
      </c>
      <c r="C33">
        <v>2</v>
      </c>
      <c r="D33">
        <v>2018</v>
      </c>
      <c r="F33">
        <f>H33/I33</f>
        <v>3.5128205128205128</v>
      </c>
      <c r="H33">
        <v>137</v>
      </c>
      <c r="I33">
        <v>39</v>
      </c>
    </row>
    <row r="34" spans="1:10" x14ac:dyDescent="0.25">
      <c r="A34" t="s">
        <v>270</v>
      </c>
      <c r="C34">
        <v>3</v>
      </c>
      <c r="D34">
        <v>2018</v>
      </c>
      <c r="F34">
        <f>H34/I34</f>
        <v>0.71750000000000003</v>
      </c>
      <c r="H34">
        <v>287</v>
      </c>
      <c r="I34">
        <v>400</v>
      </c>
    </row>
    <row r="35" spans="1:10" x14ac:dyDescent="0.25">
      <c r="A35" t="s">
        <v>274</v>
      </c>
      <c r="C35">
        <v>1</v>
      </c>
      <c r="D35">
        <v>2018</v>
      </c>
    </row>
    <row r="36" spans="1:10" x14ac:dyDescent="0.25">
      <c r="A36" t="s">
        <v>274</v>
      </c>
      <c r="C36">
        <v>2</v>
      </c>
      <c r="D36">
        <v>2018</v>
      </c>
    </row>
    <row r="37" spans="1:10" x14ac:dyDescent="0.25">
      <c r="A37" t="s">
        <v>274</v>
      </c>
      <c r="C37">
        <v>3</v>
      </c>
      <c r="D37">
        <v>2018</v>
      </c>
    </row>
    <row r="38" spans="1:10" x14ac:dyDescent="0.25">
      <c r="A38" t="s">
        <v>58</v>
      </c>
      <c r="C38">
        <v>1</v>
      </c>
      <c r="D38">
        <v>2018</v>
      </c>
    </row>
    <row r="39" spans="1:10" x14ac:dyDescent="0.25">
      <c r="A39" t="s">
        <v>58</v>
      </c>
      <c r="C39">
        <v>2</v>
      </c>
      <c r="D39">
        <v>2018</v>
      </c>
    </row>
    <row r="40" spans="1:10" x14ac:dyDescent="0.25">
      <c r="A40" t="s">
        <v>58</v>
      </c>
      <c r="C40">
        <v>3</v>
      </c>
      <c r="D40">
        <v>2018</v>
      </c>
    </row>
    <row r="41" spans="1:10" x14ac:dyDescent="0.25">
      <c r="A41" t="s">
        <v>57</v>
      </c>
      <c r="C41">
        <v>1</v>
      </c>
      <c r="D41">
        <v>2018</v>
      </c>
    </row>
    <row r="42" spans="1:10" x14ac:dyDescent="0.25">
      <c r="A42" t="s">
        <v>57</v>
      </c>
      <c r="C42">
        <v>2</v>
      </c>
      <c r="D42">
        <v>2018</v>
      </c>
    </row>
    <row r="43" spans="1:10" x14ac:dyDescent="0.25">
      <c r="A43" t="s">
        <v>57</v>
      </c>
      <c r="C43">
        <v>3</v>
      </c>
      <c r="D43">
        <v>2018</v>
      </c>
    </row>
    <row r="44" spans="1:10" x14ac:dyDescent="0.25">
      <c r="A44" t="s">
        <v>116</v>
      </c>
      <c r="C44">
        <v>4</v>
      </c>
      <c r="D44">
        <v>2019</v>
      </c>
      <c r="J44" t="s">
        <v>778</v>
      </c>
    </row>
    <row r="45" spans="1:10" x14ac:dyDescent="0.25">
      <c r="A45" t="s">
        <v>116</v>
      </c>
      <c r="C45">
        <v>5</v>
      </c>
      <c r="D45">
        <v>2019</v>
      </c>
      <c r="E45">
        <v>1337</v>
      </c>
    </row>
    <row r="46" spans="1:10" x14ac:dyDescent="0.25">
      <c r="A46" t="s">
        <v>116</v>
      </c>
      <c r="C46">
        <v>6</v>
      </c>
      <c r="D46">
        <v>2019</v>
      </c>
      <c r="E46">
        <v>1275</v>
      </c>
    </row>
    <row r="47" spans="1:10" x14ac:dyDescent="0.25">
      <c r="A47" t="s">
        <v>116</v>
      </c>
      <c r="C47">
        <v>2</v>
      </c>
      <c r="D47">
        <v>2019</v>
      </c>
      <c r="E47">
        <v>796</v>
      </c>
    </row>
    <row r="48" spans="1:10" x14ac:dyDescent="0.25">
      <c r="A48" t="s">
        <v>270</v>
      </c>
      <c r="C48">
        <v>1</v>
      </c>
      <c r="D48">
        <v>2019</v>
      </c>
      <c r="E48">
        <f>480*F48</f>
        <v>178.07757166947727</v>
      </c>
      <c r="F48">
        <f>H48/I48</f>
        <v>0.37099494097807761</v>
      </c>
      <c r="H48">
        <v>44</v>
      </c>
      <c r="I48">
        <v>118.6</v>
      </c>
    </row>
    <row r="49" spans="1:9" x14ac:dyDescent="0.25">
      <c r="A49" t="s">
        <v>270</v>
      </c>
      <c r="C49">
        <v>2</v>
      </c>
      <c r="D49">
        <v>2019</v>
      </c>
      <c r="E49">
        <f>480*F49</f>
        <v>1329.2307692307693</v>
      </c>
      <c r="F49">
        <f>H49/I49</f>
        <v>2.7692307692307692</v>
      </c>
      <c r="H49">
        <v>108</v>
      </c>
      <c r="I49">
        <v>39</v>
      </c>
    </row>
    <row r="50" spans="1:9" x14ac:dyDescent="0.25">
      <c r="A50" t="s">
        <v>270</v>
      </c>
      <c r="C50">
        <v>3</v>
      </c>
      <c r="D50">
        <v>2019</v>
      </c>
      <c r="E50">
        <f>480*F50</f>
        <v>302.39999999999998</v>
      </c>
      <c r="F50">
        <f>H50/I50</f>
        <v>0.63</v>
      </c>
      <c r="H50">
        <v>252</v>
      </c>
      <c r="I50">
        <v>400</v>
      </c>
    </row>
    <row r="51" spans="1:9" x14ac:dyDescent="0.25">
      <c r="A51" t="s">
        <v>447</v>
      </c>
      <c r="C51">
        <v>1</v>
      </c>
      <c r="D51">
        <v>2019</v>
      </c>
      <c r="E51">
        <v>158.63999999999999</v>
      </c>
      <c r="F51">
        <f>H51/I51</f>
        <v>0.32500000000000001</v>
      </c>
      <c r="H51">
        <v>39</v>
      </c>
      <c r="I51">
        <v>120</v>
      </c>
    </row>
    <row r="52" spans="1:9" x14ac:dyDescent="0.25">
      <c r="A52" t="s">
        <v>447</v>
      </c>
      <c r="C52">
        <v>2</v>
      </c>
      <c r="D52">
        <v>2019</v>
      </c>
      <c r="E52">
        <v>158.63999999999999</v>
      </c>
      <c r="F52">
        <f>H52/I52</f>
        <v>0.32500000000000001</v>
      </c>
      <c r="H52">
        <v>39</v>
      </c>
      <c r="I52">
        <v>120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36"/>
  <sheetViews>
    <sheetView workbookViewId="0">
      <selection activeCell="B2" sqref="B2"/>
    </sheetView>
  </sheetViews>
  <sheetFormatPr defaultColWidth="11" defaultRowHeight="15.75" x14ac:dyDescent="0.25"/>
  <cols>
    <col min="1" max="1" width="16.875" bestFit="1" customWidth="1"/>
    <col min="2" max="2" width="20.5" bestFit="1" customWidth="1"/>
  </cols>
  <sheetData>
    <row r="1" spans="1:3" x14ac:dyDescent="0.25">
      <c r="A1" t="s">
        <v>61</v>
      </c>
      <c r="B1" t="s">
        <v>62</v>
      </c>
      <c r="C1" t="s">
        <v>68</v>
      </c>
    </row>
    <row r="2" spans="1:3" x14ac:dyDescent="0.25">
      <c r="A2" t="s">
        <v>36</v>
      </c>
      <c r="B2" t="s">
        <v>63</v>
      </c>
    </row>
    <row r="3" spans="1:3" x14ac:dyDescent="0.25">
      <c r="A3" t="s">
        <v>37</v>
      </c>
      <c r="B3" t="s">
        <v>63</v>
      </c>
    </row>
    <row r="4" spans="1:3" x14ac:dyDescent="0.25">
      <c r="A4" t="s">
        <v>38</v>
      </c>
      <c r="B4" t="s">
        <v>64</v>
      </c>
      <c r="C4" t="s">
        <v>69</v>
      </c>
    </row>
    <row r="5" spans="1:3" x14ac:dyDescent="0.25">
      <c r="A5" t="s">
        <v>39</v>
      </c>
      <c r="B5" t="s">
        <v>64</v>
      </c>
      <c r="C5" t="s">
        <v>69</v>
      </c>
    </row>
    <row r="6" spans="1:3" x14ac:dyDescent="0.25">
      <c r="A6" t="s">
        <v>40</v>
      </c>
      <c r="B6" t="s">
        <v>64</v>
      </c>
      <c r="C6" t="s">
        <v>69</v>
      </c>
    </row>
    <row r="7" spans="1:3" x14ac:dyDescent="0.25">
      <c r="A7" t="s">
        <v>41</v>
      </c>
      <c r="B7" t="s">
        <v>64</v>
      </c>
      <c r="C7" t="s">
        <v>69</v>
      </c>
    </row>
    <row r="8" spans="1:3" x14ac:dyDescent="0.25">
      <c r="A8" t="s">
        <v>42</v>
      </c>
      <c r="B8" t="s">
        <v>64</v>
      </c>
      <c r="C8" t="s">
        <v>69</v>
      </c>
    </row>
    <row r="9" spans="1:3" x14ac:dyDescent="0.25">
      <c r="A9" t="s">
        <v>43</v>
      </c>
      <c r="B9" t="s">
        <v>64</v>
      </c>
      <c r="C9" t="s">
        <v>69</v>
      </c>
    </row>
    <row r="10" spans="1:3" x14ac:dyDescent="0.25">
      <c r="A10" t="s">
        <v>44</v>
      </c>
      <c r="B10" t="s">
        <v>64</v>
      </c>
      <c r="C10" t="s">
        <v>69</v>
      </c>
    </row>
    <row r="11" spans="1:3" x14ac:dyDescent="0.25">
      <c r="A11" t="s">
        <v>45</v>
      </c>
      <c r="B11" t="s">
        <v>64</v>
      </c>
      <c r="C11" t="s">
        <v>69</v>
      </c>
    </row>
    <row r="12" spans="1:3" x14ac:dyDescent="0.25">
      <c r="A12" t="s">
        <v>46</v>
      </c>
      <c r="B12" t="s">
        <v>64</v>
      </c>
      <c r="C12" t="s">
        <v>69</v>
      </c>
    </row>
    <row r="13" spans="1:3" x14ac:dyDescent="0.25">
      <c r="A13" t="s">
        <v>47</v>
      </c>
      <c r="B13" t="s">
        <v>64</v>
      </c>
      <c r="C13" t="s">
        <v>69</v>
      </c>
    </row>
    <row r="14" spans="1:3" x14ac:dyDescent="0.25">
      <c r="A14" t="s">
        <v>48</v>
      </c>
      <c r="B14" t="s">
        <v>65</v>
      </c>
    </row>
    <row r="15" spans="1:3" x14ac:dyDescent="0.25">
      <c r="A15" t="s">
        <v>49</v>
      </c>
      <c r="B15" t="s">
        <v>66</v>
      </c>
    </row>
    <row r="16" spans="1:3" x14ac:dyDescent="0.25">
      <c r="A16" t="s">
        <v>50</v>
      </c>
      <c r="B16" t="s">
        <v>66</v>
      </c>
    </row>
    <row r="17" spans="1:2" x14ac:dyDescent="0.25">
      <c r="A17" t="s">
        <v>51</v>
      </c>
      <c r="B17" t="s">
        <v>66</v>
      </c>
    </row>
    <row r="18" spans="1:2" x14ac:dyDescent="0.25">
      <c r="A18" t="s">
        <v>52</v>
      </c>
      <c r="B18" t="s">
        <v>66</v>
      </c>
    </row>
    <row r="19" spans="1:2" x14ac:dyDescent="0.25">
      <c r="A19" t="s">
        <v>53</v>
      </c>
      <c r="B19" t="s">
        <v>67</v>
      </c>
    </row>
    <row r="20" spans="1:2" x14ac:dyDescent="0.25">
      <c r="A20" t="s">
        <v>54</v>
      </c>
    </row>
    <row r="21" spans="1:2" x14ac:dyDescent="0.25">
      <c r="A21" t="s">
        <v>55</v>
      </c>
    </row>
    <row r="22" spans="1:2" x14ac:dyDescent="0.25">
      <c r="A22" t="s">
        <v>6</v>
      </c>
    </row>
    <row r="23" spans="1:2" x14ac:dyDescent="0.25">
      <c r="A23" t="s">
        <v>785</v>
      </c>
    </row>
    <row r="24" spans="1:2" x14ac:dyDescent="0.25">
      <c r="A24" t="s">
        <v>116</v>
      </c>
      <c r="B24" t="s">
        <v>786</v>
      </c>
    </row>
    <row r="25" spans="1:2" x14ac:dyDescent="0.25">
      <c r="A25" t="s">
        <v>269</v>
      </c>
      <c r="B25" t="s">
        <v>787</v>
      </c>
    </row>
    <row r="26" spans="1:2" x14ac:dyDescent="0.25">
      <c r="A26" t="s">
        <v>274</v>
      </c>
      <c r="B26" t="s">
        <v>788</v>
      </c>
    </row>
    <row r="27" spans="1:2" x14ac:dyDescent="0.25">
      <c r="A27" t="s">
        <v>270</v>
      </c>
      <c r="B27" t="s">
        <v>789</v>
      </c>
    </row>
    <row r="28" spans="1:2" x14ac:dyDescent="0.25">
      <c r="A28" t="s">
        <v>271</v>
      </c>
      <c r="B28" t="s">
        <v>790</v>
      </c>
    </row>
    <row r="29" spans="1:2" x14ac:dyDescent="0.25">
      <c r="A29" t="s">
        <v>57</v>
      </c>
      <c r="B29" t="s">
        <v>791</v>
      </c>
    </row>
    <row r="30" spans="1:2" x14ac:dyDescent="0.25">
      <c r="A30" t="s">
        <v>118</v>
      </c>
      <c r="B30" t="s">
        <v>792</v>
      </c>
    </row>
    <row r="31" spans="1:2" x14ac:dyDescent="0.25">
      <c r="A31" t="s">
        <v>268</v>
      </c>
      <c r="B31" t="s">
        <v>793</v>
      </c>
    </row>
    <row r="32" spans="1:2" x14ac:dyDescent="0.25">
      <c r="A32" t="s">
        <v>273</v>
      </c>
      <c r="B32" t="s">
        <v>794</v>
      </c>
    </row>
    <row r="33" spans="1:2" x14ac:dyDescent="0.25">
      <c r="A33" t="s">
        <v>272</v>
      </c>
      <c r="B33" t="s">
        <v>795</v>
      </c>
    </row>
    <row r="34" spans="1:2" x14ac:dyDescent="0.25">
      <c r="A34" t="s">
        <v>59</v>
      </c>
      <c r="B34" t="s">
        <v>796</v>
      </c>
    </row>
    <row r="35" spans="1:2" x14ac:dyDescent="0.25">
      <c r="A35" t="s">
        <v>58</v>
      </c>
      <c r="B35" t="s">
        <v>797</v>
      </c>
    </row>
    <row r="36" spans="1:2" x14ac:dyDescent="0.25">
      <c r="A36" t="s">
        <v>447</v>
      </c>
      <c r="B36" t="s">
        <v>798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300"/>
  <sheetViews>
    <sheetView topLeftCell="A260" workbookViewId="0">
      <selection activeCell="F289" sqref="F289"/>
    </sheetView>
  </sheetViews>
  <sheetFormatPr defaultColWidth="11" defaultRowHeight="15.75" x14ac:dyDescent="0.25"/>
  <sheetData>
    <row r="1" spans="1:6" x14ac:dyDescent="0.25">
      <c r="A1" t="s">
        <v>87</v>
      </c>
      <c r="B1" t="s">
        <v>88</v>
      </c>
      <c r="C1" t="s">
        <v>89</v>
      </c>
      <c r="D1" t="s">
        <v>56</v>
      </c>
      <c r="E1" t="s">
        <v>103</v>
      </c>
      <c r="F1" t="s">
        <v>288</v>
      </c>
    </row>
    <row r="2" spans="1:6" x14ac:dyDescent="0.25">
      <c r="A2" t="s">
        <v>90</v>
      </c>
      <c r="B2" t="s">
        <v>91</v>
      </c>
      <c r="C2">
        <v>0</v>
      </c>
      <c r="D2" t="s">
        <v>11</v>
      </c>
      <c r="E2">
        <v>2017</v>
      </c>
    </row>
    <row r="3" spans="1:6" x14ac:dyDescent="0.25">
      <c r="A3" t="s">
        <v>90</v>
      </c>
      <c r="B3" t="s">
        <v>92</v>
      </c>
      <c r="C3">
        <v>15</v>
      </c>
      <c r="D3" t="s">
        <v>11</v>
      </c>
      <c r="E3">
        <v>2017</v>
      </c>
    </row>
    <row r="4" spans="1:6" x14ac:dyDescent="0.25">
      <c r="A4" t="s">
        <v>93</v>
      </c>
      <c r="B4" t="s">
        <v>94</v>
      </c>
      <c r="C4">
        <v>0</v>
      </c>
      <c r="D4" t="s">
        <v>11</v>
      </c>
      <c r="E4">
        <v>2017</v>
      </c>
    </row>
    <row r="5" spans="1:6" x14ac:dyDescent="0.25">
      <c r="A5" t="s">
        <v>93</v>
      </c>
      <c r="B5" t="s">
        <v>95</v>
      </c>
      <c r="C5">
        <v>15</v>
      </c>
      <c r="D5" t="s">
        <v>11</v>
      </c>
      <c r="E5">
        <v>2017</v>
      </c>
    </row>
    <row r="6" spans="1:6" x14ac:dyDescent="0.25">
      <c r="A6" t="s">
        <v>96</v>
      </c>
      <c r="B6" t="s">
        <v>91</v>
      </c>
      <c r="C6">
        <v>0</v>
      </c>
      <c r="D6" t="s">
        <v>12</v>
      </c>
      <c r="E6">
        <v>2017</v>
      </c>
    </row>
    <row r="7" spans="1:6" x14ac:dyDescent="0.25">
      <c r="A7" t="s">
        <v>96</v>
      </c>
      <c r="B7" t="s">
        <v>92</v>
      </c>
      <c r="C7">
        <v>15</v>
      </c>
      <c r="D7" t="s">
        <v>12</v>
      </c>
      <c r="E7">
        <v>2017</v>
      </c>
    </row>
    <row r="8" spans="1:6" x14ac:dyDescent="0.25">
      <c r="A8" t="s">
        <v>97</v>
      </c>
      <c r="B8" t="s">
        <v>94</v>
      </c>
      <c r="C8">
        <v>0</v>
      </c>
      <c r="D8" t="s">
        <v>12</v>
      </c>
      <c r="E8">
        <v>2017</v>
      </c>
    </row>
    <row r="9" spans="1:6" x14ac:dyDescent="0.25">
      <c r="A9" t="s">
        <v>97</v>
      </c>
      <c r="B9" t="s">
        <v>95</v>
      </c>
      <c r="C9">
        <v>15</v>
      </c>
      <c r="D9" t="s">
        <v>12</v>
      </c>
      <c r="E9">
        <v>2017</v>
      </c>
    </row>
    <row r="10" spans="1:6" x14ac:dyDescent="0.25">
      <c r="A10" t="s">
        <v>98</v>
      </c>
      <c r="B10" t="s">
        <v>94</v>
      </c>
      <c r="C10">
        <v>0</v>
      </c>
      <c r="D10" t="s">
        <v>13</v>
      </c>
      <c r="E10">
        <v>2017</v>
      </c>
    </row>
    <row r="11" spans="1:6" x14ac:dyDescent="0.25">
      <c r="A11" t="s">
        <v>98</v>
      </c>
      <c r="B11" t="s">
        <v>95</v>
      </c>
      <c r="C11">
        <v>15</v>
      </c>
      <c r="D11" t="s">
        <v>13</v>
      </c>
      <c r="E11">
        <v>2017</v>
      </c>
    </row>
    <row r="12" spans="1:6" x14ac:dyDescent="0.25">
      <c r="A12" t="s">
        <v>99</v>
      </c>
      <c r="B12" t="s">
        <v>91</v>
      </c>
      <c r="C12">
        <v>0</v>
      </c>
      <c r="D12" t="s">
        <v>13</v>
      </c>
      <c r="E12">
        <v>2017</v>
      </c>
    </row>
    <row r="13" spans="1:6" x14ac:dyDescent="0.25">
      <c r="A13" t="s">
        <v>99</v>
      </c>
      <c r="B13" t="s">
        <v>92</v>
      </c>
      <c r="C13">
        <v>15</v>
      </c>
      <c r="D13" t="s">
        <v>13</v>
      </c>
      <c r="E13">
        <v>2017</v>
      </c>
    </row>
    <row r="14" spans="1:6" x14ac:dyDescent="0.25">
      <c r="A14" t="s">
        <v>100</v>
      </c>
      <c r="B14" t="s">
        <v>91</v>
      </c>
      <c r="C14">
        <v>0</v>
      </c>
      <c r="D14" t="s">
        <v>58</v>
      </c>
      <c r="E14">
        <v>2017</v>
      </c>
    </row>
    <row r="15" spans="1:6" x14ac:dyDescent="0.25">
      <c r="A15" t="s">
        <v>100</v>
      </c>
      <c r="B15" t="s">
        <v>92</v>
      </c>
      <c r="C15">
        <v>15</v>
      </c>
      <c r="D15" t="s">
        <v>58</v>
      </c>
      <c r="E15">
        <v>2017</v>
      </c>
    </row>
    <row r="16" spans="1:6" x14ac:dyDescent="0.25">
      <c r="A16" t="s">
        <v>101</v>
      </c>
      <c r="B16" t="s">
        <v>94</v>
      </c>
      <c r="C16">
        <v>0</v>
      </c>
      <c r="D16" t="s">
        <v>58</v>
      </c>
      <c r="E16">
        <v>2017</v>
      </c>
    </row>
    <row r="17" spans="1:5" x14ac:dyDescent="0.25">
      <c r="A17" t="s">
        <v>101</v>
      </c>
      <c r="B17" t="s">
        <v>92</v>
      </c>
      <c r="C17">
        <v>15</v>
      </c>
      <c r="D17" t="s">
        <v>58</v>
      </c>
      <c r="E17">
        <v>2017</v>
      </c>
    </row>
    <row r="18" spans="1:5" x14ac:dyDescent="0.25">
      <c r="A18" t="s">
        <v>7</v>
      </c>
      <c r="B18" t="s">
        <v>94</v>
      </c>
      <c r="C18">
        <v>0</v>
      </c>
      <c r="D18" t="s">
        <v>59</v>
      </c>
      <c r="E18">
        <v>2017</v>
      </c>
    </row>
    <row r="19" spans="1:5" x14ac:dyDescent="0.25">
      <c r="A19" t="s">
        <v>7</v>
      </c>
      <c r="B19" t="s">
        <v>95</v>
      </c>
      <c r="C19">
        <v>15</v>
      </c>
      <c r="D19" t="s">
        <v>59</v>
      </c>
      <c r="E19">
        <v>2017</v>
      </c>
    </row>
    <row r="20" spans="1:5" x14ac:dyDescent="0.25">
      <c r="A20" t="s">
        <v>8</v>
      </c>
      <c r="B20" t="s">
        <v>94</v>
      </c>
      <c r="C20">
        <v>0</v>
      </c>
      <c r="D20" t="s">
        <v>59</v>
      </c>
      <c r="E20">
        <v>2017</v>
      </c>
    </row>
    <row r="21" spans="1:5" x14ac:dyDescent="0.25">
      <c r="A21" t="s">
        <v>8</v>
      </c>
      <c r="B21" t="s">
        <v>95</v>
      </c>
      <c r="C21">
        <v>15</v>
      </c>
      <c r="D21" t="s">
        <v>59</v>
      </c>
      <c r="E21">
        <v>2017</v>
      </c>
    </row>
    <row r="22" spans="1:5" x14ac:dyDescent="0.25">
      <c r="A22" t="s">
        <v>125</v>
      </c>
      <c r="B22" t="s">
        <v>94</v>
      </c>
      <c r="C22">
        <v>0</v>
      </c>
      <c r="D22" t="s">
        <v>120</v>
      </c>
      <c r="E22">
        <v>2017</v>
      </c>
    </row>
    <row r="23" spans="1:5" x14ac:dyDescent="0.25">
      <c r="A23" t="s">
        <v>125</v>
      </c>
      <c r="B23" t="s">
        <v>95</v>
      </c>
      <c r="C23">
        <v>15</v>
      </c>
      <c r="D23" t="s">
        <v>120</v>
      </c>
      <c r="E23">
        <v>2017</v>
      </c>
    </row>
    <row r="24" spans="1:5" x14ac:dyDescent="0.25">
      <c r="A24" t="s">
        <v>126</v>
      </c>
      <c r="B24" t="s">
        <v>94</v>
      </c>
      <c r="C24">
        <v>0</v>
      </c>
      <c r="D24" t="s">
        <v>120</v>
      </c>
      <c r="E24">
        <v>2017</v>
      </c>
    </row>
    <row r="25" spans="1:5" x14ac:dyDescent="0.25">
      <c r="A25" t="s">
        <v>126</v>
      </c>
      <c r="B25" t="s">
        <v>95</v>
      </c>
      <c r="C25">
        <v>15</v>
      </c>
      <c r="D25" t="s">
        <v>120</v>
      </c>
      <c r="E25">
        <v>2017</v>
      </c>
    </row>
    <row r="26" spans="1:5" x14ac:dyDescent="0.25">
      <c r="A26" t="s">
        <v>127</v>
      </c>
      <c r="B26" t="s">
        <v>94</v>
      </c>
      <c r="C26">
        <v>0</v>
      </c>
      <c r="D26" t="s">
        <v>120</v>
      </c>
      <c r="E26">
        <v>2017</v>
      </c>
    </row>
    <row r="27" spans="1:5" x14ac:dyDescent="0.25">
      <c r="A27" t="s">
        <v>127</v>
      </c>
      <c r="B27" t="s">
        <v>95</v>
      </c>
      <c r="C27">
        <v>15</v>
      </c>
      <c r="D27" t="s">
        <v>120</v>
      </c>
      <c r="E27">
        <v>2017</v>
      </c>
    </row>
    <row r="28" spans="1:5" x14ac:dyDescent="0.25">
      <c r="A28" t="s">
        <v>128</v>
      </c>
      <c r="B28" t="s">
        <v>94</v>
      </c>
      <c r="C28">
        <v>0</v>
      </c>
      <c r="D28" t="s">
        <v>120</v>
      </c>
      <c r="E28">
        <v>2017</v>
      </c>
    </row>
    <row r="29" spans="1:5" x14ac:dyDescent="0.25">
      <c r="A29" t="s">
        <v>128</v>
      </c>
      <c r="B29" t="s">
        <v>95</v>
      </c>
      <c r="C29">
        <v>15</v>
      </c>
      <c r="D29" t="s">
        <v>120</v>
      </c>
      <c r="E29">
        <v>2017</v>
      </c>
    </row>
    <row r="30" spans="1:5" x14ac:dyDescent="0.25">
      <c r="A30" t="s">
        <v>129</v>
      </c>
      <c r="B30" t="s">
        <v>94</v>
      </c>
      <c r="C30">
        <v>0</v>
      </c>
      <c r="D30" t="s">
        <v>116</v>
      </c>
      <c r="E30">
        <v>2017</v>
      </c>
    </row>
    <row r="31" spans="1:5" x14ac:dyDescent="0.25">
      <c r="A31" t="s">
        <v>129</v>
      </c>
      <c r="B31" t="s">
        <v>95</v>
      </c>
      <c r="C31">
        <v>15</v>
      </c>
      <c r="D31" t="s">
        <v>116</v>
      </c>
      <c r="E31">
        <v>2017</v>
      </c>
    </row>
    <row r="32" spans="1:5" x14ac:dyDescent="0.25">
      <c r="A32" t="s">
        <v>130</v>
      </c>
      <c r="B32" t="s">
        <v>94</v>
      </c>
      <c r="C32">
        <v>0</v>
      </c>
      <c r="D32" t="s">
        <v>116</v>
      </c>
      <c r="E32">
        <v>2017</v>
      </c>
    </row>
    <row r="33" spans="1:5" x14ac:dyDescent="0.25">
      <c r="A33" t="s">
        <v>130</v>
      </c>
      <c r="B33" t="s">
        <v>95</v>
      </c>
      <c r="C33">
        <v>15</v>
      </c>
      <c r="D33" t="s">
        <v>116</v>
      </c>
      <c r="E33">
        <v>2017</v>
      </c>
    </row>
    <row r="34" spans="1:5" x14ac:dyDescent="0.25">
      <c r="A34" t="s">
        <v>131</v>
      </c>
      <c r="B34" t="s">
        <v>94</v>
      </c>
      <c r="C34">
        <v>0</v>
      </c>
      <c r="D34" t="s">
        <v>116</v>
      </c>
      <c r="E34">
        <v>2017</v>
      </c>
    </row>
    <row r="35" spans="1:5" x14ac:dyDescent="0.25">
      <c r="A35" t="s">
        <v>131</v>
      </c>
      <c r="B35" t="s">
        <v>95</v>
      </c>
      <c r="C35">
        <v>15</v>
      </c>
      <c r="D35" t="s">
        <v>116</v>
      </c>
      <c r="E35">
        <v>2017</v>
      </c>
    </row>
    <row r="36" spans="1:5" x14ac:dyDescent="0.25">
      <c r="A36" t="s">
        <v>132</v>
      </c>
      <c r="B36" t="s">
        <v>94</v>
      </c>
      <c r="C36">
        <v>0</v>
      </c>
      <c r="D36" t="s">
        <v>116</v>
      </c>
      <c r="E36">
        <v>2017</v>
      </c>
    </row>
    <row r="37" spans="1:5" x14ac:dyDescent="0.25">
      <c r="A37" t="s">
        <v>132</v>
      </c>
      <c r="B37" t="s">
        <v>95</v>
      </c>
      <c r="C37">
        <v>15</v>
      </c>
      <c r="D37" t="s">
        <v>116</v>
      </c>
      <c r="E37">
        <v>2017</v>
      </c>
    </row>
    <row r="38" spans="1:5" x14ac:dyDescent="0.25">
      <c r="A38" t="s">
        <v>133</v>
      </c>
      <c r="B38" t="s">
        <v>94</v>
      </c>
      <c r="C38">
        <v>0</v>
      </c>
      <c r="D38" t="s">
        <v>116</v>
      </c>
      <c r="E38">
        <v>2017</v>
      </c>
    </row>
    <row r="39" spans="1:5" x14ac:dyDescent="0.25">
      <c r="A39" t="s">
        <v>133</v>
      </c>
      <c r="B39" t="s">
        <v>95</v>
      </c>
      <c r="C39">
        <v>15</v>
      </c>
      <c r="D39" t="s">
        <v>116</v>
      </c>
      <c r="E39">
        <v>2017</v>
      </c>
    </row>
    <row r="40" spans="1:5" x14ac:dyDescent="0.25">
      <c r="A40" t="s">
        <v>134</v>
      </c>
      <c r="B40" t="s">
        <v>94</v>
      </c>
      <c r="C40">
        <v>0</v>
      </c>
      <c r="D40" t="s">
        <v>116</v>
      </c>
      <c r="E40">
        <v>2017</v>
      </c>
    </row>
    <row r="41" spans="1:5" x14ac:dyDescent="0.25">
      <c r="A41" t="s">
        <v>134</v>
      </c>
      <c r="B41" t="s">
        <v>95</v>
      </c>
      <c r="C41">
        <v>15</v>
      </c>
      <c r="D41" t="s">
        <v>116</v>
      </c>
      <c r="E41">
        <v>2017</v>
      </c>
    </row>
    <row r="42" spans="1:5" x14ac:dyDescent="0.25">
      <c r="A42" t="s">
        <v>232</v>
      </c>
      <c r="B42" t="s">
        <v>350</v>
      </c>
      <c r="C42">
        <v>0</v>
      </c>
      <c r="D42" t="s">
        <v>59</v>
      </c>
      <c r="E42">
        <v>2018</v>
      </c>
    </row>
    <row r="43" spans="1:5" x14ac:dyDescent="0.25">
      <c r="A43" t="s">
        <v>232</v>
      </c>
      <c r="B43" t="s">
        <v>351</v>
      </c>
      <c r="C43">
        <v>0</v>
      </c>
      <c r="D43" t="s">
        <v>59</v>
      </c>
      <c r="E43">
        <v>2018</v>
      </c>
    </row>
    <row r="44" spans="1:5" x14ac:dyDescent="0.25">
      <c r="A44" t="s">
        <v>232</v>
      </c>
      <c r="B44" t="s">
        <v>352</v>
      </c>
      <c r="C44">
        <v>15</v>
      </c>
      <c r="D44" t="s">
        <v>59</v>
      </c>
      <c r="E44">
        <v>2018</v>
      </c>
    </row>
    <row r="45" spans="1:5" x14ac:dyDescent="0.25">
      <c r="A45" t="s">
        <v>232</v>
      </c>
      <c r="B45" t="s">
        <v>353</v>
      </c>
      <c r="C45">
        <v>15</v>
      </c>
      <c r="D45" t="s">
        <v>59</v>
      </c>
      <c r="E45">
        <v>2018</v>
      </c>
    </row>
    <row r="46" spans="1:5" x14ac:dyDescent="0.25">
      <c r="A46" t="s">
        <v>236</v>
      </c>
      <c r="B46" t="s">
        <v>350</v>
      </c>
      <c r="C46">
        <v>0</v>
      </c>
      <c r="D46" t="s">
        <v>59</v>
      </c>
      <c r="E46">
        <v>2018</v>
      </c>
    </row>
    <row r="47" spans="1:5" x14ac:dyDescent="0.25">
      <c r="A47" t="s">
        <v>236</v>
      </c>
      <c r="B47" t="s">
        <v>351</v>
      </c>
      <c r="C47">
        <v>0</v>
      </c>
      <c r="D47" t="s">
        <v>59</v>
      </c>
      <c r="E47">
        <v>2018</v>
      </c>
    </row>
    <row r="48" spans="1:5" x14ac:dyDescent="0.25">
      <c r="A48" t="s">
        <v>236</v>
      </c>
      <c r="B48" t="s">
        <v>352</v>
      </c>
      <c r="C48">
        <v>15</v>
      </c>
      <c r="D48" t="s">
        <v>59</v>
      </c>
      <c r="E48">
        <v>2018</v>
      </c>
    </row>
    <row r="49" spans="1:5" x14ac:dyDescent="0.25">
      <c r="A49" t="s">
        <v>236</v>
      </c>
      <c r="B49" t="s">
        <v>353</v>
      </c>
      <c r="C49">
        <v>15</v>
      </c>
      <c r="D49" t="s">
        <v>59</v>
      </c>
      <c r="E49">
        <v>2018</v>
      </c>
    </row>
    <row r="50" spans="1:5" x14ac:dyDescent="0.25">
      <c r="A50" t="s">
        <v>252</v>
      </c>
      <c r="B50" t="s">
        <v>350</v>
      </c>
      <c r="C50">
        <v>0</v>
      </c>
      <c r="D50" t="s">
        <v>274</v>
      </c>
      <c r="E50">
        <v>2018</v>
      </c>
    </row>
    <row r="51" spans="1:5" x14ac:dyDescent="0.25">
      <c r="A51" t="s">
        <v>252</v>
      </c>
      <c r="B51" t="s">
        <v>351</v>
      </c>
      <c r="C51">
        <v>0</v>
      </c>
      <c r="D51" t="s">
        <v>274</v>
      </c>
      <c r="E51">
        <v>2018</v>
      </c>
    </row>
    <row r="52" spans="1:5" x14ac:dyDescent="0.25">
      <c r="A52" t="s">
        <v>252</v>
      </c>
      <c r="B52" t="s">
        <v>352</v>
      </c>
      <c r="C52">
        <v>15</v>
      </c>
      <c r="D52" t="s">
        <v>274</v>
      </c>
      <c r="E52">
        <v>2018</v>
      </c>
    </row>
    <row r="53" spans="1:5" x14ac:dyDescent="0.25">
      <c r="A53" t="s">
        <v>252</v>
      </c>
      <c r="B53" t="s">
        <v>353</v>
      </c>
      <c r="C53">
        <v>15</v>
      </c>
      <c r="D53" t="s">
        <v>274</v>
      </c>
      <c r="E53">
        <v>2018</v>
      </c>
    </row>
    <row r="54" spans="1:5" x14ac:dyDescent="0.25">
      <c r="A54" t="s">
        <v>254</v>
      </c>
      <c r="B54" t="s">
        <v>350</v>
      </c>
      <c r="C54">
        <v>0</v>
      </c>
      <c r="D54" t="s">
        <v>274</v>
      </c>
      <c r="E54">
        <v>2018</v>
      </c>
    </row>
    <row r="55" spans="1:5" x14ac:dyDescent="0.25">
      <c r="A55" t="s">
        <v>254</v>
      </c>
      <c r="B55" t="s">
        <v>351</v>
      </c>
      <c r="C55">
        <v>0</v>
      </c>
      <c r="D55" t="s">
        <v>274</v>
      </c>
      <c r="E55">
        <v>2018</v>
      </c>
    </row>
    <row r="56" spans="1:5" x14ac:dyDescent="0.25">
      <c r="A56" t="s">
        <v>254</v>
      </c>
      <c r="B56" t="s">
        <v>352</v>
      </c>
      <c r="C56">
        <v>15</v>
      </c>
      <c r="D56" t="s">
        <v>274</v>
      </c>
      <c r="E56">
        <v>2018</v>
      </c>
    </row>
    <row r="57" spans="1:5" x14ac:dyDescent="0.25">
      <c r="A57" t="s">
        <v>254</v>
      </c>
      <c r="B57" t="s">
        <v>353</v>
      </c>
      <c r="C57">
        <v>15</v>
      </c>
      <c r="D57" t="s">
        <v>274</v>
      </c>
      <c r="E57">
        <v>2018</v>
      </c>
    </row>
    <row r="58" spans="1:5" x14ac:dyDescent="0.25">
      <c r="A58" t="s">
        <v>259</v>
      </c>
      <c r="B58" t="s">
        <v>350</v>
      </c>
      <c r="C58">
        <v>0</v>
      </c>
      <c r="D58" t="s">
        <v>274</v>
      </c>
      <c r="E58">
        <v>2018</v>
      </c>
    </row>
    <row r="59" spans="1:5" x14ac:dyDescent="0.25">
      <c r="A59" t="s">
        <v>259</v>
      </c>
      <c r="B59" t="s">
        <v>351</v>
      </c>
      <c r="C59">
        <v>0</v>
      </c>
      <c r="D59" t="s">
        <v>274</v>
      </c>
      <c r="E59">
        <v>2018</v>
      </c>
    </row>
    <row r="60" spans="1:5" x14ac:dyDescent="0.25">
      <c r="A60" t="s">
        <v>259</v>
      </c>
      <c r="B60" t="s">
        <v>353</v>
      </c>
      <c r="C60">
        <v>15</v>
      </c>
      <c r="D60" t="s">
        <v>274</v>
      </c>
      <c r="E60">
        <v>2018</v>
      </c>
    </row>
    <row r="61" spans="1:5" x14ac:dyDescent="0.25">
      <c r="A61" t="s">
        <v>244</v>
      </c>
      <c r="B61" t="s">
        <v>350</v>
      </c>
      <c r="C61">
        <v>0</v>
      </c>
      <c r="D61" t="s">
        <v>273</v>
      </c>
      <c r="E61">
        <v>2018</v>
      </c>
    </row>
    <row r="62" spans="1:5" x14ac:dyDescent="0.25">
      <c r="A62" t="s">
        <v>244</v>
      </c>
      <c r="B62" t="s">
        <v>351</v>
      </c>
      <c r="C62">
        <v>0</v>
      </c>
      <c r="D62" t="s">
        <v>273</v>
      </c>
      <c r="E62">
        <v>2018</v>
      </c>
    </row>
    <row r="63" spans="1:5" x14ac:dyDescent="0.25">
      <c r="A63" t="s">
        <v>244</v>
      </c>
      <c r="B63" t="s">
        <v>352</v>
      </c>
      <c r="C63">
        <v>15</v>
      </c>
      <c r="D63" t="s">
        <v>273</v>
      </c>
      <c r="E63">
        <v>2018</v>
      </c>
    </row>
    <row r="64" spans="1:5" x14ac:dyDescent="0.25">
      <c r="A64" t="s">
        <v>244</v>
      </c>
      <c r="B64" t="s">
        <v>353</v>
      </c>
      <c r="C64">
        <v>15</v>
      </c>
      <c r="D64" t="s">
        <v>273</v>
      </c>
      <c r="E64">
        <v>2018</v>
      </c>
    </row>
    <row r="65" spans="1:5" x14ac:dyDescent="0.25">
      <c r="A65" t="s">
        <v>247</v>
      </c>
      <c r="B65" t="s">
        <v>350</v>
      </c>
      <c r="C65">
        <v>0</v>
      </c>
      <c r="D65" t="s">
        <v>273</v>
      </c>
      <c r="E65">
        <v>2018</v>
      </c>
    </row>
    <row r="66" spans="1:5" x14ac:dyDescent="0.25">
      <c r="A66" t="s">
        <v>247</v>
      </c>
      <c r="B66" t="s">
        <v>351</v>
      </c>
      <c r="C66">
        <v>15</v>
      </c>
      <c r="D66" t="s">
        <v>273</v>
      </c>
      <c r="E66">
        <v>2018</v>
      </c>
    </row>
    <row r="67" spans="1:5" x14ac:dyDescent="0.25">
      <c r="A67" t="s">
        <v>247</v>
      </c>
      <c r="B67" t="s">
        <v>352</v>
      </c>
      <c r="C67">
        <v>15</v>
      </c>
      <c r="D67" t="s">
        <v>273</v>
      </c>
      <c r="E67">
        <v>2018</v>
      </c>
    </row>
    <row r="68" spans="1:5" x14ac:dyDescent="0.25">
      <c r="A68" t="s">
        <v>247</v>
      </c>
      <c r="B68" t="s">
        <v>353</v>
      </c>
      <c r="C68">
        <v>0</v>
      </c>
      <c r="D68" t="s">
        <v>273</v>
      </c>
      <c r="E68">
        <v>2018</v>
      </c>
    </row>
    <row r="69" spans="1:5" x14ac:dyDescent="0.25">
      <c r="A69" t="s">
        <v>186</v>
      </c>
      <c r="B69" t="s">
        <v>350</v>
      </c>
      <c r="C69">
        <v>0</v>
      </c>
      <c r="D69" t="s">
        <v>268</v>
      </c>
      <c r="E69">
        <v>2018</v>
      </c>
    </row>
    <row r="70" spans="1:5" x14ac:dyDescent="0.25">
      <c r="A70" t="s">
        <v>186</v>
      </c>
      <c r="B70" t="s">
        <v>351</v>
      </c>
      <c r="C70">
        <v>0</v>
      </c>
      <c r="D70" t="s">
        <v>268</v>
      </c>
      <c r="E70">
        <v>2018</v>
      </c>
    </row>
    <row r="71" spans="1:5" x14ac:dyDescent="0.25">
      <c r="A71" t="s">
        <v>186</v>
      </c>
      <c r="B71" t="s">
        <v>352</v>
      </c>
      <c r="C71">
        <v>15</v>
      </c>
      <c r="D71" t="s">
        <v>268</v>
      </c>
      <c r="E71">
        <v>2018</v>
      </c>
    </row>
    <row r="72" spans="1:5" x14ac:dyDescent="0.25">
      <c r="A72" t="s">
        <v>186</v>
      </c>
      <c r="B72" t="s">
        <v>353</v>
      </c>
      <c r="C72">
        <v>15</v>
      </c>
      <c r="D72" t="s">
        <v>268</v>
      </c>
      <c r="E72">
        <v>2018</v>
      </c>
    </row>
    <row r="73" spans="1:5" x14ac:dyDescent="0.25">
      <c r="A73" t="s">
        <v>190</v>
      </c>
      <c r="B73" t="s">
        <v>350</v>
      </c>
      <c r="C73">
        <v>0</v>
      </c>
      <c r="D73" t="s">
        <v>268</v>
      </c>
      <c r="E73">
        <v>2018</v>
      </c>
    </row>
    <row r="74" spans="1:5" x14ac:dyDescent="0.25">
      <c r="A74" t="s">
        <v>190</v>
      </c>
      <c r="B74" t="s">
        <v>351</v>
      </c>
      <c r="C74">
        <v>0</v>
      </c>
      <c r="D74" t="s">
        <v>268</v>
      </c>
      <c r="E74">
        <v>2018</v>
      </c>
    </row>
    <row r="75" spans="1:5" x14ac:dyDescent="0.25">
      <c r="A75" t="s">
        <v>190</v>
      </c>
      <c r="B75" t="s">
        <v>352</v>
      </c>
      <c r="C75">
        <v>15</v>
      </c>
      <c r="D75" t="s">
        <v>268</v>
      </c>
      <c r="E75">
        <v>2018</v>
      </c>
    </row>
    <row r="76" spans="1:5" x14ac:dyDescent="0.25">
      <c r="A76" t="s">
        <v>190</v>
      </c>
      <c r="B76" t="s">
        <v>353</v>
      </c>
      <c r="C76">
        <v>15</v>
      </c>
      <c r="D76" t="s">
        <v>268</v>
      </c>
      <c r="E76">
        <v>2018</v>
      </c>
    </row>
    <row r="77" spans="1:5" x14ac:dyDescent="0.25">
      <c r="A77" t="s">
        <v>194</v>
      </c>
      <c r="B77" t="s">
        <v>350</v>
      </c>
      <c r="C77">
        <v>0</v>
      </c>
      <c r="D77" t="s">
        <v>268</v>
      </c>
      <c r="E77">
        <v>2018</v>
      </c>
    </row>
    <row r="78" spans="1:5" x14ac:dyDescent="0.25">
      <c r="A78" t="s">
        <v>194</v>
      </c>
      <c r="B78" t="s">
        <v>351</v>
      </c>
      <c r="C78">
        <v>0</v>
      </c>
      <c r="D78" t="s">
        <v>268</v>
      </c>
      <c r="E78">
        <v>2018</v>
      </c>
    </row>
    <row r="79" spans="1:5" x14ac:dyDescent="0.25">
      <c r="A79" t="s">
        <v>194</v>
      </c>
      <c r="B79" t="s">
        <v>352</v>
      </c>
      <c r="C79">
        <v>15</v>
      </c>
      <c r="D79" t="s">
        <v>268</v>
      </c>
      <c r="E79">
        <v>2018</v>
      </c>
    </row>
    <row r="80" spans="1:5" x14ac:dyDescent="0.25">
      <c r="A80" t="s">
        <v>194</v>
      </c>
      <c r="B80" t="s">
        <v>353</v>
      </c>
      <c r="C80">
        <v>15</v>
      </c>
      <c r="D80" t="s">
        <v>268</v>
      </c>
      <c r="E80">
        <v>2018</v>
      </c>
    </row>
    <row r="81" spans="1:5" x14ac:dyDescent="0.25">
      <c r="A81" t="s">
        <v>240</v>
      </c>
      <c r="B81" t="s">
        <v>350</v>
      </c>
      <c r="C81">
        <v>0</v>
      </c>
      <c r="D81" t="s">
        <v>272</v>
      </c>
      <c r="E81">
        <v>2018</v>
      </c>
    </row>
    <row r="82" spans="1:5" x14ac:dyDescent="0.25">
      <c r="A82" t="s">
        <v>240</v>
      </c>
      <c r="B82" t="s">
        <v>351</v>
      </c>
      <c r="C82">
        <v>0</v>
      </c>
      <c r="D82" t="s">
        <v>272</v>
      </c>
      <c r="E82">
        <v>2018</v>
      </c>
    </row>
    <row r="83" spans="1:5" x14ac:dyDescent="0.25">
      <c r="A83" t="s">
        <v>240</v>
      </c>
      <c r="B83" t="s">
        <v>352</v>
      </c>
      <c r="C83">
        <v>15</v>
      </c>
      <c r="D83" t="s">
        <v>272</v>
      </c>
      <c r="E83">
        <v>2018</v>
      </c>
    </row>
    <row r="84" spans="1:5" x14ac:dyDescent="0.25">
      <c r="A84" t="s">
        <v>240</v>
      </c>
      <c r="B84" t="s">
        <v>353</v>
      </c>
      <c r="C84">
        <v>15</v>
      </c>
      <c r="D84" t="s">
        <v>272</v>
      </c>
      <c r="E84">
        <v>2018</v>
      </c>
    </row>
    <row r="85" spans="1:5" x14ac:dyDescent="0.25">
      <c r="A85" t="s">
        <v>266</v>
      </c>
      <c r="B85" t="s">
        <v>350</v>
      </c>
      <c r="C85">
        <v>0</v>
      </c>
      <c r="D85" t="s">
        <v>272</v>
      </c>
      <c r="E85">
        <v>2018</v>
      </c>
    </row>
    <row r="86" spans="1:5" x14ac:dyDescent="0.25">
      <c r="A86" t="s">
        <v>266</v>
      </c>
      <c r="B86" t="s">
        <v>351</v>
      </c>
      <c r="C86">
        <v>0</v>
      </c>
      <c r="D86" t="s">
        <v>272</v>
      </c>
      <c r="E86">
        <v>2018</v>
      </c>
    </row>
    <row r="87" spans="1:5" x14ac:dyDescent="0.25">
      <c r="A87" t="s">
        <v>266</v>
      </c>
      <c r="B87" t="s">
        <v>352</v>
      </c>
      <c r="C87">
        <v>15</v>
      </c>
      <c r="D87" t="s">
        <v>272</v>
      </c>
      <c r="E87">
        <v>2018</v>
      </c>
    </row>
    <row r="88" spans="1:5" x14ac:dyDescent="0.25">
      <c r="A88" t="s">
        <v>266</v>
      </c>
      <c r="B88" t="s">
        <v>353</v>
      </c>
      <c r="C88">
        <v>15</v>
      </c>
      <c r="D88" t="s">
        <v>272</v>
      </c>
      <c r="E88">
        <v>2018</v>
      </c>
    </row>
    <row r="89" spans="1:5" x14ac:dyDescent="0.25">
      <c r="A89" t="s">
        <v>210</v>
      </c>
      <c r="B89" t="s">
        <v>350</v>
      </c>
      <c r="C89">
        <v>0</v>
      </c>
      <c r="D89" t="s">
        <v>270</v>
      </c>
      <c r="E89">
        <v>2018</v>
      </c>
    </row>
    <row r="90" spans="1:5" x14ac:dyDescent="0.25">
      <c r="A90" t="s">
        <v>210</v>
      </c>
      <c r="B90" t="s">
        <v>351</v>
      </c>
      <c r="C90">
        <v>0</v>
      </c>
      <c r="D90" t="s">
        <v>270</v>
      </c>
      <c r="E90">
        <v>2018</v>
      </c>
    </row>
    <row r="91" spans="1:5" x14ac:dyDescent="0.25">
      <c r="A91" t="s">
        <v>210</v>
      </c>
      <c r="B91" t="s">
        <v>352</v>
      </c>
      <c r="C91">
        <v>15</v>
      </c>
      <c r="D91" t="s">
        <v>270</v>
      </c>
      <c r="E91">
        <v>2018</v>
      </c>
    </row>
    <row r="92" spans="1:5" x14ac:dyDescent="0.25">
      <c r="A92" t="s">
        <v>210</v>
      </c>
      <c r="B92" t="s">
        <v>353</v>
      </c>
      <c r="C92">
        <v>15</v>
      </c>
      <c r="D92" t="s">
        <v>270</v>
      </c>
      <c r="E92">
        <v>2018</v>
      </c>
    </row>
    <row r="93" spans="1:5" x14ac:dyDescent="0.25">
      <c r="A93" t="s">
        <v>213</v>
      </c>
      <c r="B93" t="s">
        <v>350</v>
      </c>
      <c r="C93">
        <v>0</v>
      </c>
      <c r="D93" t="s">
        <v>270</v>
      </c>
      <c r="E93">
        <v>2018</v>
      </c>
    </row>
    <row r="94" spans="1:5" x14ac:dyDescent="0.25">
      <c r="A94" t="s">
        <v>213</v>
      </c>
      <c r="B94" t="s">
        <v>351</v>
      </c>
      <c r="C94">
        <v>0</v>
      </c>
      <c r="D94" t="s">
        <v>270</v>
      </c>
      <c r="E94">
        <v>2018</v>
      </c>
    </row>
    <row r="95" spans="1:5" x14ac:dyDescent="0.25">
      <c r="A95" t="s">
        <v>213</v>
      </c>
      <c r="B95" t="s">
        <v>352</v>
      </c>
      <c r="C95">
        <v>15</v>
      </c>
      <c r="D95" t="s">
        <v>270</v>
      </c>
      <c r="E95">
        <v>2018</v>
      </c>
    </row>
    <row r="96" spans="1:5" x14ac:dyDescent="0.25">
      <c r="A96" t="s">
        <v>213</v>
      </c>
      <c r="B96" t="s">
        <v>353</v>
      </c>
      <c r="C96">
        <v>15</v>
      </c>
      <c r="D96" t="s">
        <v>270</v>
      </c>
      <c r="E96">
        <v>2018</v>
      </c>
    </row>
    <row r="97" spans="1:5" x14ac:dyDescent="0.25">
      <c r="A97" t="s">
        <v>217</v>
      </c>
      <c r="B97" t="s">
        <v>350</v>
      </c>
      <c r="C97">
        <v>0</v>
      </c>
      <c r="D97" t="s">
        <v>270</v>
      </c>
      <c r="E97">
        <v>2018</v>
      </c>
    </row>
    <row r="98" spans="1:5" x14ac:dyDescent="0.25">
      <c r="A98" t="s">
        <v>217</v>
      </c>
      <c r="B98" t="s">
        <v>351</v>
      </c>
      <c r="C98">
        <v>0</v>
      </c>
      <c r="D98" t="s">
        <v>270</v>
      </c>
      <c r="E98">
        <v>2018</v>
      </c>
    </row>
    <row r="99" spans="1:5" x14ac:dyDescent="0.25">
      <c r="A99" t="s">
        <v>217</v>
      </c>
      <c r="B99" t="s">
        <v>352</v>
      </c>
      <c r="C99">
        <v>15</v>
      </c>
      <c r="D99" t="s">
        <v>270</v>
      </c>
      <c r="E99">
        <v>2018</v>
      </c>
    </row>
    <row r="100" spans="1:5" x14ac:dyDescent="0.25">
      <c r="A100" t="s">
        <v>217</v>
      </c>
      <c r="B100" t="s">
        <v>353</v>
      </c>
      <c r="C100">
        <v>15</v>
      </c>
      <c r="D100" t="s">
        <v>270</v>
      </c>
      <c r="E100">
        <v>2018</v>
      </c>
    </row>
    <row r="101" spans="1:5" x14ac:dyDescent="0.25">
      <c r="A101" t="s">
        <v>162</v>
      </c>
      <c r="B101" t="s">
        <v>350</v>
      </c>
      <c r="C101">
        <v>0</v>
      </c>
      <c r="D101" t="s">
        <v>57</v>
      </c>
      <c r="E101">
        <v>2018</v>
      </c>
    </row>
    <row r="102" spans="1:5" x14ac:dyDescent="0.25">
      <c r="A102" t="s">
        <v>162</v>
      </c>
      <c r="B102" t="s">
        <v>351</v>
      </c>
      <c r="C102">
        <v>0</v>
      </c>
      <c r="D102" t="s">
        <v>57</v>
      </c>
      <c r="E102">
        <v>2018</v>
      </c>
    </row>
    <row r="103" spans="1:5" x14ac:dyDescent="0.25">
      <c r="A103" t="s">
        <v>162</v>
      </c>
      <c r="B103" t="s">
        <v>352</v>
      </c>
      <c r="C103">
        <v>15</v>
      </c>
      <c r="D103" t="s">
        <v>57</v>
      </c>
      <c r="E103">
        <v>2018</v>
      </c>
    </row>
    <row r="104" spans="1:5" x14ac:dyDescent="0.25">
      <c r="A104" t="s">
        <v>162</v>
      </c>
      <c r="B104" t="s">
        <v>353</v>
      </c>
      <c r="C104">
        <v>15</v>
      </c>
      <c r="D104" t="s">
        <v>57</v>
      </c>
      <c r="E104">
        <v>2018</v>
      </c>
    </row>
    <row r="105" spans="1:5" x14ac:dyDescent="0.25">
      <c r="A105" t="s">
        <v>166</v>
      </c>
      <c r="B105" t="s">
        <v>350</v>
      </c>
      <c r="C105">
        <v>0</v>
      </c>
      <c r="D105" t="s">
        <v>57</v>
      </c>
      <c r="E105">
        <v>2018</v>
      </c>
    </row>
    <row r="106" spans="1:5" x14ac:dyDescent="0.25">
      <c r="A106" t="s">
        <v>166</v>
      </c>
      <c r="B106" t="s">
        <v>351</v>
      </c>
      <c r="C106">
        <v>0</v>
      </c>
      <c r="D106" t="s">
        <v>57</v>
      </c>
      <c r="E106">
        <v>2018</v>
      </c>
    </row>
    <row r="107" spans="1:5" x14ac:dyDescent="0.25">
      <c r="A107" t="s">
        <v>166</v>
      </c>
      <c r="B107" t="s">
        <v>352</v>
      </c>
      <c r="C107">
        <v>15</v>
      </c>
      <c r="D107" t="s">
        <v>57</v>
      </c>
      <c r="E107">
        <v>2018</v>
      </c>
    </row>
    <row r="108" spans="1:5" x14ac:dyDescent="0.25">
      <c r="A108" t="s">
        <v>166</v>
      </c>
      <c r="B108" t="s">
        <v>353</v>
      </c>
      <c r="C108">
        <v>15</v>
      </c>
      <c r="D108" t="s">
        <v>57</v>
      </c>
      <c r="E108">
        <v>2018</v>
      </c>
    </row>
    <row r="109" spans="1:5" x14ac:dyDescent="0.25">
      <c r="A109" t="s">
        <v>170</v>
      </c>
      <c r="B109" t="s">
        <v>350</v>
      </c>
      <c r="C109">
        <v>0</v>
      </c>
      <c r="D109" t="s">
        <v>57</v>
      </c>
      <c r="E109">
        <v>2018</v>
      </c>
    </row>
    <row r="110" spans="1:5" x14ac:dyDescent="0.25">
      <c r="A110" t="s">
        <v>170</v>
      </c>
      <c r="B110" t="s">
        <v>351</v>
      </c>
      <c r="C110">
        <v>0</v>
      </c>
      <c r="D110" t="s">
        <v>57</v>
      </c>
      <c r="E110">
        <v>2018</v>
      </c>
    </row>
    <row r="111" spans="1:5" x14ac:dyDescent="0.25">
      <c r="A111" t="s">
        <v>170</v>
      </c>
      <c r="B111" t="s">
        <v>352</v>
      </c>
      <c r="C111">
        <v>15</v>
      </c>
      <c r="D111" t="s">
        <v>57</v>
      </c>
      <c r="E111">
        <v>2018</v>
      </c>
    </row>
    <row r="112" spans="1:5" x14ac:dyDescent="0.25">
      <c r="A112" t="s">
        <v>170</v>
      </c>
      <c r="B112" t="s">
        <v>353</v>
      </c>
      <c r="C112">
        <v>15</v>
      </c>
      <c r="D112" t="s">
        <v>57</v>
      </c>
      <c r="E112">
        <v>2018</v>
      </c>
    </row>
    <row r="113" spans="1:5" x14ac:dyDescent="0.25">
      <c r="A113" t="s">
        <v>198</v>
      </c>
      <c r="B113" t="s">
        <v>350</v>
      </c>
      <c r="C113">
        <v>0</v>
      </c>
      <c r="D113" t="s">
        <v>269</v>
      </c>
      <c r="E113">
        <v>2018</v>
      </c>
    </row>
    <row r="114" spans="1:5" x14ac:dyDescent="0.25">
      <c r="A114" t="s">
        <v>198</v>
      </c>
      <c r="B114" t="s">
        <v>351</v>
      </c>
      <c r="C114">
        <v>0</v>
      </c>
      <c r="D114" t="s">
        <v>269</v>
      </c>
      <c r="E114">
        <v>2018</v>
      </c>
    </row>
    <row r="115" spans="1:5" x14ac:dyDescent="0.25">
      <c r="A115" t="s">
        <v>198</v>
      </c>
      <c r="B115" t="s">
        <v>352</v>
      </c>
      <c r="C115">
        <v>15</v>
      </c>
      <c r="D115" t="s">
        <v>269</v>
      </c>
      <c r="E115">
        <v>2018</v>
      </c>
    </row>
    <row r="116" spans="1:5" x14ac:dyDescent="0.25">
      <c r="A116" t="s">
        <v>198</v>
      </c>
      <c r="B116" t="s">
        <v>353</v>
      </c>
      <c r="C116">
        <v>15</v>
      </c>
      <c r="D116" t="s">
        <v>269</v>
      </c>
      <c r="E116">
        <v>2018</v>
      </c>
    </row>
    <row r="117" spans="1:5" x14ac:dyDescent="0.25">
      <c r="A117" t="s">
        <v>202</v>
      </c>
      <c r="B117" t="s">
        <v>350</v>
      </c>
      <c r="C117">
        <v>0</v>
      </c>
      <c r="D117" t="s">
        <v>269</v>
      </c>
      <c r="E117">
        <v>2018</v>
      </c>
    </row>
    <row r="118" spans="1:5" x14ac:dyDescent="0.25">
      <c r="A118" t="s">
        <v>202</v>
      </c>
      <c r="B118" t="s">
        <v>351</v>
      </c>
      <c r="C118">
        <v>0</v>
      </c>
      <c r="D118" t="s">
        <v>269</v>
      </c>
      <c r="E118">
        <v>2018</v>
      </c>
    </row>
    <row r="119" spans="1:5" x14ac:dyDescent="0.25">
      <c r="A119" t="s">
        <v>202</v>
      </c>
      <c r="B119" t="s">
        <v>352</v>
      </c>
      <c r="C119">
        <v>15</v>
      </c>
      <c r="D119" t="s">
        <v>269</v>
      </c>
      <c r="E119">
        <v>2018</v>
      </c>
    </row>
    <row r="120" spans="1:5" x14ac:dyDescent="0.25">
      <c r="A120" t="s">
        <v>202</v>
      </c>
      <c r="B120" t="s">
        <v>353</v>
      </c>
      <c r="C120">
        <v>15</v>
      </c>
      <c r="D120" t="s">
        <v>269</v>
      </c>
      <c r="E120">
        <v>2018</v>
      </c>
    </row>
    <row r="121" spans="1:5" x14ac:dyDescent="0.25">
      <c r="A121" t="s">
        <v>220</v>
      </c>
      <c r="B121" t="s">
        <v>350</v>
      </c>
      <c r="C121">
        <v>0</v>
      </c>
      <c r="D121" t="s">
        <v>271</v>
      </c>
      <c r="E121">
        <v>2018</v>
      </c>
    </row>
    <row r="122" spans="1:5" x14ac:dyDescent="0.25">
      <c r="A122" t="s">
        <v>220</v>
      </c>
      <c r="B122" t="s">
        <v>351</v>
      </c>
      <c r="C122">
        <v>0</v>
      </c>
      <c r="D122" t="s">
        <v>271</v>
      </c>
      <c r="E122">
        <v>2018</v>
      </c>
    </row>
    <row r="123" spans="1:5" x14ac:dyDescent="0.25">
      <c r="A123" t="s">
        <v>220</v>
      </c>
      <c r="B123" t="s">
        <v>352</v>
      </c>
      <c r="C123">
        <v>15</v>
      </c>
      <c r="D123" t="s">
        <v>271</v>
      </c>
      <c r="E123">
        <v>2018</v>
      </c>
    </row>
    <row r="124" spans="1:5" x14ac:dyDescent="0.25">
      <c r="A124" t="s">
        <v>220</v>
      </c>
      <c r="B124" t="s">
        <v>353</v>
      </c>
      <c r="C124">
        <v>15</v>
      </c>
      <c r="D124" t="s">
        <v>271</v>
      </c>
      <c r="E124">
        <v>2018</v>
      </c>
    </row>
    <row r="125" spans="1:5" x14ac:dyDescent="0.25">
      <c r="A125" t="s">
        <v>225</v>
      </c>
      <c r="B125" t="s">
        <v>350</v>
      </c>
      <c r="C125">
        <v>0</v>
      </c>
      <c r="D125" t="s">
        <v>271</v>
      </c>
      <c r="E125">
        <v>2018</v>
      </c>
    </row>
    <row r="126" spans="1:5" x14ac:dyDescent="0.25">
      <c r="A126" t="s">
        <v>225</v>
      </c>
      <c r="B126" t="s">
        <v>351</v>
      </c>
      <c r="C126">
        <v>0</v>
      </c>
      <c r="D126" t="s">
        <v>271</v>
      </c>
      <c r="E126">
        <v>2018</v>
      </c>
    </row>
    <row r="127" spans="1:5" x14ac:dyDescent="0.25">
      <c r="A127" t="s">
        <v>225</v>
      </c>
      <c r="B127" t="s">
        <v>352</v>
      </c>
      <c r="C127">
        <v>15</v>
      </c>
      <c r="D127" t="s">
        <v>271</v>
      </c>
      <c r="E127">
        <v>2018</v>
      </c>
    </row>
    <row r="128" spans="1:5" x14ac:dyDescent="0.25">
      <c r="A128" t="s">
        <v>225</v>
      </c>
      <c r="B128" t="s">
        <v>353</v>
      </c>
      <c r="C128">
        <v>15</v>
      </c>
      <c r="D128" t="s">
        <v>271</v>
      </c>
      <c r="E128">
        <v>2018</v>
      </c>
    </row>
    <row r="129" spans="1:5" x14ac:dyDescent="0.25">
      <c r="A129" t="s">
        <v>228</v>
      </c>
      <c r="B129" t="s">
        <v>350</v>
      </c>
      <c r="C129">
        <v>0</v>
      </c>
      <c r="D129" t="s">
        <v>271</v>
      </c>
      <c r="E129">
        <v>2018</v>
      </c>
    </row>
    <row r="130" spans="1:5" x14ac:dyDescent="0.25">
      <c r="A130" t="s">
        <v>228</v>
      </c>
      <c r="B130" t="s">
        <v>351</v>
      </c>
      <c r="C130">
        <v>0</v>
      </c>
      <c r="D130" t="s">
        <v>271</v>
      </c>
      <c r="E130">
        <v>2018</v>
      </c>
    </row>
    <row r="131" spans="1:5" x14ac:dyDescent="0.25">
      <c r="A131" t="s">
        <v>228</v>
      </c>
      <c r="B131" t="s">
        <v>352</v>
      </c>
      <c r="C131">
        <v>15</v>
      </c>
      <c r="D131" t="s">
        <v>271</v>
      </c>
      <c r="E131">
        <v>2018</v>
      </c>
    </row>
    <row r="132" spans="1:5" x14ac:dyDescent="0.25">
      <c r="A132" t="s">
        <v>228</v>
      </c>
      <c r="B132" t="s">
        <v>353</v>
      </c>
      <c r="C132">
        <v>15</v>
      </c>
      <c r="D132" t="s">
        <v>271</v>
      </c>
      <c r="E132">
        <v>2018</v>
      </c>
    </row>
    <row r="133" spans="1:5" x14ac:dyDescent="0.25">
      <c r="A133" t="s">
        <v>174</v>
      </c>
      <c r="B133" t="s">
        <v>350</v>
      </c>
      <c r="C133">
        <v>0</v>
      </c>
      <c r="D133" t="s">
        <v>58</v>
      </c>
      <c r="E133">
        <v>2018</v>
      </c>
    </row>
    <row r="134" spans="1:5" x14ac:dyDescent="0.25">
      <c r="A134" t="s">
        <v>174</v>
      </c>
      <c r="B134" t="s">
        <v>351</v>
      </c>
      <c r="C134">
        <v>0</v>
      </c>
      <c r="D134" t="s">
        <v>58</v>
      </c>
      <c r="E134">
        <v>2018</v>
      </c>
    </row>
    <row r="135" spans="1:5" x14ac:dyDescent="0.25">
      <c r="A135" t="s">
        <v>174</v>
      </c>
      <c r="B135" t="s">
        <v>352</v>
      </c>
      <c r="C135">
        <v>15</v>
      </c>
      <c r="D135" t="s">
        <v>58</v>
      </c>
      <c r="E135">
        <v>2018</v>
      </c>
    </row>
    <row r="136" spans="1:5" x14ac:dyDescent="0.25">
      <c r="A136" t="s">
        <v>174</v>
      </c>
      <c r="B136" t="s">
        <v>353</v>
      </c>
      <c r="C136">
        <v>15</v>
      </c>
      <c r="D136" t="s">
        <v>58</v>
      </c>
      <c r="E136">
        <v>2018</v>
      </c>
    </row>
    <row r="137" spans="1:5" x14ac:dyDescent="0.25">
      <c r="A137" t="s">
        <v>178</v>
      </c>
      <c r="B137" t="s">
        <v>350</v>
      </c>
      <c r="C137">
        <v>0</v>
      </c>
      <c r="D137" t="s">
        <v>58</v>
      </c>
      <c r="E137">
        <v>2018</v>
      </c>
    </row>
    <row r="138" spans="1:5" x14ac:dyDescent="0.25">
      <c r="A138" t="s">
        <v>178</v>
      </c>
      <c r="B138" t="s">
        <v>351</v>
      </c>
      <c r="C138">
        <v>0</v>
      </c>
      <c r="D138" t="s">
        <v>58</v>
      </c>
      <c r="E138">
        <v>2018</v>
      </c>
    </row>
    <row r="139" spans="1:5" x14ac:dyDescent="0.25">
      <c r="A139" t="s">
        <v>178</v>
      </c>
      <c r="B139" t="s">
        <v>352</v>
      </c>
      <c r="C139">
        <v>15</v>
      </c>
      <c r="D139" t="s">
        <v>58</v>
      </c>
      <c r="E139">
        <v>2018</v>
      </c>
    </row>
    <row r="140" spans="1:5" x14ac:dyDescent="0.25">
      <c r="A140" t="s">
        <v>178</v>
      </c>
      <c r="B140" t="s">
        <v>353</v>
      </c>
      <c r="C140">
        <v>15</v>
      </c>
      <c r="D140" t="s">
        <v>58</v>
      </c>
      <c r="E140">
        <v>2018</v>
      </c>
    </row>
    <row r="141" spans="1:5" x14ac:dyDescent="0.25">
      <c r="A141" t="s">
        <v>182</v>
      </c>
      <c r="B141" t="s">
        <v>350</v>
      </c>
      <c r="C141">
        <v>0</v>
      </c>
      <c r="D141" t="s">
        <v>58</v>
      </c>
      <c r="E141">
        <v>2018</v>
      </c>
    </row>
    <row r="142" spans="1:5" x14ac:dyDescent="0.25">
      <c r="A142" t="s">
        <v>182</v>
      </c>
      <c r="B142" t="s">
        <v>351</v>
      </c>
      <c r="C142">
        <v>0</v>
      </c>
      <c r="D142" t="s">
        <v>58</v>
      </c>
      <c r="E142">
        <v>2018</v>
      </c>
    </row>
    <row r="143" spans="1:5" x14ac:dyDescent="0.25">
      <c r="A143" t="s">
        <v>182</v>
      </c>
      <c r="B143" t="s">
        <v>352</v>
      </c>
      <c r="C143">
        <v>15</v>
      </c>
      <c r="D143" t="s">
        <v>58</v>
      </c>
      <c r="E143">
        <v>2018</v>
      </c>
    </row>
    <row r="144" spans="1:5" x14ac:dyDescent="0.25">
      <c r="A144" t="s">
        <v>182</v>
      </c>
      <c r="B144" t="s">
        <v>353</v>
      </c>
      <c r="C144">
        <v>15</v>
      </c>
      <c r="D144" t="s">
        <v>58</v>
      </c>
      <c r="E144">
        <v>2018</v>
      </c>
    </row>
    <row r="145" spans="1:5" x14ac:dyDescent="0.25">
      <c r="A145" t="s">
        <v>149</v>
      </c>
      <c r="B145" t="s">
        <v>350</v>
      </c>
      <c r="C145">
        <v>0</v>
      </c>
      <c r="D145" t="s">
        <v>116</v>
      </c>
      <c r="E145">
        <v>2018</v>
      </c>
    </row>
    <row r="146" spans="1:5" x14ac:dyDescent="0.25">
      <c r="A146" t="s">
        <v>149</v>
      </c>
      <c r="B146" t="s">
        <v>351</v>
      </c>
      <c r="C146">
        <v>0</v>
      </c>
      <c r="D146" t="s">
        <v>116</v>
      </c>
      <c r="E146">
        <v>2018</v>
      </c>
    </row>
    <row r="147" spans="1:5" x14ac:dyDescent="0.25">
      <c r="A147" t="s">
        <v>149</v>
      </c>
      <c r="B147" t="s">
        <v>352</v>
      </c>
      <c r="C147">
        <v>15</v>
      </c>
      <c r="D147" t="s">
        <v>116</v>
      </c>
      <c r="E147">
        <v>2018</v>
      </c>
    </row>
    <row r="148" spans="1:5" x14ac:dyDescent="0.25">
      <c r="A148" t="s">
        <v>149</v>
      </c>
      <c r="B148" t="s">
        <v>353</v>
      </c>
      <c r="C148">
        <v>15</v>
      </c>
      <c r="D148" t="s">
        <v>116</v>
      </c>
      <c r="E148">
        <v>2018</v>
      </c>
    </row>
    <row r="149" spans="1:5" x14ac:dyDescent="0.25">
      <c r="A149" t="s">
        <v>153</v>
      </c>
      <c r="B149" t="s">
        <v>350</v>
      </c>
      <c r="C149">
        <v>0</v>
      </c>
      <c r="D149" t="s">
        <v>116</v>
      </c>
      <c r="E149">
        <v>2018</v>
      </c>
    </row>
    <row r="150" spans="1:5" x14ac:dyDescent="0.25">
      <c r="A150" t="s">
        <v>153</v>
      </c>
      <c r="B150" t="s">
        <v>351</v>
      </c>
      <c r="C150">
        <v>0</v>
      </c>
      <c r="D150" t="s">
        <v>116</v>
      </c>
      <c r="E150">
        <v>2018</v>
      </c>
    </row>
    <row r="151" spans="1:5" x14ac:dyDescent="0.25">
      <c r="A151" t="s">
        <v>153</v>
      </c>
      <c r="B151" t="s">
        <v>352</v>
      </c>
      <c r="C151">
        <v>15</v>
      </c>
      <c r="D151" t="s">
        <v>116</v>
      </c>
      <c r="E151">
        <v>2018</v>
      </c>
    </row>
    <row r="152" spans="1:5" x14ac:dyDescent="0.25">
      <c r="A152" t="s">
        <v>153</v>
      </c>
      <c r="B152" t="s">
        <v>353</v>
      </c>
      <c r="C152">
        <v>15</v>
      </c>
      <c r="D152" t="s">
        <v>116</v>
      </c>
      <c r="E152">
        <v>2018</v>
      </c>
    </row>
    <row r="153" spans="1:5" x14ac:dyDescent="0.25">
      <c r="A153" t="s">
        <v>157</v>
      </c>
      <c r="B153" t="s">
        <v>350</v>
      </c>
      <c r="C153">
        <v>0</v>
      </c>
      <c r="D153" t="s">
        <v>116</v>
      </c>
      <c r="E153">
        <v>2018</v>
      </c>
    </row>
    <row r="154" spans="1:5" x14ac:dyDescent="0.25">
      <c r="A154" t="s">
        <v>157</v>
      </c>
      <c r="B154" t="s">
        <v>351</v>
      </c>
      <c r="C154">
        <v>0</v>
      </c>
      <c r="D154" t="s">
        <v>116</v>
      </c>
      <c r="E154">
        <v>2018</v>
      </c>
    </row>
    <row r="155" spans="1:5" x14ac:dyDescent="0.25">
      <c r="A155" t="s">
        <v>157</v>
      </c>
      <c r="B155" t="s">
        <v>352</v>
      </c>
      <c r="C155">
        <v>15</v>
      </c>
      <c r="D155" t="s">
        <v>116</v>
      </c>
      <c r="E155">
        <v>2018</v>
      </c>
    </row>
    <row r="156" spans="1:5" x14ac:dyDescent="0.25">
      <c r="A156" t="s">
        <v>157</v>
      </c>
      <c r="B156" t="s">
        <v>353</v>
      </c>
      <c r="C156">
        <v>15</v>
      </c>
      <c r="D156" t="s">
        <v>116</v>
      </c>
      <c r="E156">
        <v>2018</v>
      </c>
    </row>
    <row r="157" spans="1:5" x14ac:dyDescent="0.25">
      <c r="A157" t="s">
        <v>137</v>
      </c>
      <c r="B157" t="s">
        <v>350</v>
      </c>
      <c r="C157">
        <v>0</v>
      </c>
      <c r="D157" t="s">
        <v>118</v>
      </c>
      <c r="E157">
        <v>2018</v>
      </c>
    </row>
    <row r="158" spans="1:5" x14ac:dyDescent="0.25">
      <c r="A158" t="s">
        <v>137</v>
      </c>
      <c r="B158" t="s">
        <v>351</v>
      </c>
      <c r="C158">
        <v>0</v>
      </c>
      <c r="D158" t="s">
        <v>118</v>
      </c>
      <c r="E158">
        <v>2018</v>
      </c>
    </row>
    <row r="159" spans="1:5" x14ac:dyDescent="0.25">
      <c r="A159" t="s">
        <v>137</v>
      </c>
      <c r="B159" t="s">
        <v>352</v>
      </c>
      <c r="C159">
        <v>15</v>
      </c>
      <c r="D159" t="s">
        <v>118</v>
      </c>
      <c r="E159">
        <v>2018</v>
      </c>
    </row>
    <row r="160" spans="1:5" x14ac:dyDescent="0.25">
      <c r="A160" t="s">
        <v>137</v>
      </c>
      <c r="B160" t="s">
        <v>353</v>
      </c>
      <c r="C160">
        <v>15</v>
      </c>
      <c r="D160" t="s">
        <v>118</v>
      </c>
      <c r="E160">
        <v>2018</v>
      </c>
    </row>
    <row r="161" spans="1:5" x14ac:dyDescent="0.25">
      <c r="A161" t="s">
        <v>141</v>
      </c>
      <c r="B161" t="s">
        <v>350</v>
      </c>
      <c r="C161">
        <v>0</v>
      </c>
      <c r="D161" t="s">
        <v>118</v>
      </c>
      <c r="E161">
        <v>2018</v>
      </c>
    </row>
    <row r="162" spans="1:5" x14ac:dyDescent="0.25">
      <c r="A162" t="s">
        <v>141</v>
      </c>
      <c r="B162" t="s">
        <v>351</v>
      </c>
      <c r="C162">
        <v>0</v>
      </c>
      <c r="D162" t="s">
        <v>118</v>
      </c>
      <c r="E162">
        <v>2018</v>
      </c>
    </row>
    <row r="163" spans="1:5" x14ac:dyDescent="0.25">
      <c r="A163" t="s">
        <v>141</v>
      </c>
      <c r="B163" t="s">
        <v>352</v>
      </c>
      <c r="C163">
        <v>15</v>
      </c>
      <c r="D163" t="s">
        <v>118</v>
      </c>
      <c r="E163">
        <v>2018</v>
      </c>
    </row>
    <row r="164" spans="1:5" x14ac:dyDescent="0.25">
      <c r="A164" t="s">
        <v>141</v>
      </c>
      <c r="B164" t="s">
        <v>353</v>
      </c>
      <c r="C164">
        <v>15</v>
      </c>
      <c r="D164" t="s">
        <v>118</v>
      </c>
      <c r="E164">
        <v>2018</v>
      </c>
    </row>
    <row r="165" spans="1:5" x14ac:dyDescent="0.25">
      <c r="A165" t="s">
        <v>145</v>
      </c>
      <c r="B165" t="s">
        <v>350</v>
      </c>
      <c r="C165">
        <v>0</v>
      </c>
      <c r="D165" t="s">
        <v>118</v>
      </c>
      <c r="E165">
        <v>2018</v>
      </c>
    </row>
    <row r="166" spans="1:5" x14ac:dyDescent="0.25">
      <c r="A166" t="s">
        <v>145</v>
      </c>
      <c r="B166" t="s">
        <v>351</v>
      </c>
      <c r="C166">
        <v>0</v>
      </c>
      <c r="D166" t="s">
        <v>118</v>
      </c>
      <c r="E166">
        <v>2018</v>
      </c>
    </row>
    <row r="167" spans="1:5" x14ac:dyDescent="0.25">
      <c r="A167" t="s">
        <v>145</v>
      </c>
      <c r="B167" t="s">
        <v>352</v>
      </c>
      <c r="C167">
        <v>15</v>
      </c>
      <c r="D167" t="s">
        <v>118</v>
      </c>
      <c r="E167">
        <v>2018</v>
      </c>
    </row>
    <row r="168" spans="1:5" x14ac:dyDescent="0.25">
      <c r="A168" t="s">
        <v>145</v>
      </c>
      <c r="B168" t="s">
        <v>353</v>
      </c>
      <c r="C168">
        <v>15</v>
      </c>
      <c r="D168" t="s">
        <v>118</v>
      </c>
      <c r="E168">
        <v>2018</v>
      </c>
    </row>
    <row r="169" spans="1:5" x14ac:dyDescent="0.25">
      <c r="A169" t="s">
        <v>392</v>
      </c>
      <c r="B169" t="s">
        <v>350</v>
      </c>
      <c r="C169">
        <v>0</v>
      </c>
      <c r="D169" t="s">
        <v>59</v>
      </c>
      <c r="E169">
        <v>2019</v>
      </c>
    </row>
    <row r="170" spans="1:5" x14ac:dyDescent="0.25">
      <c r="A170" t="s">
        <v>392</v>
      </c>
      <c r="B170" t="s">
        <v>351</v>
      </c>
      <c r="C170">
        <v>15</v>
      </c>
      <c r="D170" t="s">
        <v>59</v>
      </c>
      <c r="E170">
        <v>2019</v>
      </c>
    </row>
    <row r="171" spans="1:5" x14ac:dyDescent="0.25">
      <c r="A171" t="s">
        <v>392</v>
      </c>
      <c r="B171" t="s">
        <v>352</v>
      </c>
      <c r="C171">
        <v>0</v>
      </c>
      <c r="D171" t="s">
        <v>59</v>
      </c>
      <c r="E171">
        <v>2019</v>
      </c>
    </row>
    <row r="172" spans="1:5" x14ac:dyDescent="0.25">
      <c r="A172" t="s">
        <v>392</v>
      </c>
      <c r="B172" t="s">
        <v>353</v>
      </c>
      <c r="C172">
        <v>15</v>
      </c>
      <c r="D172" t="s">
        <v>59</v>
      </c>
      <c r="E172">
        <v>2019</v>
      </c>
    </row>
    <row r="173" spans="1:5" x14ac:dyDescent="0.25">
      <c r="A173" t="s">
        <v>396</v>
      </c>
      <c r="B173" t="s">
        <v>350</v>
      </c>
      <c r="C173">
        <v>0</v>
      </c>
      <c r="D173" t="s">
        <v>59</v>
      </c>
      <c r="E173">
        <v>2019</v>
      </c>
    </row>
    <row r="174" spans="1:5" x14ac:dyDescent="0.25">
      <c r="A174" t="s">
        <v>396</v>
      </c>
      <c r="B174" t="s">
        <v>351</v>
      </c>
      <c r="C174">
        <v>15</v>
      </c>
      <c r="D174" t="s">
        <v>59</v>
      </c>
      <c r="E174">
        <v>2019</v>
      </c>
    </row>
    <row r="175" spans="1:5" x14ac:dyDescent="0.25">
      <c r="A175" t="s">
        <v>396</v>
      </c>
      <c r="B175" t="s">
        <v>352</v>
      </c>
      <c r="C175">
        <v>0</v>
      </c>
      <c r="D175" t="s">
        <v>59</v>
      </c>
      <c r="E175">
        <v>2019</v>
      </c>
    </row>
    <row r="176" spans="1:5" x14ac:dyDescent="0.25">
      <c r="A176" t="s">
        <v>396</v>
      </c>
      <c r="B176" t="s">
        <v>353</v>
      </c>
      <c r="C176">
        <v>15</v>
      </c>
      <c r="D176" t="s">
        <v>59</v>
      </c>
      <c r="E176">
        <v>2019</v>
      </c>
    </row>
    <row r="177" spans="1:5" x14ac:dyDescent="0.25">
      <c r="A177" t="s">
        <v>250</v>
      </c>
      <c r="B177" t="s">
        <v>350</v>
      </c>
      <c r="C177">
        <v>0</v>
      </c>
      <c r="D177" t="s">
        <v>274</v>
      </c>
      <c r="E177">
        <v>2019</v>
      </c>
    </row>
    <row r="178" spans="1:5" x14ac:dyDescent="0.25">
      <c r="A178" t="s">
        <v>250</v>
      </c>
      <c r="B178" t="s">
        <v>351</v>
      </c>
      <c r="C178">
        <v>15</v>
      </c>
      <c r="D178" t="s">
        <v>274</v>
      </c>
      <c r="E178">
        <v>2019</v>
      </c>
    </row>
    <row r="179" spans="1:5" x14ac:dyDescent="0.25">
      <c r="A179" t="s">
        <v>250</v>
      </c>
      <c r="B179" t="s">
        <v>352</v>
      </c>
      <c r="C179">
        <v>0</v>
      </c>
      <c r="D179" t="s">
        <v>274</v>
      </c>
      <c r="E179">
        <v>2019</v>
      </c>
    </row>
    <row r="180" spans="1:5" x14ac:dyDescent="0.25">
      <c r="A180" t="s">
        <v>250</v>
      </c>
      <c r="B180" t="s">
        <v>353</v>
      </c>
      <c r="C180">
        <v>15</v>
      </c>
      <c r="D180" t="s">
        <v>274</v>
      </c>
      <c r="E180">
        <v>2019</v>
      </c>
    </row>
    <row r="181" spans="1:5" x14ac:dyDescent="0.25">
      <c r="A181" t="s">
        <v>259</v>
      </c>
      <c r="B181" t="s">
        <v>350</v>
      </c>
      <c r="C181">
        <v>0</v>
      </c>
      <c r="D181" t="s">
        <v>274</v>
      </c>
      <c r="E181">
        <v>2019</v>
      </c>
    </row>
    <row r="182" spans="1:5" x14ac:dyDescent="0.25">
      <c r="A182" t="s">
        <v>259</v>
      </c>
      <c r="B182" t="s">
        <v>351</v>
      </c>
      <c r="C182">
        <v>15</v>
      </c>
      <c r="D182" t="s">
        <v>274</v>
      </c>
      <c r="E182">
        <v>2019</v>
      </c>
    </row>
    <row r="183" spans="1:5" x14ac:dyDescent="0.25">
      <c r="A183" t="s">
        <v>259</v>
      </c>
      <c r="B183" t="s">
        <v>352</v>
      </c>
      <c r="C183">
        <v>0</v>
      </c>
      <c r="D183" t="s">
        <v>274</v>
      </c>
      <c r="E183">
        <v>2019</v>
      </c>
    </row>
    <row r="184" spans="1:5" x14ac:dyDescent="0.25">
      <c r="A184" t="s">
        <v>259</v>
      </c>
      <c r="B184" t="s">
        <v>353</v>
      </c>
      <c r="C184">
        <v>15</v>
      </c>
      <c r="D184" t="s">
        <v>274</v>
      </c>
      <c r="E184">
        <v>2019</v>
      </c>
    </row>
    <row r="185" spans="1:5" x14ac:dyDescent="0.25">
      <c r="A185" t="s">
        <v>358</v>
      </c>
      <c r="B185" t="s">
        <v>350</v>
      </c>
      <c r="C185">
        <v>0</v>
      </c>
      <c r="D185" t="s">
        <v>274</v>
      </c>
      <c r="E185">
        <v>2019</v>
      </c>
    </row>
    <row r="186" spans="1:5" x14ac:dyDescent="0.25">
      <c r="A186" t="s">
        <v>358</v>
      </c>
      <c r="B186" t="s">
        <v>351</v>
      </c>
      <c r="C186">
        <v>15</v>
      </c>
      <c r="D186" t="s">
        <v>274</v>
      </c>
      <c r="E186">
        <v>2019</v>
      </c>
    </row>
    <row r="187" spans="1:5" x14ac:dyDescent="0.25">
      <c r="A187" t="s">
        <v>358</v>
      </c>
      <c r="B187" t="s">
        <v>352</v>
      </c>
      <c r="C187">
        <v>0</v>
      </c>
      <c r="D187" t="s">
        <v>274</v>
      </c>
      <c r="E187">
        <v>2019</v>
      </c>
    </row>
    <row r="188" spans="1:5" x14ac:dyDescent="0.25">
      <c r="A188" t="s">
        <v>358</v>
      </c>
      <c r="B188" t="s">
        <v>353</v>
      </c>
      <c r="C188">
        <v>15</v>
      </c>
      <c r="D188" t="s">
        <v>274</v>
      </c>
      <c r="E188">
        <v>2019</v>
      </c>
    </row>
    <row r="189" spans="1:5" x14ac:dyDescent="0.25">
      <c r="A189" t="s">
        <v>398</v>
      </c>
      <c r="B189" t="s">
        <v>350</v>
      </c>
      <c r="C189">
        <v>0</v>
      </c>
      <c r="D189" t="s">
        <v>273</v>
      </c>
      <c r="E189">
        <v>2019</v>
      </c>
    </row>
    <row r="190" spans="1:5" x14ac:dyDescent="0.25">
      <c r="A190" t="s">
        <v>398</v>
      </c>
      <c r="B190" t="s">
        <v>351</v>
      </c>
      <c r="C190">
        <v>15</v>
      </c>
      <c r="D190" t="s">
        <v>273</v>
      </c>
      <c r="E190">
        <v>2019</v>
      </c>
    </row>
    <row r="191" spans="1:5" x14ac:dyDescent="0.25">
      <c r="A191" t="s">
        <v>398</v>
      </c>
      <c r="B191" t="s">
        <v>352</v>
      </c>
      <c r="C191">
        <v>0</v>
      </c>
      <c r="D191" t="s">
        <v>273</v>
      </c>
      <c r="E191">
        <v>2019</v>
      </c>
    </row>
    <row r="192" spans="1:5" x14ac:dyDescent="0.25">
      <c r="A192" t="s">
        <v>398</v>
      </c>
      <c r="B192" t="s">
        <v>353</v>
      </c>
      <c r="C192">
        <v>15</v>
      </c>
      <c r="D192" t="s">
        <v>273</v>
      </c>
      <c r="E192">
        <v>2019</v>
      </c>
    </row>
    <row r="193" spans="1:6" x14ac:dyDescent="0.25">
      <c r="A193" t="s">
        <v>401</v>
      </c>
      <c r="B193" t="s">
        <v>350</v>
      </c>
      <c r="C193">
        <v>0</v>
      </c>
      <c r="D193" t="s">
        <v>273</v>
      </c>
      <c r="E193">
        <v>2019</v>
      </c>
    </row>
    <row r="194" spans="1:6" x14ac:dyDescent="0.25">
      <c r="A194" t="s">
        <v>401</v>
      </c>
      <c r="B194" t="s">
        <v>351</v>
      </c>
      <c r="C194">
        <v>15</v>
      </c>
      <c r="D194" t="s">
        <v>273</v>
      </c>
      <c r="E194">
        <v>2019</v>
      </c>
    </row>
    <row r="195" spans="1:6" x14ac:dyDescent="0.25">
      <c r="A195" t="s">
        <v>401</v>
      </c>
      <c r="B195" t="s">
        <v>352</v>
      </c>
      <c r="C195">
        <v>0</v>
      </c>
      <c r="D195" t="s">
        <v>273</v>
      </c>
      <c r="E195">
        <v>2019</v>
      </c>
    </row>
    <row r="196" spans="1:6" x14ac:dyDescent="0.25">
      <c r="A196" t="s">
        <v>401</v>
      </c>
      <c r="B196" t="s">
        <v>353</v>
      </c>
      <c r="C196">
        <v>15</v>
      </c>
      <c r="D196" t="s">
        <v>273</v>
      </c>
      <c r="E196">
        <v>2019</v>
      </c>
    </row>
    <row r="197" spans="1:6" x14ac:dyDescent="0.25">
      <c r="A197" t="s">
        <v>404</v>
      </c>
      <c r="B197" t="s">
        <v>350</v>
      </c>
      <c r="C197">
        <v>0</v>
      </c>
      <c r="D197" t="s">
        <v>272</v>
      </c>
      <c r="E197">
        <v>2019</v>
      </c>
    </row>
    <row r="198" spans="1:6" x14ac:dyDescent="0.25">
      <c r="A198" t="s">
        <v>404</v>
      </c>
      <c r="B198" t="s">
        <v>351</v>
      </c>
      <c r="C198">
        <v>15</v>
      </c>
      <c r="D198" t="s">
        <v>272</v>
      </c>
      <c r="E198">
        <v>2019</v>
      </c>
    </row>
    <row r="199" spans="1:6" x14ac:dyDescent="0.25">
      <c r="A199" t="s">
        <v>404</v>
      </c>
      <c r="B199" t="s">
        <v>352</v>
      </c>
      <c r="C199">
        <v>0</v>
      </c>
      <c r="D199" t="s">
        <v>272</v>
      </c>
      <c r="E199">
        <v>2019</v>
      </c>
    </row>
    <row r="200" spans="1:6" x14ac:dyDescent="0.25">
      <c r="A200" t="s">
        <v>404</v>
      </c>
      <c r="B200" t="s">
        <v>353</v>
      </c>
      <c r="C200">
        <v>15</v>
      </c>
      <c r="D200" t="s">
        <v>272</v>
      </c>
      <c r="E200">
        <v>2019</v>
      </c>
    </row>
    <row r="201" spans="1:6" x14ac:dyDescent="0.25">
      <c r="A201" t="s">
        <v>407</v>
      </c>
      <c r="B201" t="s">
        <v>350</v>
      </c>
      <c r="C201">
        <v>0</v>
      </c>
      <c r="D201" t="s">
        <v>272</v>
      </c>
      <c r="E201">
        <v>2019</v>
      </c>
    </row>
    <row r="202" spans="1:6" x14ac:dyDescent="0.25">
      <c r="A202" t="s">
        <v>407</v>
      </c>
      <c r="B202" t="s">
        <v>351</v>
      </c>
      <c r="C202">
        <v>15</v>
      </c>
      <c r="D202" t="s">
        <v>272</v>
      </c>
      <c r="E202">
        <v>2019</v>
      </c>
    </row>
    <row r="203" spans="1:6" x14ac:dyDescent="0.25">
      <c r="A203" t="s">
        <v>407</v>
      </c>
      <c r="B203" t="s">
        <v>352</v>
      </c>
      <c r="C203">
        <v>0</v>
      </c>
      <c r="D203" t="s">
        <v>272</v>
      </c>
      <c r="E203">
        <v>2019</v>
      </c>
      <c r="F203" t="s">
        <v>732</v>
      </c>
    </row>
    <row r="204" spans="1:6" x14ac:dyDescent="0.25">
      <c r="A204" t="s">
        <v>407</v>
      </c>
      <c r="B204" t="s">
        <v>353</v>
      </c>
      <c r="C204">
        <v>15</v>
      </c>
      <c r="D204" t="s">
        <v>272</v>
      </c>
      <c r="E204">
        <v>2019</v>
      </c>
    </row>
    <row r="205" spans="1:6" x14ac:dyDescent="0.25">
      <c r="A205" t="s">
        <v>410</v>
      </c>
      <c r="B205" t="s">
        <v>350</v>
      </c>
      <c r="C205">
        <v>0</v>
      </c>
      <c r="D205" t="s">
        <v>445</v>
      </c>
      <c r="E205">
        <v>2019</v>
      </c>
    </row>
    <row r="206" spans="1:6" x14ac:dyDescent="0.25">
      <c r="A206" t="s">
        <v>410</v>
      </c>
      <c r="B206" t="s">
        <v>351</v>
      </c>
      <c r="C206">
        <v>15</v>
      </c>
      <c r="D206" t="s">
        <v>445</v>
      </c>
      <c r="E206">
        <v>2019</v>
      </c>
    </row>
    <row r="207" spans="1:6" x14ac:dyDescent="0.25">
      <c r="A207" t="s">
        <v>410</v>
      </c>
      <c r="B207" t="s">
        <v>352</v>
      </c>
      <c r="C207">
        <v>0</v>
      </c>
      <c r="D207" t="s">
        <v>445</v>
      </c>
      <c r="E207">
        <v>2019</v>
      </c>
    </row>
    <row r="208" spans="1:6" x14ac:dyDescent="0.25">
      <c r="A208" t="s">
        <v>410</v>
      </c>
      <c r="B208" t="s">
        <v>353</v>
      </c>
      <c r="C208">
        <v>15</v>
      </c>
      <c r="D208" t="s">
        <v>445</v>
      </c>
      <c r="E208">
        <v>2019</v>
      </c>
    </row>
    <row r="209" spans="1:6" x14ac:dyDescent="0.25">
      <c r="A209" t="s">
        <v>416</v>
      </c>
      <c r="B209" t="s">
        <v>350</v>
      </c>
      <c r="C209">
        <v>0</v>
      </c>
      <c r="D209" t="s">
        <v>445</v>
      </c>
      <c r="E209">
        <v>2019</v>
      </c>
      <c r="F209" t="s">
        <v>731</v>
      </c>
    </row>
    <row r="210" spans="1:6" x14ac:dyDescent="0.25">
      <c r="A210" t="s">
        <v>416</v>
      </c>
      <c r="B210" t="s">
        <v>351</v>
      </c>
      <c r="C210">
        <v>15</v>
      </c>
      <c r="D210" t="s">
        <v>445</v>
      </c>
      <c r="E210">
        <v>2019</v>
      </c>
    </row>
    <row r="211" spans="1:6" x14ac:dyDescent="0.25">
      <c r="A211" t="s">
        <v>416</v>
      </c>
      <c r="B211" t="s">
        <v>352</v>
      </c>
      <c r="C211">
        <v>0</v>
      </c>
      <c r="D211" t="s">
        <v>445</v>
      </c>
      <c r="E211">
        <v>2019</v>
      </c>
    </row>
    <row r="212" spans="1:6" x14ac:dyDescent="0.25">
      <c r="A212" t="s">
        <v>416</v>
      </c>
      <c r="B212" t="s">
        <v>353</v>
      </c>
      <c r="C212">
        <v>15</v>
      </c>
      <c r="D212" t="s">
        <v>445</v>
      </c>
      <c r="E212">
        <v>2019</v>
      </c>
    </row>
    <row r="213" spans="1:6" x14ac:dyDescent="0.25">
      <c r="A213" t="s">
        <v>419</v>
      </c>
      <c r="B213" t="s">
        <v>350</v>
      </c>
      <c r="C213">
        <v>0</v>
      </c>
      <c r="D213" t="s">
        <v>445</v>
      </c>
      <c r="E213">
        <v>2019</v>
      </c>
    </row>
    <row r="214" spans="1:6" x14ac:dyDescent="0.25">
      <c r="A214" t="s">
        <v>419</v>
      </c>
      <c r="B214" t="s">
        <v>351</v>
      </c>
      <c r="C214">
        <v>15</v>
      </c>
      <c r="D214" t="s">
        <v>445</v>
      </c>
      <c r="E214">
        <v>2019</v>
      </c>
    </row>
    <row r="215" spans="1:6" x14ac:dyDescent="0.25">
      <c r="A215" t="s">
        <v>419</v>
      </c>
      <c r="B215" t="s">
        <v>352</v>
      </c>
      <c r="C215">
        <v>0</v>
      </c>
      <c r="D215" t="s">
        <v>445</v>
      </c>
      <c r="E215">
        <v>2019</v>
      </c>
    </row>
    <row r="216" spans="1:6" x14ac:dyDescent="0.25">
      <c r="A216" t="s">
        <v>419</v>
      </c>
      <c r="B216" t="s">
        <v>353</v>
      </c>
      <c r="C216">
        <v>15</v>
      </c>
      <c r="D216" t="s">
        <v>445</v>
      </c>
      <c r="E216">
        <v>2019</v>
      </c>
    </row>
    <row r="217" spans="1:6" x14ac:dyDescent="0.25">
      <c r="A217" t="s">
        <v>208</v>
      </c>
      <c r="B217" t="s">
        <v>350</v>
      </c>
      <c r="C217">
        <v>0</v>
      </c>
      <c r="D217" t="s">
        <v>270</v>
      </c>
      <c r="E217">
        <v>2019</v>
      </c>
    </row>
    <row r="218" spans="1:6" x14ac:dyDescent="0.25">
      <c r="A218" t="s">
        <v>208</v>
      </c>
      <c r="B218" t="s">
        <v>351</v>
      </c>
      <c r="C218">
        <v>15</v>
      </c>
      <c r="D218" t="s">
        <v>270</v>
      </c>
      <c r="E218">
        <v>2019</v>
      </c>
    </row>
    <row r="219" spans="1:6" x14ac:dyDescent="0.25">
      <c r="A219" t="s">
        <v>208</v>
      </c>
      <c r="B219" t="s">
        <v>352</v>
      </c>
      <c r="C219">
        <v>0</v>
      </c>
      <c r="D219" t="s">
        <v>270</v>
      </c>
      <c r="E219">
        <v>2019</v>
      </c>
    </row>
    <row r="220" spans="1:6" x14ac:dyDescent="0.25">
      <c r="A220" t="s">
        <v>208</v>
      </c>
      <c r="B220" t="s">
        <v>353</v>
      </c>
      <c r="C220">
        <v>15</v>
      </c>
      <c r="D220" t="s">
        <v>270</v>
      </c>
      <c r="E220">
        <v>2019</v>
      </c>
    </row>
    <row r="221" spans="1:6" x14ac:dyDescent="0.25">
      <c r="A221" t="s">
        <v>212</v>
      </c>
      <c r="B221" t="s">
        <v>350</v>
      </c>
      <c r="C221">
        <v>0</v>
      </c>
      <c r="D221" t="s">
        <v>270</v>
      </c>
      <c r="E221">
        <v>2019</v>
      </c>
    </row>
    <row r="222" spans="1:6" x14ac:dyDescent="0.25">
      <c r="A222" t="s">
        <v>212</v>
      </c>
      <c r="B222" t="s">
        <v>351</v>
      </c>
      <c r="C222">
        <v>15</v>
      </c>
      <c r="D222" t="s">
        <v>270</v>
      </c>
      <c r="E222">
        <v>2019</v>
      </c>
    </row>
    <row r="223" spans="1:6" x14ac:dyDescent="0.25">
      <c r="A223" t="s">
        <v>212</v>
      </c>
      <c r="B223" t="s">
        <v>352</v>
      </c>
      <c r="C223">
        <v>0</v>
      </c>
      <c r="D223" t="s">
        <v>270</v>
      </c>
      <c r="E223">
        <v>2019</v>
      </c>
    </row>
    <row r="224" spans="1:6" x14ac:dyDescent="0.25">
      <c r="A224" t="s">
        <v>212</v>
      </c>
      <c r="B224" t="s">
        <v>353</v>
      </c>
      <c r="C224">
        <v>15</v>
      </c>
      <c r="D224" t="s">
        <v>270</v>
      </c>
      <c r="E224">
        <v>2019</v>
      </c>
    </row>
    <row r="225" spans="1:5" x14ac:dyDescent="0.25">
      <c r="A225" t="s">
        <v>215</v>
      </c>
      <c r="B225" t="s">
        <v>350</v>
      </c>
      <c r="C225">
        <v>0</v>
      </c>
      <c r="D225" t="s">
        <v>270</v>
      </c>
      <c r="E225">
        <v>2019</v>
      </c>
    </row>
    <row r="226" spans="1:5" x14ac:dyDescent="0.25">
      <c r="A226" t="s">
        <v>215</v>
      </c>
      <c r="B226" t="s">
        <v>351</v>
      </c>
      <c r="C226">
        <v>15</v>
      </c>
      <c r="D226" t="s">
        <v>270</v>
      </c>
      <c r="E226">
        <v>2019</v>
      </c>
    </row>
    <row r="227" spans="1:5" x14ac:dyDescent="0.25">
      <c r="A227" t="s">
        <v>215</v>
      </c>
      <c r="B227" t="s">
        <v>352</v>
      </c>
      <c r="C227">
        <v>0</v>
      </c>
      <c r="D227" t="s">
        <v>270</v>
      </c>
      <c r="E227">
        <v>2019</v>
      </c>
    </row>
    <row r="228" spans="1:5" x14ac:dyDescent="0.25">
      <c r="A228" t="s">
        <v>215</v>
      </c>
      <c r="B228" t="s">
        <v>353</v>
      </c>
      <c r="C228">
        <v>15</v>
      </c>
      <c r="D228" t="s">
        <v>270</v>
      </c>
      <c r="E228">
        <v>2019</v>
      </c>
    </row>
    <row r="229" spans="1:5" x14ac:dyDescent="0.25">
      <c r="A229" t="s">
        <v>422</v>
      </c>
      <c r="B229" t="s">
        <v>350</v>
      </c>
      <c r="C229">
        <v>0</v>
      </c>
      <c r="D229" t="s">
        <v>447</v>
      </c>
      <c r="E229">
        <v>2019</v>
      </c>
    </row>
    <row r="230" spans="1:5" x14ac:dyDescent="0.25">
      <c r="A230" t="s">
        <v>422</v>
      </c>
      <c r="B230" t="s">
        <v>351</v>
      </c>
      <c r="C230">
        <v>15</v>
      </c>
      <c r="D230" t="s">
        <v>447</v>
      </c>
      <c r="E230">
        <v>2019</v>
      </c>
    </row>
    <row r="231" spans="1:5" x14ac:dyDescent="0.25">
      <c r="A231" t="s">
        <v>422</v>
      </c>
      <c r="B231" t="s">
        <v>352</v>
      </c>
      <c r="C231">
        <v>0</v>
      </c>
      <c r="D231" t="s">
        <v>447</v>
      </c>
      <c r="E231">
        <v>2019</v>
      </c>
    </row>
    <row r="232" spans="1:5" x14ac:dyDescent="0.25">
      <c r="A232" t="s">
        <v>422</v>
      </c>
      <c r="B232" t="s">
        <v>353</v>
      </c>
      <c r="C232">
        <v>15</v>
      </c>
      <c r="D232" t="s">
        <v>447</v>
      </c>
      <c r="E232">
        <v>2019</v>
      </c>
    </row>
    <row r="233" spans="1:5" x14ac:dyDescent="0.25">
      <c r="A233" t="s">
        <v>425</v>
      </c>
      <c r="B233" t="s">
        <v>350</v>
      </c>
      <c r="C233">
        <v>0</v>
      </c>
      <c r="D233" t="s">
        <v>447</v>
      </c>
      <c r="E233">
        <v>2019</v>
      </c>
    </row>
    <row r="234" spans="1:5" x14ac:dyDescent="0.25">
      <c r="A234" t="s">
        <v>425</v>
      </c>
      <c r="B234" t="s">
        <v>351</v>
      </c>
      <c r="C234">
        <v>15</v>
      </c>
      <c r="D234" t="s">
        <v>447</v>
      </c>
      <c r="E234">
        <v>2019</v>
      </c>
    </row>
    <row r="235" spans="1:5" x14ac:dyDescent="0.25">
      <c r="A235" t="s">
        <v>425</v>
      </c>
      <c r="B235" t="s">
        <v>352</v>
      </c>
      <c r="C235">
        <v>0</v>
      </c>
      <c r="D235" t="s">
        <v>447</v>
      </c>
      <c r="E235">
        <v>2019</v>
      </c>
    </row>
    <row r="236" spans="1:5" x14ac:dyDescent="0.25">
      <c r="A236" t="s">
        <v>425</v>
      </c>
      <c r="B236" t="s">
        <v>353</v>
      </c>
      <c r="C236">
        <v>15</v>
      </c>
      <c r="D236" t="s">
        <v>447</v>
      </c>
      <c r="E236">
        <v>2019</v>
      </c>
    </row>
    <row r="237" spans="1:5" x14ac:dyDescent="0.25">
      <c r="A237" t="s">
        <v>428</v>
      </c>
      <c r="B237" t="s">
        <v>350</v>
      </c>
      <c r="C237">
        <v>0</v>
      </c>
      <c r="D237" t="s">
        <v>447</v>
      </c>
      <c r="E237">
        <v>2019</v>
      </c>
    </row>
    <row r="238" spans="1:5" x14ac:dyDescent="0.25">
      <c r="A238" t="s">
        <v>428</v>
      </c>
      <c r="B238" t="s">
        <v>351</v>
      </c>
      <c r="C238">
        <v>15</v>
      </c>
      <c r="D238" t="s">
        <v>447</v>
      </c>
      <c r="E238">
        <v>2019</v>
      </c>
    </row>
    <row r="239" spans="1:5" x14ac:dyDescent="0.25">
      <c r="A239" t="s">
        <v>428</v>
      </c>
      <c r="B239" t="s">
        <v>352</v>
      </c>
      <c r="C239">
        <v>0</v>
      </c>
      <c r="D239" t="s">
        <v>447</v>
      </c>
      <c r="E239">
        <v>2019</v>
      </c>
    </row>
    <row r="240" spans="1:5" x14ac:dyDescent="0.25">
      <c r="A240" t="s">
        <v>428</v>
      </c>
      <c r="B240" t="s">
        <v>353</v>
      </c>
      <c r="C240">
        <v>15</v>
      </c>
      <c r="D240" t="s">
        <v>447</v>
      </c>
      <c r="E240">
        <v>2019</v>
      </c>
    </row>
    <row r="241" spans="1:6" x14ac:dyDescent="0.25">
      <c r="A241" t="s">
        <v>431</v>
      </c>
      <c r="B241" t="s">
        <v>350</v>
      </c>
      <c r="C241">
        <v>0</v>
      </c>
      <c r="D241" t="s">
        <v>269</v>
      </c>
      <c r="E241">
        <v>2019</v>
      </c>
    </row>
    <row r="242" spans="1:6" x14ac:dyDescent="0.25">
      <c r="A242" t="s">
        <v>431</v>
      </c>
      <c r="B242" t="s">
        <v>351</v>
      </c>
      <c r="C242">
        <v>15</v>
      </c>
      <c r="D242" t="s">
        <v>269</v>
      </c>
      <c r="E242">
        <v>2019</v>
      </c>
    </row>
    <row r="243" spans="1:6" x14ac:dyDescent="0.25">
      <c r="A243" t="s">
        <v>431</v>
      </c>
      <c r="B243" t="s">
        <v>352</v>
      </c>
      <c r="C243">
        <v>0</v>
      </c>
      <c r="D243" t="s">
        <v>269</v>
      </c>
      <c r="E243">
        <v>2019</v>
      </c>
    </row>
    <row r="244" spans="1:6" x14ac:dyDescent="0.25">
      <c r="A244" t="s">
        <v>431</v>
      </c>
      <c r="B244" t="s">
        <v>353</v>
      </c>
      <c r="C244">
        <v>15</v>
      </c>
      <c r="D244" t="s">
        <v>269</v>
      </c>
      <c r="E244">
        <v>2019</v>
      </c>
    </row>
    <row r="245" spans="1:6" x14ac:dyDescent="0.25">
      <c r="A245" t="s">
        <v>434</v>
      </c>
      <c r="B245" t="s">
        <v>350</v>
      </c>
      <c r="C245">
        <v>0</v>
      </c>
      <c r="D245" t="s">
        <v>269</v>
      </c>
      <c r="E245">
        <v>2019</v>
      </c>
    </row>
    <row r="246" spans="1:6" x14ac:dyDescent="0.25">
      <c r="A246" t="s">
        <v>434</v>
      </c>
      <c r="B246" t="s">
        <v>351</v>
      </c>
      <c r="C246">
        <v>15</v>
      </c>
      <c r="D246" t="s">
        <v>269</v>
      </c>
      <c r="E246">
        <v>2019</v>
      </c>
    </row>
    <row r="247" spans="1:6" x14ac:dyDescent="0.25">
      <c r="A247" t="s">
        <v>434</v>
      </c>
      <c r="B247" t="s">
        <v>352</v>
      </c>
      <c r="C247">
        <v>0</v>
      </c>
      <c r="D247" t="s">
        <v>269</v>
      </c>
      <c r="E247">
        <v>2019</v>
      </c>
      <c r="F247" t="s">
        <v>731</v>
      </c>
    </row>
    <row r="248" spans="1:6" x14ac:dyDescent="0.25">
      <c r="A248" t="s">
        <v>434</v>
      </c>
      <c r="B248" t="s">
        <v>353</v>
      </c>
      <c r="C248">
        <v>15</v>
      </c>
      <c r="D248" t="s">
        <v>269</v>
      </c>
      <c r="E248">
        <v>2019</v>
      </c>
    </row>
    <row r="249" spans="1:6" x14ac:dyDescent="0.25">
      <c r="A249" t="s">
        <v>437</v>
      </c>
      <c r="B249" t="s">
        <v>350</v>
      </c>
      <c r="C249">
        <v>0</v>
      </c>
      <c r="D249" t="s">
        <v>269</v>
      </c>
      <c r="E249">
        <v>2019</v>
      </c>
    </row>
    <row r="250" spans="1:6" x14ac:dyDescent="0.25">
      <c r="A250" t="s">
        <v>437</v>
      </c>
      <c r="B250" t="s">
        <v>351</v>
      </c>
      <c r="C250">
        <v>15</v>
      </c>
      <c r="D250" t="s">
        <v>269</v>
      </c>
      <c r="E250">
        <v>2019</v>
      </c>
    </row>
    <row r="251" spans="1:6" x14ac:dyDescent="0.25">
      <c r="A251" t="s">
        <v>437</v>
      </c>
      <c r="B251" t="s">
        <v>352</v>
      </c>
      <c r="C251">
        <v>0</v>
      </c>
      <c r="D251" t="s">
        <v>269</v>
      </c>
      <c r="E251">
        <v>2019</v>
      </c>
      <c r="F251" t="s">
        <v>731</v>
      </c>
    </row>
    <row r="252" spans="1:6" x14ac:dyDescent="0.25">
      <c r="A252" t="s">
        <v>437</v>
      </c>
      <c r="B252" t="s">
        <v>353</v>
      </c>
      <c r="C252">
        <v>15</v>
      </c>
      <c r="D252" t="s">
        <v>269</v>
      </c>
      <c r="E252">
        <v>2019</v>
      </c>
    </row>
    <row r="253" spans="1:6" x14ac:dyDescent="0.25">
      <c r="A253" t="s">
        <v>226</v>
      </c>
      <c r="B253" t="s">
        <v>350</v>
      </c>
      <c r="C253">
        <v>0</v>
      </c>
      <c r="D253" t="s">
        <v>271</v>
      </c>
      <c r="E253">
        <v>2019</v>
      </c>
    </row>
    <row r="254" spans="1:6" x14ac:dyDescent="0.25">
      <c r="A254" t="s">
        <v>226</v>
      </c>
      <c r="B254" t="s">
        <v>351</v>
      </c>
      <c r="C254">
        <v>15</v>
      </c>
      <c r="D254" t="s">
        <v>271</v>
      </c>
      <c r="E254">
        <v>2019</v>
      </c>
    </row>
    <row r="255" spans="1:6" x14ac:dyDescent="0.25">
      <c r="A255" t="s">
        <v>226</v>
      </c>
      <c r="B255" t="s">
        <v>352</v>
      </c>
      <c r="C255">
        <v>0</v>
      </c>
      <c r="D255" t="s">
        <v>271</v>
      </c>
      <c r="E255">
        <v>2019</v>
      </c>
    </row>
    <row r="256" spans="1:6" x14ac:dyDescent="0.25">
      <c r="A256" t="s">
        <v>226</v>
      </c>
      <c r="B256" t="s">
        <v>353</v>
      </c>
      <c r="C256">
        <v>15</v>
      </c>
      <c r="D256" t="s">
        <v>271</v>
      </c>
      <c r="E256">
        <v>2019</v>
      </c>
    </row>
    <row r="257" spans="1:6" x14ac:dyDescent="0.25">
      <c r="A257" t="s">
        <v>370</v>
      </c>
      <c r="B257" t="s">
        <v>350</v>
      </c>
      <c r="C257">
        <v>0</v>
      </c>
      <c r="D257" t="s">
        <v>271</v>
      </c>
      <c r="E257">
        <v>2019</v>
      </c>
      <c r="F257" t="s">
        <v>731</v>
      </c>
    </row>
    <row r="258" spans="1:6" x14ac:dyDescent="0.25">
      <c r="A258" t="s">
        <v>370</v>
      </c>
      <c r="B258" t="s">
        <v>351</v>
      </c>
      <c r="C258">
        <v>15</v>
      </c>
      <c r="D258" t="s">
        <v>271</v>
      </c>
      <c r="E258">
        <v>2019</v>
      </c>
    </row>
    <row r="259" spans="1:6" x14ac:dyDescent="0.25">
      <c r="A259" t="s">
        <v>370</v>
      </c>
      <c r="B259" t="s">
        <v>352</v>
      </c>
      <c r="C259">
        <v>0</v>
      </c>
      <c r="D259" t="s">
        <v>271</v>
      </c>
      <c r="E259">
        <v>2019</v>
      </c>
    </row>
    <row r="260" spans="1:6" x14ac:dyDescent="0.25">
      <c r="A260" t="s">
        <v>370</v>
      </c>
      <c r="B260" t="s">
        <v>353</v>
      </c>
      <c r="C260">
        <v>15</v>
      </c>
      <c r="D260" t="s">
        <v>271</v>
      </c>
      <c r="E260">
        <v>2019</v>
      </c>
    </row>
    <row r="261" spans="1:6" x14ac:dyDescent="0.25">
      <c r="A261" t="s">
        <v>172</v>
      </c>
      <c r="B261" t="s">
        <v>350</v>
      </c>
      <c r="C261">
        <v>0</v>
      </c>
      <c r="D261" t="s">
        <v>58</v>
      </c>
      <c r="E261">
        <v>2019</v>
      </c>
    </row>
    <row r="262" spans="1:6" x14ac:dyDescent="0.25">
      <c r="A262" t="s">
        <v>172</v>
      </c>
      <c r="B262" t="s">
        <v>351</v>
      </c>
      <c r="C262">
        <v>15</v>
      </c>
      <c r="D262" t="s">
        <v>58</v>
      </c>
      <c r="E262">
        <v>2019</v>
      </c>
      <c r="F262" t="s">
        <v>733</v>
      </c>
    </row>
    <row r="263" spans="1:6" x14ac:dyDescent="0.25">
      <c r="A263" t="s">
        <v>172</v>
      </c>
      <c r="B263" t="s">
        <v>352</v>
      </c>
      <c r="C263">
        <v>0</v>
      </c>
      <c r="D263" t="s">
        <v>58</v>
      </c>
      <c r="E263">
        <v>2019</v>
      </c>
      <c r="F263" t="s">
        <v>733</v>
      </c>
    </row>
    <row r="264" spans="1:6" x14ac:dyDescent="0.25">
      <c r="A264" t="s">
        <v>172</v>
      </c>
      <c r="B264" t="s">
        <v>353</v>
      </c>
      <c r="C264">
        <v>15</v>
      </c>
      <c r="D264" t="s">
        <v>58</v>
      </c>
      <c r="E264">
        <v>2019</v>
      </c>
      <c r="F264" t="s">
        <v>733</v>
      </c>
    </row>
    <row r="265" spans="1:6" x14ac:dyDescent="0.25">
      <c r="A265" t="s">
        <v>176</v>
      </c>
      <c r="B265" t="s">
        <v>350</v>
      </c>
      <c r="C265">
        <v>0</v>
      </c>
      <c r="D265" t="s">
        <v>58</v>
      </c>
      <c r="E265">
        <v>2019</v>
      </c>
    </row>
    <row r="266" spans="1:6" x14ac:dyDescent="0.25">
      <c r="A266" t="s">
        <v>176</v>
      </c>
      <c r="B266" t="s">
        <v>351</v>
      </c>
      <c r="C266">
        <v>15</v>
      </c>
      <c r="D266" t="s">
        <v>58</v>
      </c>
      <c r="E266">
        <v>2019</v>
      </c>
    </row>
    <row r="267" spans="1:6" x14ac:dyDescent="0.25">
      <c r="A267" t="s">
        <v>176</v>
      </c>
      <c r="B267" t="s">
        <v>352</v>
      </c>
      <c r="C267">
        <v>0</v>
      </c>
      <c r="D267" t="s">
        <v>58</v>
      </c>
      <c r="E267">
        <v>2019</v>
      </c>
    </row>
    <row r="268" spans="1:6" x14ac:dyDescent="0.25">
      <c r="A268" t="s">
        <v>176</v>
      </c>
      <c r="B268" t="s">
        <v>353</v>
      </c>
      <c r="C268">
        <v>15</v>
      </c>
      <c r="D268" t="s">
        <v>58</v>
      </c>
      <c r="E268">
        <v>2019</v>
      </c>
    </row>
    <row r="269" spans="1:6" x14ac:dyDescent="0.25">
      <c r="A269" t="s">
        <v>180</v>
      </c>
      <c r="B269" t="s">
        <v>350</v>
      </c>
      <c r="C269">
        <v>0</v>
      </c>
      <c r="D269" t="s">
        <v>58</v>
      </c>
      <c r="E269">
        <v>2019</v>
      </c>
    </row>
    <row r="270" spans="1:6" x14ac:dyDescent="0.25">
      <c r="A270" t="s">
        <v>180</v>
      </c>
      <c r="B270" t="s">
        <v>351</v>
      </c>
      <c r="C270">
        <v>15</v>
      </c>
      <c r="D270" t="s">
        <v>58</v>
      </c>
      <c r="E270">
        <v>2019</v>
      </c>
    </row>
    <row r="271" spans="1:6" x14ac:dyDescent="0.25">
      <c r="A271" t="s">
        <v>180</v>
      </c>
      <c r="B271" t="s">
        <v>352</v>
      </c>
      <c r="C271">
        <v>0</v>
      </c>
      <c r="D271" t="s">
        <v>58</v>
      </c>
      <c r="E271">
        <v>2019</v>
      </c>
    </row>
    <row r="272" spans="1:6" x14ac:dyDescent="0.25">
      <c r="A272" t="s">
        <v>180</v>
      </c>
      <c r="B272" t="s">
        <v>353</v>
      </c>
      <c r="C272">
        <v>15</v>
      </c>
      <c r="D272" t="s">
        <v>58</v>
      </c>
      <c r="E272">
        <v>2019</v>
      </c>
    </row>
    <row r="273" spans="1:6" x14ac:dyDescent="0.25">
      <c r="A273" t="s">
        <v>391</v>
      </c>
      <c r="B273" t="s">
        <v>350</v>
      </c>
      <c r="C273">
        <v>0</v>
      </c>
      <c r="D273" t="s">
        <v>58</v>
      </c>
      <c r="E273">
        <v>2019</v>
      </c>
    </row>
    <row r="274" spans="1:6" x14ac:dyDescent="0.25">
      <c r="A274" t="s">
        <v>391</v>
      </c>
      <c r="B274" t="s">
        <v>351</v>
      </c>
      <c r="C274">
        <v>15</v>
      </c>
      <c r="D274" t="s">
        <v>58</v>
      </c>
      <c r="E274">
        <v>2019</v>
      </c>
    </row>
    <row r="275" spans="1:6" x14ac:dyDescent="0.25">
      <c r="A275" t="s">
        <v>391</v>
      </c>
      <c r="B275" t="s">
        <v>352</v>
      </c>
      <c r="C275">
        <v>0</v>
      </c>
      <c r="D275" t="s">
        <v>58</v>
      </c>
      <c r="E275">
        <v>2019</v>
      </c>
    </row>
    <row r="276" spans="1:6" x14ac:dyDescent="0.25">
      <c r="A276" t="s">
        <v>391</v>
      </c>
      <c r="B276" t="s">
        <v>353</v>
      </c>
      <c r="C276">
        <v>15</v>
      </c>
      <c r="D276" t="s">
        <v>58</v>
      </c>
      <c r="E276">
        <v>2019</v>
      </c>
    </row>
    <row r="277" spans="1:6" x14ac:dyDescent="0.25">
      <c r="A277" t="s">
        <v>151</v>
      </c>
      <c r="B277" t="s">
        <v>350</v>
      </c>
      <c r="C277">
        <v>0</v>
      </c>
      <c r="D277" t="s">
        <v>116</v>
      </c>
      <c r="E277">
        <v>2019</v>
      </c>
    </row>
    <row r="278" spans="1:6" x14ac:dyDescent="0.25">
      <c r="A278" t="s">
        <v>151</v>
      </c>
      <c r="B278" t="s">
        <v>351</v>
      </c>
      <c r="C278">
        <v>15</v>
      </c>
      <c r="D278" t="s">
        <v>116</v>
      </c>
      <c r="E278">
        <v>2019</v>
      </c>
    </row>
    <row r="279" spans="1:6" x14ac:dyDescent="0.25">
      <c r="A279" t="s">
        <v>151</v>
      </c>
      <c r="B279" t="s">
        <v>352</v>
      </c>
      <c r="C279">
        <v>0</v>
      </c>
      <c r="D279" t="s">
        <v>116</v>
      </c>
      <c r="E279">
        <v>2019</v>
      </c>
    </row>
    <row r="280" spans="1:6" x14ac:dyDescent="0.25">
      <c r="A280" t="s">
        <v>151</v>
      </c>
      <c r="B280" t="s">
        <v>353</v>
      </c>
      <c r="C280">
        <v>15</v>
      </c>
      <c r="D280" t="s">
        <v>116</v>
      </c>
      <c r="E280">
        <v>2019</v>
      </c>
    </row>
    <row r="281" spans="1:6" x14ac:dyDescent="0.25">
      <c r="A281" t="s">
        <v>382</v>
      </c>
      <c r="B281" t="s">
        <v>350</v>
      </c>
      <c r="C281">
        <v>0</v>
      </c>
      <c r="D281" t="s">
        <v>116</v>
      </c>
      <c r="E281">
        <v>2019</v>
      </c>
    </row>
    <row r="282" spans="1:6" x14ac:dyDescent="0.25">
      <c r="A282" t="s">
        <v>382</v>
      </c>
      <c r="B282" t="s">
        <v>351</v>
      </c>
      <c r="C282">
        <v>15</v>
      </c>
      <c r="D282" t="s">
        <v>116</v>
      </c>
      <c r="E282">
        <v>2019</v>
      </c>
    </row>
    <row r="283" spans="1:6" x14ac:dyDescent="0.25">
      <c r="A283" t="s">
        <v>382</v>
      </c>
      <c r="B283" t="s">
        <v>352</v>
      </c>
      <c r="C283">
        <v>0</v>
      </c>
      <c r="D283" t="s">
        <v>116</v>
      </c>
      <c r="E283">
        <v>2019</v>
      </c>
    </row>
    <row r="284" spans="1:6" x14ac:dyDescent="0.25">
      <c r="A284" t="s">
        <v>382</v>
      </c>
      <c r="B284" t="s">
        <v>353</v>
      </c>
      <c r="C284">
        <v>15</v>
      </c>
      <c r="D284" t="s">
        <v>116</v>
      </c>
      <c r="E284">
        <v>2019</v>
      </c>
    </row>
    <row r="285" spans="1:6" x14ac:dyDescent="0.25">
      <c r="A285" t="s">
        <v>385</v>
      </c>
      <c r="B285" t="s">
        <v>350</v>
      </c>
      <c r="C285">
        <v>0</v>
      </c>
      <c r="D285" t="s">
        <v>116</v>
      </c>
      <c r="E285">
        <v>2019</v>
      </c>
      <c r="F285" t="s">
        <v>733</v>
      </c>
    </row>
    <row r="286" spans="1:6" x14ac:dyDescent="0.25">
      <c r="A286" t="s">
        <v>385</v>
      </c>
      <c r="B286" t="s">
        <v>351</v>
      </c>
      <c r="C286">
        <v>15</v>
      </c>
      <c r="D286" t="s">
        <v>116</v>
      </c>
      <c r="E286">
        <v>2019</v>
      </c>
    </row>
    <row r="287" spans="1:6" x14ac:dyDescent="0.25">
      <c r="A287" t="s">
        <v>385</v>
      </c>
      <c r="B287" t="s">
        <v>352</v>
      </c>
      <c r="C287">
        <v>0</v>
      </c>
      <c r="D287" t="s">
        <v>116</v>
      </c>
      <c r="E287">
        <v>2019</v>
      </c>
    </row>
    <row r="288" spans="1:6" x14ac:dyDescent="0.25">
      <c r="A288" t="s">
        <v>385</v>
      </c>
      <c r="B288" t="s">
        <v>353</v>
      </c>
      <c r="C288">
        <v>15</v>
      </c>
      <c r="D288" t="s">
        <v>116</v>
      </c>
      <c r="E288">
        <v>2019</v>
      </c>
    </row>
    <row r="289" spans="1:6" x14ac:dyDescent="0.25">
      <c r="A289" t="s">
        <v>388</v>
      </c>
      <c r="B289" t="s">
        <v>350</v>
      </c>
      <c r="C289">
        <v>0</v>
      </c>
      <c r="D289" t="s">
        <v>116</v>
      </c>
      <c r="E289">
        <v>2019</v>
      </c>
      <c r="F289" t="s">
        <v>734</v>
      </c>
    </row>
    <row r="290" spans="1:6" x14ac:dyDescent="0.25">
      <c r="A290" t="s">
        <v>388</v>
      </c>
      <c r="B290" t="s">
        <v>351</v>
      </c>
      <c r="C290">
        <v>15</v>
      </c>
      <c r="D290" t="s">
        <v>116</v>
      </c>
      <c r="E290">
        <v>2019</v>
      </c>
      <c r="F290" t="s">
        <v>734</v>
      </c>
    </row>
    <row r="291" spans="1:6" x14ac:dyDescent="0.25">
      <c r="A291" t="s">
        <v>388</v>
      </c>
      <c r="B291" t="s">
        <v>352</v>
      </c>
      <c r="C291">
        <v>0</v>
      </c>
      <c r="D291" t="s">
        <v>116</v>
      </c>
      <c r="E291">
        <v>2019</v>
      </c>
      <c r="F291" t="s">
        <v>734</v>
      </c>
    </row>
    <row r="292" spans="1:6" x14ac:dyDescent="0.25">
      <c r="A292" t="s">
        <v>388</v>
      </c>
      <c r="B292" t="s">
        <v>353</v>
      </c>
      <c r="C292">
        <v>15</v>
      </c>
      <c r="D292" t="s">
        <v>116</v>
      </c>
      <c r="E292">
        <v>2019</v>
      </c>
      <c r="F292" t="s">
        <v>734</v>
      </c>
    </row>
    <row r="293" spans="1:6" x14ac:dyDescent="0.25">
      <c r="A293" t="s">
        <v>373</v>
      </c>
      <c r="B293" t="s">
        <v>350</v>
      </c>
      <c r="C293">
        <v>0</v>
      </c>
      <c r="D293" t="s">
        <v>118</v>
      </c>
      <c r="E293">
        <v>2019</v>
      </c>
    </row>
    <row r="294" spans="1:6" x14ac:dyDescent="0.25">
      <c r="A294" t="s">
        <v>373</v>
      </c>
      <c r="B294" t="s">
        <v>351</v>
      </c>
      <c r="C294">
        <v>15</v>
      </c>
      <c r="D294" t="s">
        <v>118</v>
      </c>
      <c r="E294">
        <v>2019</v>
      </c>
    </row>
    <row r="295" spans="1:6" x14ac:dyDescent="0.25">
      <c r="A295" t="s">
        <v>373</v>
      </c>
      <c r="B295" t="s">
        <v>352</v>
      </c>
      <c r="C295">
        <v>0</v>
      </c>
      <c r="D295" t="s">
        <v>118</v>
      </c>
      <c r="E295">
        <v>2019</v>
      </c>
    </row>
    <row r="296" spans="1:6" x14ac:dyDescent="0.25">
      <c r="A296" t="s">
        <v>373</v>
      </c>
      <c r="B296" t="s">
        <v>353</v>
      </c>
      <c r="C296">
        <v>15</v>
      </c>
      <c r="D296" t="s">
        <v>118</v>
      </c>
      <c r="E296">
        <v>2019</v>
      </c>
    </row>
    <row r="297" spans="1:6" x14ac:dyDescent="0.25">
      <c r="A297" t="s">
        <v>376</v>
      </c>
      <c r="B297" t="s">
        <v>350</v>
      </c>
      <c r="C297">
        <v>0</v>
      </c>
      <c r="D297" t="s">
        <v>118</v>
      </c>
      <c r="E297">
        <v>2019</v>
      </c>
    </row>
    <row r="298" spans="1:6" x14ac:dyDescent="0.25">
      <c r="A298" t="s">
        <v>376</v>
      </c>
      <c r="B298" t="s">
        <v>351</v>
      </c>
      <c r="C298">
        <v>15</v>
      </c>
      <c r="D298" t="s">
        <v>118</v>
      </c>
      <c r="E298">
        <v>2019</v>
      </c>
    </row>
    <row r="299" spans="1:6" x14ac:dyDescent="0.25">
      <c r="A299" t="s">
        <v>376</v>
      </c>
      <c r="B299" t="s">
        <v>352</v>
      </c>
      <c r="C299">
        <v>0</v>
      </c>
      <c r="D299" t="s">
        <v>118</v>
      </c>
      <c r="E299">
        <v>2019</v>
      </c>
      <c r="F299" t="s">
        <v>733</v>
      </c>
    </row>
    <row r="300" spans="1:6" x14ac:dyDescent="0.25">
      <c r="A300" t="s">
        <v>376</v>
      </c>
      <c r="B300" t="s">
        <v>353</v>
      </c>
      <c r="C300">
        <v>15</v>
      </c>
      <c r="D300" t="s">
        <v>118</v>
      </c>
      <c r="E300">
        <v>2019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6"/>
  <sheetViews>
    <sheetView workbookViewId="0">
      <selection activeCell="B14" sqref="B14"/>
    </sheetView>
  </sheetViews>
  <sheetFormatPr defaultColWidth="11" defaultRowHeight="15.75" x14ac:dyDescent="0.25"/>
  <cols>
    <col min="1" max="1" width="11.875" bestFit="1" customWidth="1"/>
    <col min="2" max="2" width="73.125" bestFit="1" customWidth="1"/>
  </cols>
  <sheetData>
    <row r="1" spans="1:2" x14ac:dyDescent="0.25">
      <c r="A1" t="s">
        <v>342</v>
      </c>
      <c r="B1" t="s">
        <v>288</v>
      </c>
    </row>
    <row r="2" spans="1:2" x14ac:dyDescent="0.25">
      <c r="A2" s="1">
        <v>43367</v>
      </c>
      <c r="B2" t="s">
        <v>344</v>
      </c>
    </row>
    <row r="3" spans="1:2" x14ac:dyDescent="0.25">
      <c r="A3" s="1">
        <v>43367</v>
      </c>
      <c r="B3" t="s">
        <v>343</v>
      </c>
    </row>
    <row r="4" spans="1:2" x14ac:dyDescent="0.25">
      <c r="A4" s="1">
        <v>43368</v>
      </c>
      <c r="B4" t="s">
        <v>345</v>
      </c>
    </row>
    <row r="5" spans="1:2" x14ac:dyDescent="0.25">
      <c r="A5" s="1">
        <v>43368</v>
      </c>
      <c r="B5" t="s">
        <v>346</v>
      </c>
    </row>
    <row r="6" spans="1:2" x14ac:dyDescent="0.25">
      <c r="A6" s="1">
        <v>43374</v>
      </c>
      <c r="B6" t="s">
        <v>347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ODW</vt:lpstr>
      <vt:lpstr>MBC</vt:lpstr>
      <vt:lpstr>Sheet1</vt:lpstr>
      <vt:lpstr>nutrients</vt:lpstr>
      <vt:lpstr>FAME</vt:lpstr>
      <vt:lpstr>Sites</vt:lpstr>
      <vt:lpstr>fields</vt:lpstr>
      <vt:lpstr>yield</vt:lpstr>
      <vt:lpstr>Meta-data</vt:lpstr>
      <vt:lpstr>sensors</vt:lpstr>
      <vt:lpstr>field notes</vt:lpstr>
    </vt:vector>
  </TitlesOfParts>
  <Company>Northern Arizona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natasja vangestel</dc:creator>
  <cp:lastModifiedBy>Pawan Devkota</cp:lastModifiedBy>
  <dcterms:created xsi:type="dcterms:W3CDTF">2017-09-06T20:05:36Z</dcterms:created>
  <dcterms:modified xsi:type="dcterms:W3CDTF">2020-11-25T21:41:44Z</dcterms:modified>
</cp:coreProperties>
</file>